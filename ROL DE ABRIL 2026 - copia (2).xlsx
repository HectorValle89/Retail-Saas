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fd07bbc6f9d8dc/Documentos/Promotoría/ROLES PDV ISDIN/"/>
    </mc:Choice>
  </mc:AlternateContent>
  <xr:revisionPtr revIDLastSave="7014" documentId="8_{F3A19D8C-6952-4F1D-B734-E3F61C669A2F}" xr6:coauthVersionLast="47" xr6:coauthVersionMax="47" xr10:uidLastSave="{61F05CB3-E16F-4214-8445-930C258D65B0}"/>
  <bookViews>
    <workbookView xWindow="-120" yWindow="-120" windowWidth="29040" windowHeight="15720" tabRatio="766" activeTab="2" xr2:uid="{00000000-000D-0000-FFFF-FFFF00000000}"/>
  </bookViews>
  <sheets>
    <sheet name="Resumen" sheetId="23" r:id="rId1"/>
    <sheet name="Hoja6" sheetId="30" state="hidden" r:id="rId2"/>
    <sheet name="Rol Abril 2026" sheetId="17" r:id="rId3"/>
    <sheet name="PDV" sheetId="7" r:id="rId4"/>
  </sheets>
  <definedNames>
    <definedName name="_xlnm._FilterDatabase" localSheetId="2" hidden="1">'Rol Abril 2026'!$J$2:$J$2</definedName>
    <definedName name="ID_BENAVIDES">PDV!$C$2:$C$17</definedName>
    <definedName name="ID_CHEDRAUI">PDV!$C$18:$C$24</definedName>
    <definedName name="ID_CITY_MARKET">PDV!$C$25:$C$29</definedName>
    <definedName name="ID_EL_PALACIO_DE_HIERRO">PDV!$C$30:$C$35</definedName>
    <definedName name="ID_ESPECIALIZADAS">PDV!$C$36:$C$40</definedName>
    <definedName name="ID_F_AHORRO_DERMA">PDV!$C$41:$C$111</definedName>
    <definedName name="ID_FLEMING">PDV!$C$112:$C$113</definedName>
    <definedName name="ID_FRAGUA">PDV!$C$114:$C$120</definedName>
    <definedName name="ID_FRESKO">PDV!$C$121:$C$125</definedName>
    <definedName name="ID_HEB">PDV!$C$126:$C$147</definedName>
    <definedName name="ID_LA_COMER">PDV!$C$148:$C$161</definedName>
    <definedName name="ID_LIVERPOOL">PDV!$C$162:$C$182</definedName>
    <definedName name="ID_SAN_PABLO">PDV!$C$183:$C$263</definedName>
    <definedName name="ID_SANAPIEL">PDV!$C$264:$C$275</definedName>
    <definedName name="ID_SANBORNS">PDV!$C$276:$C$292</definedName>
    <definedName name="ID_SEARS">PDV!$C$293:$C$302</definedName>
    <definedName name="ID_SEPHORA">PDV!$C$303:$C$306</definedName>
    <definedName name="ID_SORIANA">PDV!$C$307:$C$310</definedName>
    <definedName name="LISTA_IDS_DC" localSheetId="2">#REF!</definedName>
    <definedName name="LISTA_IDS_DC">#REF!</definedName>
    <definedName name="SUC_BENAVIDES">PDV!$D$2:$D$17</definedName>
    <definedName name="SUC_CHEDRAUI">PDV!$D$18:$D$24</definedName>
    <definedName name="SUC_CITY_MARKET">PDV!$D$25:$D$29</definedName>
    <definedName name="SUC_EL_PALACIO_DE_HIERRO">PDV!$D$30:$D$35</definedName>
    <definedName name="SUC_ESPECIALIZADAS">PDV!$D$36:$D$40</definedName>
    <definedName name="SUC_F_AHORRO_DERMA">PDV!$D$41:$D$111</definedName>
    <definedName name="SUC_FLEMING">PDV!$D$112:$D$113</definedName>
    <definedName name="SUC_FRAGUA">PDV!$D$114:$D$120</definedName>
    <definedName name="SUC_FRESKO">PDV!$D$121:$D$125</definedName>
    <definedName name="SUC_HEB">PDV!$D$126:$D$147</definedName>
    <definedName name="SUC_LA_COMER">PDV!$D$148:$D$161</definedName>
    <definedName name="SUC_LIVERPOOL">PDV!$D$162:$D$182</definedName>
    <definedName name="SUC_SAN_PABLO">PDV!$D$183:$D$263</definedName>
    <definedName name="SUC_SANAPIEL">PDV!$D$264:$D$275</definedName>
    <definedName name="SUC_SANBORNS">PDV!$D$276:$D$292</definedName>
    <definedName name="SUC_SEARS">PDV!$D$293:$D$302</definedName>
    <definedName name="SUC_SEPHORA">PDV!$D$303:$D$306</definedName>
    <definedName name="SUC_SORIANA">PDV!$D$307:$D$310</definedName>
  </definedNames>
  <calcPr calcId="191029"/>
  <customWorkbookViews>
    <customWorkbookView name="Tabla1 filter view" guid="{7396D051-371E-4C7B-BDCB-D598D67906AE}" maximized="1" windowWidth="0" windowHeight="0" activeSheetId="0"/>
  </customWorkbookViews>
  <pivotCaches>
    <pivotCache cacheId="9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3" l="1"/>
  <c r="G24" i="23"/>
  <c r="AX236" i="17"/>
  <c r="L43" i="17"/>
  <c r="AX43" i="17"/>
  <c r="L297" i="17" l="1"/>
  <c r="AX297" i="17"/>
  <c r="L312" i="17"/>
  <c r="AX312" i="17"/>
  <c r="L46" i="17"/>
  <c r="AX46" i="17"/>
  <c r="L90" i="17"/>
  <c r="AX90" i="17"/>
  <c r="L76" i="17"/>
  <c r="AX76" i="17"/>
  <c r="L64" i="17" l="1"/>
  <c r="AX64" i="17"/>
  <c r="L63" i="17"/>
  <c r="AX63" i="17"/>
  <c r="AX30" i="17"/>
  <c r="AX291" i="17"/>
  <c r="AX88" i="17"/>
  <c r="AX292" i="17"/>
  <c r="AX293" i="17"/>
  <c r="AX294" i="17"/>
  <c r="AX146" i="17"/>
  <c r="AX89" i="17"/>
  <c r="AX220" i="17"/>
  <c r="AX305" i="17"/>
  <c r="AX295" i="17"/>
  <c r="AX157" i="17"/>
  <c r="AX8" i="17"/>
  <c r="AX224" i="17"/>
  <c r="AX52" i="17"/>
  <c r="AX51" i="17"/>
  <c r="AX222" i="17"/>
  <c r="AX33" i="17"/>
  <c r="AX34" i="17"/>
  <c r="AX315" i="17"/>
  <c r="AX9" i="17"/>
  <c r="AX158" i="17"/>
  <c r="AX60" i="17"/>
  <c r="AX59" i="17"/>
  <c r="AX171" i="17"/>
  <c r="AX172" i="17"/>
  <c r="AX316" i="17"/>
  <c r="AX266" i="17"/>
  <c r="AX306" i="17"/>
  <c r="AX91" i="17"/>
  <c r="AX92" i="17"/>
  <c r="AX225" i="17"/>
  <c r="AX129" i="17"/>
  <c r="AX93" i="17"/>
  <c r="AX54" i="17"/>
  <c r="AX53" i="17"/>
  <c r="AX10" i="17"/>
  <c r="AX35" i="17"/>
  <c r="AX186" i="17"/>
  <c r="AX187" i="17"/>
  <c r="AX4" i="17"/>
  <c r="AX133" i="17"/>
  <c r="AX121" i="17"/>
  <c r="AX36" i="17"/>
  <c r="AX296" i="17"/>
  <c r="AX307" i="17"/>
  <c r="AX189" i="17"/>
  <c r="AX190" i="17"/>
  <c r="AX37" i="17"/>
  <c r="AX173" i="17"/>
  <c r="AX147" i="17"/>
  <c r="AX308" i="17"/>
  <c r="AX127" i="17"/>
  <c r="AX148" i="17"/>
  <c r="AX134" i="17"/>
  <c r="AX319" i="17"/>
  <c r="AX95" i="17"/>
  <c r="AX227" i="17"/>
  <c r="AX20" i="17"/>
  <c r="AX228" i="17"/>
  <c r="AX55" i="17"/>
  <c r="AX56" i="17"/>
  <c r="AX58" i="17"/>
  <c r="AX57" i="17"/>
  <c r="AX96" i="17"/>
  <c r="AX27" i="17"/>
  <c r="AX155" i="17"/>
  <c r="AX229" i="17"/>
  <c r="AX21" i="17"/>
  <c r="AX28" i="17"/>
  <c r="AX156" i="17"/>
  <c r="AX97" i="17"/>
  <c r="AX230" i="17"/>
  <c r="AX193" i="17"/>
  <c r="AX194" i="17"/>
  <c r="AX232" i="17"/>
  <c r="AX309" i="17"/>
  <c r="AX11" i="17"/>
  <c r="AX233" i="17"/>
  <c r="AX86" i="17"/>
  <c r="AX234" i="17"/>
  <c r="AX207" i="17"/>
  <c r="AX208" i="17"/>
  <c r="AX235" i="17"/>
  <c r="AX159" i="17"/>
  <c r="AX174" i="17"/>
  <c r="AX98" i="17"/>
  <c r="AX237" i="17"/>
  <c r="AX238" i="17"/>
  <c r="AX239" i="17"/>
  <c r="AX149" i="17"/>
  <c r="AX122" i="17"/>
  <c r="AX240" i="17"/>
  <c r="AX139" i="17"/>
  <c r="AX140" i="17"/>
  <c r="AX241" i="17"/>
  <c r="AX99" i="17"/>
  <c r="AX100" i="17"/>
  <c r="AX130" i="17"/>
  <c r="AX242" i="17"/>
  <c r="AX175" i="17"/>
  <c r="AX31" i="17"/>
  <c r="AX12" i="17"/>
  <c r="AX101" i="17"/>
  <c r="AX195" i="17"/>
  <c r="AX196" i="17"/>
  <c r="AX243" i="17"/>
  <c r="AX150" i="17"/>
  <c r="AX244" i="17"/>
  <c r="AX310" i="17"/>
  <c r="AX197" i="17"/>
  <c r="AX198" i="17"/>
  <c r="AX245" i="17"/>
  <c r="AX199" i="17"/>
  <c r="AX200" i="17"/>
  <c r="AX22" i="17"/>
  <c r="AX317" i="17"/>
  <c r="AX6" i="17"/>
  <c r="AX5" i="17"/>
  <c r="AX246" i="17"/>
  <c r="AX247" i="17"/>
  <c r="AX278" i="17"/>
  <c r="AX277" i="17"/>
  <c r="AX151" i="17"/>
  <c r="AX102" i="17"/>
  <c r="AX201" i="17"/>
  <c r="AX202" i="17"/>
  <c r="AX176" i="17"/>
  <c r="AX62" i="17"/>
  <c r="AX61" i="17"/>
  <c r="AX320" i="17"/>
  <c r="AX321" i="17"/>
  <c r="AX29" i="17"/>
  <c r="AX128" i="17"/>
  <c r="AX223" i="17"/>
  <c r="AX203" i="17"/>
  <c r="AX204" i="17"/>
  <c r="AX13" i="17"/>
  <c r="AX249" i="17"/>
  <c r="AX283" i="17"/>
  <c r="AX50" i="17"/>
  <c r="AX49" i="17"/>
  <c r="AX48" i="17"/>
  <c r="AX250" i="17"/>
  <c r="AX177" i="17"/>
  <c r="AX135" i="17"/>
  <c r="AX136" i="17"/>
  <c r="AX318" i="17"/>
  <c r="AX103" i="17"/>
  <c r="AX66" i="17"/>
  <c r="AX65" i="17"/>
  <c r="AX311" i="17"/>
  <c r="AX38" i="17"/>
  <c r="AX284" i="17"/>
  <c r="AX137" i="17"/>
  <c r="AX138" i="17"/>
  <c r="AX32" i="17"/>
  <c r="AX251" i="17"/>
  <c r="AX285" i="17"/>
  <c r="AX205" i="17"/>
  <c r="AX226" i="17"/>
  <c r="AX206" i="17"/>
  <c r="AX298" i="17"/>
  <c r="AX7" i="17"/>
  <c r="AX322" i="17"/>
  <c r="AX252" i="17"/>
  <c r="AX286" i="17"/>
  <c r="AX253" i="17"/>
  <c r="AX255" i="17"/>
  <c r="AX231" i="17"/>
  <c r="AX123" i="17"/>
  <c r="AX23" i="17"/>
  <c r="AX256" i="17"/>
  <c r="AX104" i="17"/>
  <c r="AX105" i="17"/>
  <c r="AX257" i="17"/>
  <c r="AX287" i="17"/>
  <c r="AX219" i="17"/>
  <c r="AX132" i="17"/>
  <c r="AX178" i="17"/>
  <c r="AX67" i="17"/>
  <c r="AX68" i="17"/>
  <c r="AX106" i="17"/>
  <c r="AX124" i="17"/>
  <c r="AX258" i="17"/>
  <c r="AX302" i="17"/>
  <c r="AX179" i="17"/>
  <c r="AX70" i="17"/>
  <c r="AX69" i="17"/>
  <c r="AX301" i="17"/>
  <c r="AX300" i="17"/>
  <c r="AX259" i="17"/>
  <c r="AX170" i="17"/>
  <c r="AX191" i="17"/>
  <c r="AX192" i="17"/>
  <c r="AX160" i="17"/>
  <c r="AX289" i="17"/>
  <c r="AX304" i="17"/>
  <c r="AX108" i="17"/>
  <c r="AX260" i="17"/>
  <c r="AX261" i="17"/>
  <c r="AX262" i="17"/>
  <c r="AX280" i="17"/>
  <c r="AX279" i="17"/>
  <c r="AX248" i="17"/>
  <c r="AX263" i="17"/>
  <c r="AX161" i="17"/>
  <c r="AX264" i="17"/>
  <c r="AX209" i="17"/>
  <c r="AX210" i="17"/>
  <c r="AX39" i="17"/>
  <c r="AX211" i="17"/>
  <c r="AX212" i="17"/>
  <c r="AX26" i="17"/>
  <c r="AX117" i="17"/>
  <c r="AX118" i="17"/>
  <c r="AX84" i="17"/>
  <c r="AX85" i="17"/>
  <c r="AX154" i="17"/>
  <c r="AX145" i="17"/>
  <c r="AX185" i="17"/>
  <c r="AX184" i="17"/>
  <c r="AX169" i="17"/>
  <c r="AX168" i="17"/>
  <c r="AX188" i="17"/>
  <c r="AX290" i="17"/>
  <c r="AX324" i="17"/>
  <c r="AX323" i="17"/>
  <c r="AX281" i="17"/>
  <c r="AX282" i="17"/>
  <c r="AX109" i="17"/>
  <c r="AX180" i="17"/>
  <c r="AX110" i="17"/>
  <c r="AX71" i="17"/>
  <c r="AX72" i="17"/>
  <c r="AX265" i="17"/>
  <c r="AX276" i="17"/>
  <c r="AX181" i="17"/>
  <c r="AX254" i="17"/>
  <c r="AX111" i="17"/>
  <c r="AX112" i="17"/>
  <c r="AX221" i="17"/>
  <c r="AX14" i="17"/>
  <c r="AX15" i="17"/>
  <c r="AX82" i="17"/>
  <c r="AX83" i="17"/>
  <c r="AX73" i="17"/>
  <c r="AX74" i="17"/>
  <c r="AX113" i="17"/>
  <c r="AX125" i="17"/>
  <c r="AX162" i="17"/>
  <c r="AX16" i="17"/>
  <c r="AX163" i="17"/>
  <c r="AX267" i="17"/>
  <c r="AX24" i="17"/>
  <c r="AX288" i="17"/>
  <c r="AX114" i="17"/>
  <c r="AX77" i="17"/>
  <c r="AX75" i="17"/>
  <c r="AX40" i="17"/>
  <c r="AX41" i="17"/>
  <c r="AX42" i="17"/>
  <c r="AX47" i="17"/>
  <c r="AX182" i="17"/>
  <c r="AX152" i="17"/>
  <c r="AX126" i="17"/>
  <c r="AX268" i="17"/>
  <c r="AX164" i="17"/>
  <c r="AX78" i="17"/>
  <c r="AX79" i="17"/>
  <c r="AX303" i="17"/>
  <c r="AX165" i="17"/>
  <c r="AX269" i="17"/>
  <c r="AX81" i="17"/>
  <c r="AX80" i="17"/>
  <c r="AX115" i="17"/>
  <c r="AX44" i="17"/>
  <c r="AX45" i="17"/>
  <c r="AX270" i="17"/>
  <c r="AX213" i="17"/>
  <c r="AX214" i="17"/>
  <c r="AX215" i="17"/>
  <c r="AX216" i="17"/>
  <c r="AX116" i="17"/>
  <c r="AX17" i="17"/>
  <c r="AX142" i="17"/>
  <c r="AX141" i="17"/>
  <c r="AX314" i="17"/>
  <c r="AX166" i="17"/>
  <c r="AX271" i="17"/>
  <c r="AX272" i="17"/>
  <c r="AX119" i="17"/>
  <c r="AX120" i="17"/>
  <c r="AX18" i="17"/>
  <c r="AX19" i="17"/>
  <c r="AX273" i="17"/>
  <c r="AX167" i="17"/>
  <c r="AX153" i="17"/>
  <c r="AX144" i="17"/>
  <c r="AX143" i="17"/>
  <c r="AX313" i="17"/>
  <c r="AX25" i="17"/>
  <c r="AX217" i="17"/>
  <c r="AX218" i="17"/>
  <c r="AX183" i="17"/>
  <c r="AX274" i="17"/>
  <c r="AX275" i="17"/>
  <c r="AX299" i="17"/>
  <c r="AX107" i="17"/>
  <c r="AX94" i="17"/>
  <c r="AX131" i="17"/>
  <c r="L131" i="17"/>
  <c r="L94" i="17"/>
  <c r="J2" i="17" l="1"/>
  <c r="H2" i="17" l="1"/>
  <c r="F24" i="23" l="1"/>
  <c r="I24" i="23" s="1"/>
  <c r="E24" i="23"/>
  <c r="D24" i="23"/>
  <c r="I6" i="23"/>
  <c r="I22" i="23"/>
  <c r="I7" i="23"/>
  <c r="I8" i="23"/>
  <c r="I9" i="23"/>
  <c r="I19" i="23"/>
  <c r="I10" i="23"/>
  <c r="I21" i="23"/>
  <c r="I11" i="23"/>
  <c r="I20" i="23"/>
  <c r="I12" i="23"/>
  <c r="I23" i="23"/>
  <c r="I15" i="23"/>
  <c r="I17" i="23"/>
  <c r="I16" i="23"/>
  <c r="I18" i="23"/>
  <c r="I13" i="23"/>
  <c r="I14" i="23"/>
  <c r="L248" i="17" l="1"/>
  <c r="L254" i="17"/>
  <c r="L226" i="17"/>
  <c r="AX87" i="17"/>
  <c r="L213" i="17"/>
  <c r="L212" i="17"/>
  <c r="L206" i="17"/>
  <c r="L207" i="17"/>
  <c r="L9" i="17"/>
  <c r="L4" i="17"/>
  <c r="L10" i="17"/>
  <c r="L12" i="17"/>
  <c r="L6" i="17"/>
  <c r="L5" i="17"/>
  <c r="L13" i="17"/>
  <c r="L14" i="17"/>
  <c r="L15" i="17"/>
  <c r="L16" i="17"/>
  <c r="L7" i="17"/>
  <c r="L17" i="17"/>
  <c r="L18" i="17"/>
  <c r="L19" i="17"/>
  <c r="L11" i="17"/>
  <c r="L20" i="17"/>
  <c r="L21" i="17"/>
  <c r="L26" i="17"/>
  <c r="L22" i="17"/>
  <c r="L24" i="17"/>
  <c r="L23" i="17"/>
  <c r="L25" i="17"/>
  <c r="L30" i="17"/>
  <c r="L27" i="17"/>
  <c r="L28" i="17"/>
  <c r="L31" i="17"/>
  <c r="L29" i="17"/>
  <c r="L32" i="17"/>
  <c r="L34" i="17"/>
  <c r="L35" i="17"/>
  <c r="L36" i="17"/>
  <c r="L37" i="17"/>
  <c r="L40" i="17"/>
  <c r="L33" i="17"/>
  <c r="L39" i="17"/>
  <c r="L38" i="17"/>
  <c r="L41" i="17"/>
  <c r="L42" i="17"/>
  <c r="L47" i="17"/>
  <c r="L44" i="17"/>
  <c r="L45" i="17"/>
  <c r="L87" i="17"/>
  <c r="L88" i="17"/>
  <c r="L52" i="17"/>
  <c r="L51" i="17"/>
  <c r="L107" i="17"/>
  <c r="L91" i="17"/>
  <c r="L92" i="17"/>
  <c r="L93" i="17"/>
  <c r="L54" i="17"/>
  <c r="L53" i="17"/>
  <c r="L70" i="17"/>
  <c r="L69" i="17"/>
  <c r="L100" i="17"/>
  <c r="L95" i="17"/>
  <c r="L55" i="17"/>
  <c r="L56" i="17"/>
  <c r="L58" i="17"/>
  <c r="L57" i="17"/>
  <c r="L96" i="17"/>
  <c r="L97" i="17"/>
  <c r="L86" i="17"/>
  <c r="L103" i="17"/>
  <c r="L82" i="17"/>
  <c r="L99" i="17"/>
  <c r="L83" i="17"/>
  <c r="L101" i="17"/>
  <c r="L102" i="17"/>
  <c r="L98" i="17"/>
  <c r="L62" i="17"/>
  <c r="L61" i="17"/>
  <c r="L50" i="17"/>
  <c r="L49" i="17"/>
  <c r="L48" i="17"/>
  <c r="L66" i="17"/>
  <c r="L65" i="17"/>
  <c r="L117" i="17"/>
  <c r="L118" i="17"/>
  <c r="L84" i="17"/>
  <c r="L85" i="17"/>
  <c r="L104" i="17"/>
  <c r="L105" i="17"/>
  <c r="L67" i="17"/>
  <c r="L68" i="17"/>
  <c r="L106" i="17"/>
  <c r="L60" i="17"/>
  <c r="L59" i="17"/>
  <c r="L108" i="17"/>
  <c r="L109" i="17"/>
  <c r="L110" i="17"/>
  <c r="L71" i="17"/>
  <c r="L72" i="17"/>
  <c r="L111" i="17"/>
  <c r="L112" i="17"/>
  <c r="L73" i="17"/>
  <c r="L74" i="17"/>
  <c r="L113" i="17"/>
  <c r="L114" i="17"/>
  <c r="L77" i="17"/>
  <c r="L75" i="17"/>
  <c r="L78" i="17"/>
  <c r="L79" i="17"/>
  <c r="L81" i="17"/>
  <c r="L80" i="17"/>
  <c r="L115" i="17"/>
  <c r="L116" i="17"/>
  <c r="L89" i="17"/>
  <c r="L119" i="17"/>
  <c r="L120" i="17"/>
  <c r="L127" i="17"/>
  <c r="L124" i="17"/>
  <c r="L121" i="17"/>
  <c r="L122" i="17"/>
  <c r="L123" i="17"/>
  <c r="L125" i="17"/>
  <c r="L126" i="17"/>
  <c r="L129" i="17"/>
  <c r="L130" i="17"/>
  <c r="L128" i="17"/>
  <c r="L132" i="17"/>
  <c r="L146" i="17"/>
  <c r="L133" i="17"/>
  <c r="L147" i="17"/>
  <c r="L148" i="17"/>
  <c r="L139" i="17"/>
  <c r="L140" i="17"/>
  <c r="L150" i="17"/>
  <c r="L145" i="17"/>
  <c r="L154" i="17"/>
  <c r="L134" i="17"/>
  <c r="L151" i="17"/>
  <c r="L135" i="17"/>
  <c r="L136" i="17"/>
  <c r="L137" i="17"/>
  <c r="L138" i="17"/>
  <c r="L152" i="17"/>
  <c r="L142" i="17"/>
  <c r="L141" i="17"/>
  <c r="L149" i="17"/>
  <c r="L153" i="17"/>
  <c r="L144" i="17"/>
  <c r="L143" i="17"/>
  <c r="L157" i="17"/>
  <c r="L158" i="17"/>
  <c r="L155" i="17"/>
  <c r="L156" i="17"/>
  <c r="L159" i="17"/>
  <c r="L160" i="17"/>
  <c r="L161" i="17"/>
  <c r="L162" i="17"/>
  <c r="L163" i="17"/>
  <c r="L164" i="17"/>
  <c r="L165" i="17"/>
  <c r="L166" i="17"/>
  <c r="L167" i="17"/>
  <c r="L171" i="17"/>
  <c r="L172" i="17"/>
  <c r="L180" i="17"/>
  <c r="L173" i="17"/>
  <c r="L174" i="17"/>
  <c r="L170" i="17"/>
  <c r="L176" i="17"/>
  <c r="L175" i="17"/>
  <c r="L186" i="17"/>
  <c r="L187" i="17"/>
  <c r="L188" i="17"/>
  <c r="L177" i="17"/>
  <c r="L168" i="17"/>
  <c r="L185" i="17"/>
  <c r="L184" i="17"/>
  <c r="L169" i="17"/>
  <c r="L178" i="17"/>
  <c r="L179" i="17"/>
  <c r="L181" i="17"/>
  <c r="L182" i="17"/>
  <c r="L183" i="17"/>
  <c r="L275" i="17"/>
  <c r="L220" i="17"/>
  <c r="L224" i="17"/>
  <c r="L222" i="17"/>
  <c r="L266" i="17"/>
  <c r="L225" i="17"/>
  <c r="L189" i="17"/>
  <c r="L190" i="17"/>
  <c r="L227" i="17"/>
  <c r="L228" i="17"/>
  <c r="L263" i="17"/>
  <c r="L229" i="17"/>
  <c r="L230" i="17"/>
  <c r="L193" i="17"/>
  <c r="L194" i="17"/>
  <c r="L232" i="17"/>
  <c r="L233" i="17"/>
  <c r="L249" i="17"/>
  <c r="L234" i="17"/>
  <c r="L208" i="17"/>
  <c r="L236" i="17"/>
  <c r="L235" i="17"/>
  <c r="L241" i="17"/>
  <c r="L237" i="17"/>
  <c r="L238" i="17"/>
  <c r="L239" i="17"/>
  <c r="L240" i="17"/>
  <c r="L192" i="17"/>
  <c r="L191" i="17"/>
  <c r="L242" i="17"/>
  <c r="L195" i="17"/>
  <c r="L196" i="17"/>
  <c r="L243" i="17"/>
  <c r="L244" i="17"/>
  <c r="L197" i="17"/>
  <c r="L198" i="17"/>
  <c r="L245" i="17"/>
  <c r="L199" i="17"/>
  <c r="L200" i="17"/>
  <c r="L246" i="17"/>
  <c r="L247" i="17"/>
  <c r="L202" i="17"/>
  <c r="L201" i="17"/>
  <c r="L231" i="17"/>
  <c r="L223" i="17"/>
  <c r="L204" i="17"/>
  <c r="L203" i="17"/>
  <c r="L250" i="17"/>
  <c r="L205" i="17"/>
  <c r="L252" i="17"/>
  <c r="L253" i="17"/>
  <c r="L255" i="17"/>
  <c r="L256" i="17"/>
  <c r="L257" i="17"/>
  <c r="L219" i="17"/>
  <c r="L258" i="17"/>
  <c r="L259" i="17"/>
  <c r="L260" i="17"/>
  <c r="L209" i="17"/>
  <c r="L210" i="17"/>
  <c r="L265" i="17"/>
  <c r="L262" i="17"/>
  <c r="L264" i="17"/>
  <c r="L261" i="17"/>
  <c r="L211" i="17"/>
  <c r="L276" i="17"/>
  <c r="L221" i="17"/>
  <c r="L267" i="17"/>
  <c r="L251" i="17"/>
  <c r="L268" i="17"/>
  <c r="L269" i="17"/>
  <c r="L270" i="17"/>
  <c r="L214" i="17"/>
  <c r="L215" i="17"/>
  <c r="L216" i="17"/>
  <c r="L271" i="17"/>
  <c r="L272" i="17"/>
  <c r="L273" i="17"/>
  <c r="L218" i="17"/>
  <c r="L217" i="17"/>
  <c r="L274" i="17"/>
  <c r="L278" i="17"/>
  <c r="L277" i="17"/>
  <c r="L283" i="17"/>
  <c r="L284" i="17"/>
  <c r="L286" i="17"/>
  <c r="L280" i="17"/>
  <c r="L279" i="17"/>
  <c r="L281" i="17"/>
  <c r="L282" i="17"/>
  <c r="L288" i="17"/>
  <c r="L287" i="17"/>
  <c r="L285" i="17"/>
  <c r="L291" i="17"/>
  <c r="L292" i="17"/>
  <c r="L293" i="17"/>
  <c r="L294" i="17"/>
  <c r="L295" i="17"/>
  <c r="L296" i="17"/>
  <c r="L290" i="17"/>
  <c r="L298" i="17"/>
  <c r="L299" i="17"/>
  <c r="L302" i="17"/>
  <c r="L301" i="17"/>
  <c r="L300" i="17"/>
  <c r="L289" i="17"/>
  <c r="L303" i="17"/>
  <c r="L305" i="17"/>
  <c r="L306" i="17"/>
  <c r="L307" i="17"/>
  <c r="L309" i="17"/>
  <c r="L310" i="17"/>
  <c r="L311" i="17"/>
  <c r="L304" i="17"/>
  <c r="L308" i="17"/>
  <c r="L314" i="17"/>
  <c r="L313" i="17"/>
  <c r="L315" i="17"/>
  <c r="L316" i="17"/>
  <c r="L317" i="17"/>
  <c r="L318" i="17"/>
  <c r="L320" i="17"/>
  <c r="L321" i="17"/>
  <c r="L324" i="17"/>
  <c r="L323" i="17"/>
  <c r="L322" i="17"/>
  <c r="L319" i="17"/>
  <c r="L8" i="17"/>
</calcChain>
</file>

<file path=xl/sharedStrings.xml><?xml version="1.0" encoding="utf-8"?>
<sst xmlns="http://schemas.openxmlformats.org/spreadsheetml/2006/main" count="7822" uniqueCount="2400">
  <si>
    <t>L</t>
  </si>
  <si>
    <t>M</t>
  </si>
  <si>
    <t>J</t>
  </si>
  <si>
    <t>V</t>
  </si>
  <si>
    <t>S</t>
  </si>
  <si>
    <t>D</t>
  </si>
  <si>
    <t>CADENA</t>
  </si>
  <si>
    <t>ID PDV</t>
  </si>
  <si>
    <t xml:space="preserve">SUCURSAL </t>
  </si>
  <si>
    <t># DC</t>
  </si>
  <si>
    <t>SUPERVISOR</t>
  </si>
  <si>
    <t>Ciudad</t>
  </si>
  <si>
    <t xml:space="preserve">HORARIO </t>
  </si>
  <si>
    <t xml:space="preserve">DÍAS </t>
  </si>
  <si>
    <t>DESCANSO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</si>
  <si>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</si>
  <si>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</si>
  <si>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</si>
  <si>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</si>
  <si>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</si>
  <si>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</si>
  <si>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</si>
  <si>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</si>
  <si>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</si>
  <si>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</si>
  <si>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</si>
  <si>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</si>
  <si>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</si>
  <si>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</si>
  <si>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</si>
  <si>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</si>
  <si>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</si>
  <si>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</si>
  <si>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</si>
  <si>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</si>
  <si>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</si>
  <si>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</si>
  <si>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</si>
  <si>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</si>
  <si>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</si>
  <si>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</si>
  <si>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</si>
  <si>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</si>
  <si>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# DÍAS</t>
  </si>
  <si>
    <t>BENAVIDES</t>
  </si>
  <si>
    <t>N076</t>
  </si>
  <si>
    <t>N076-SUC. LA RIOJA</t>
  </si>
  <si>
    <t>FIJA</t>
  </si>
  <si>
    <t>HERMOSILLO</t>
  </si>
  <si>
    <t>LUN-SAB</t>
  </si>
  <si>
    <t>DOMINGO</t>
  </si>
  <si>
    <t>M143</t>
  </si>
  <si>
    <t>M143-SUC. LINDA VISTA</t>
  </si>
  <si>
    <t>ROTATIVA</t>
  </si>
  <si>
    <t>11:00 A 7:00</t>
  </si>
  <si>
    <t>LUN-MAR-MIE</t>
  </si>
  <si>
    <t>M152</t>
  </si>
  <si>
    <t>M152-SUC. VASCONCELOS</t>
  </si>
  <si>
    <t>N718</t>
  </si>
  <si>
    <t>N718-SUC. MASARYK T1</t>
  </si>
  <si>
    <t>N564</t>
  </si>
  <si>
    <t>N564-SUC. DARWIN</t>
  </si>
  <si>
    <t>M644</t>
  </si>
  <si>
    <t>M644-SUC. AV 13</t>
  </si>
  <si>
    <t>N044</t>
  </si>
  <si>
    <t>N044-SUC. LA PALOMA</t>
  </si>
  <si>
    <t>JUE-VIE-SAB</t>
  </si>
  <si>
    <t>N015</t>
  </si>
  <si>
    <t>N015-SUC. LAGO ALBERTO</t>
  </si>
  <si>
    <t>M496</t>
  </si>
  <si>
    <t>M496-SUC. PITIC</t>
  </si>
  <si>
    <t>N748</t>
  </si>
  <si>
    <t>N748-SUC. GALERÍAS MONTERREY</t>
  </si>
  <si>
    <t>N019</t>
  </si>
  <si>
    <t>N019-SUC. TAINE</t>
  </si>
  <si>
    <t>M818</t>
  </si>
  <si>
    <t>M818-SUC. PLAZA BOSQUES</t>
  </si>
  <si>
    <t>CHEDRAUI</t>
  </si>
  <si>
    <t>06700 CHEDRAUI SELECTO PUEBLA ANGELOPOLIS 09-15</t>
  </si>
  <si>
    <t>00400 CHEDRAUI SELECTO MEXICO POLANCO 05-05</t>
  </si>
  <si>
    <t>00300 CHEDRAUI SELECTO MEXICO PEDREGAL 11-18</t>
  </si>
  <si>
    <t>00200 CHEDRAUI SELECTO MEXICO INTERLOMAS 04-05</t>
  </si>
  <si>
    <t>00700 CHEDRAUI SELECTO MEXICO UNIVERSIDAD 04-05</t>
  </si>
  <si>
    <t>00500 CHEDRAUI SELECTO MEXICO SANTA FE 09-13</t>
  </si>
  <si>
    <t>CITY MARKET</t>
  </si>
  <si>
    <t xml:space="preserve"> CITY MARKET SAN JERONIMO</t>
  </si>
  <si>
    <t xml:space="preserve"> CITY MARKET INTERLOMAS</t>
  </si>
  <si>
    <t xml:space="preserve"> CITY MARKET PLAZA PATRIA</t>
  </si>
  <si>
    <t>CITY MARKET LILAS</t>
  </si>
  <si>
    <t xml:space="preserve"> CITY MARKET SOLESTA</t>
  </si>
  <si>
    <t>EL PALACIO DE HIERRO</t>
  </si>
  <si>
    <t>TIENDA SANTA FE</t>
  </si>
  <si>
    <t>TIENDA LEON</t>
  </si>
  <si>
    <t>LEON</t>
  </si>
  <si>
    <t>JUE-MAR</t>
  </si>
  <si>
    <t>MIÉRCOLES</t>
  </si>
  <si>
    <t>SATELITE</t>
  </si>
  <si>
    <t>TIENDA POLANCO</t>
  </si>
  <si>
    <t>CANCUN</t>
  </si>
  <si>
    <t>RODRIGUEZ GARCIA GUADALUPE</t>
  </si>
  <si>
    <t>ESPECIALIZADAS</t>
  </si>
  <si>
    <t>DIVISION DEL NORTE</t>
  </si>
  <si>
    <t>ABC OBSERVATORIO</t>
  </si>
  <si>
    <t>ABC SANTA FE</t>
  </si>
  <si>
    <t>F AHORRO/DERMA</t>
  </si>
  <si>
    <t>MEGA</t>
  </si>
  <si>
    <t>MEGA GARCIA LAVIN</t>
  </si>
  <si>
    <t>ABAN CANUL ADDY GRACIELA</t>
  </si>
  <si>
    <t>MERIDA</t>
  </si>
  <si>
    <t>MTRS</t>
  </si>
  <si>
    <t>MTRS ROBERTO GARZA SADA</t>
  </si>
  <si>
    <t>MTJE</t>
  </si>
  <si>
    <t>MTJE JERONIMO SILLER</t>
  </si>
  <si>
    <t>MXII</t>
  </si>
  <si>
    <t>MXII INGLATERRA</t>
  </si>
  <si>
    <t>MAOP</t>
  </si>
  <si>
    <t>MAOP OSCAR PEREZ</t>
  </si>
  <si>
    <t>MAZATLAN</t>
  </si>
  <si>
    <t>PEPL</t>
  </si>
  <si>
    <t>PEPL PLAZA BOSQUES</t>
  </si>
  <si>
    <t>TLME</t>
  </si>
  <si>
    <t>TLME METEPEC</t>
  </si>
  <si>
    <t>TOLUCA</t>
  </si>
  <si>
    <t>TLLP</t>
  </si>
  <si>
    <t>TLLP LA PURISIMA</t>
  </si>
  <si>
    <t>CLCT</t>
  </si>
  <si>
    <t>CLCT CENTENARIO</t>
  </si>
  <si>
    <t xml:space="preserve">CARREÑO MONREAL MARIA TERESA </t>
  </si>
  <si>
    <t>MOCHIS</t>
  </si>
  <si>
    <t>MXJM</t>
  </si>
  <si>
    <t>MXJM JESUS DEL MONTE</t>
  </si>
  <si>
    <t>CLTR</t>
  </si>
  <si>
    <t>CLTR TRES RIOS</t>
  </si>
  <si>
    <t>CULIACAN</t>
  </si>
  <si>
    <t>CLJL</t>
  </si>
  <si>
    <t>CLJL JOSE LIMON</t>
  </si>
  <si>
    <t>CLLC</t>
  </si>
  <si>
    <t>CLLC LAZARO CARDENAS</t>
  </si>
  <si>
    <t>COVARRUBIAS HERNANDEZ KELVIN ORLANDO</t>
  </si>
  <si>
    <t>CLIN</t>
  </si>
  <si>
    <t>CLIN INDEPENDENCIA</t>
  </si>
  <si>
    <t>MXAB</t>
  </si>
  <si>
    <t>MXAB ARBOLEDAS</t>
  </si>
  <si>
    <t>MXHS</t>
  </si>
  <si>
    <t>MXHS HUERTAS</t>
  </si>
  <si>
    <t>QRRG</t>
  </si>
  <si>
    <t>QRRG RIO GRANDE</t>
  </si>
  <si>
    <t>LUN-MAR</t>
  </si>
  <si>
    <t>QRMS</t>
  </si>
  <si>
    <t>QRMS 5 DE MAYO SAN JUAN DEL RIO</t>
  </si>
  <si>
    <t>MIE-JUE</t>
  </si>
  <si>
    <t>QRZS</t>
  </si>
  <si>
    <t>QRZS MOCTEZUMA SAN JUAN DEL RIO</t>
  </si>
  <si>
    <t>VIE-SAB</t>
  </si>
  <si>
    <t>MXBS</t>
  </si>
  <si>
    <t>MXBS BASILICA</t>
  </si>
  <si>
    <t>MTRH</t>
  </si>
  <si>
    <t>MTRH RIO RHIN</t>
  </si>
  <si>
    <t>MTSP</t>
  </si>
  <si>
    <t>MTSP SAN PEDRO</t>
  </si>
  <si>
    <t>CLCD</t>
  </si>
  <si>
    <t>CLCD CEDROS</t>
  </si>
  <si>
    <t>MXTE</t>
  </si>
  <si>
    <t>MXTE SANTA TERESA</t>
  </si>
  <si>
    <t>MXCA</t>
  </si>
  <si>
    <t>MXCA CHALCO CUAUHTEMOC</t>
  </si>
  <si>
    <t>MXEK</t>
  </si>
  <si>
    <t>MXEK ESTRELLA ERRANTE</t>
  </si>
  <si>
    <t>MAME</t>
  </si>
  <si>
    <t>MAME MEDITERRANEO</t>
  </si>
  <si>
    <t>MUÑIZ SANCHEZ YARITZEL</t>
  </si>
  <si>
    <t>MACS</t>
  </si>
  <si>
    <t>MACS CANSECO</t>
  </si>
  <si>
    <t>MTAI</t>
  </si>
  <si>
    <t>MTAI RICARDO MARGAIN</t>
  </si>
  <si>
    <t>MUÑOZ CASTILLO MALINAY DEL ROCIO</t>
  </si>
  <si>
    <t>GDJU</t>
  </si>
  <si>
    <t>GDJU JUAN PALOMAR</t>
  </si>
  <si>
    <t>GDAM</t>
  </si>
  <si>
    <t>GDAM AMERICAS</t>
  </si>
  <si>
    <t>HRMA</t>
  </si>
  <si>
    <t>HRMA MARIA MORELOS</t>
  </si>
  <si>
    <t>PEJS</t>
  </si>
  <si>
    <t>PEJS JARDINES DE SAN MANUEL</t>
  </si>
  <si>
    <t>GDBU</t>
  </si>
  <si>
    <t>GDBU BUGAMBILIAS LOS PINOS</t>
  </si>
  <si>
    <t>MXSB</t>
  </si>
  <si>
    <t>MXSB SAN BORJA</t>
  </si>
  <si>
    <t>MXCU</t>
  </si>
  <si>
    <t>MXCU CUAUTITLAN</t>
  </si>
  <si>
    <t>MTMR</t>
  </si>
  <si>
    <t>MTMR MISSOURI</t>
  </si>
  <si>
    <t>GDNA</t>
  </si>
  <si>
    <t>GDNA NARANJITOS</t>
  </si>
  <si>
    <t>GDMV</t>
  </si>
  <si>
    <t>GDMV MONTEVIDEO</t>
  </si>
  <si>
    <t>MXPF</t>
  </si>
  <si>
    <t>MXPF PERIFERICO ORIENTE</t>
  </si>
  <si>
    <t>MXAH</t>
  </si>
  <si>
    <t>MXAH SANTA MARIA AZTAHUACAN</t>
  </si>
  <si>
    <t>GDRL</t>
  </si>
  <si>
    <t>GDRL REAL CENTER</t>
  </si>
  <si>
    <t>SALAMANCA MACIAS TERESA JAZMIN</t>
  </si>
  <si>
    <t>GDAV</t>
  </si>
  <si>
    <t>GDAV AVIACION VALLE REAL</t>
  </si>
  <si>
    <t>MXOG</t>
  </si>
  <si>
    <t>MXOG OJO DE AGUA II</t>
  </si>
  <si>
    <t>PEUD</t>
  </si>
  <si>
    <t>PEUD UDLA 5 DE MAYO</t>
  </si>
  <si>
    <t>MXAG</t>
  </si>
  <si>
    <t>MXAG ARAGON</t>
  </si>
  <si>
    <t>FLEMING</t>
  </si>
  <si>
    <t>BENITO</t>
  </si>
  <si>
    <t>TORRES MACEDA YIREH JANAI</t>
  </si>
  <si>
    <t>MATRIZ</t>
  </si>
  <si>
    <t>FRAGUA</t>
  </si>
  <si>
    <t>JARDIN REAL</t>
  </si>
  <si>
    <t>PLAZA REVOLUCIÓN</t>
  </si>
  <si>
    <t>SAN JOSE DEL. BENITO JUAREZ DF.</t>
  </si>
  <si>
    <t>LA MERCED</t>
  </si>
  <si>
    <t>LAPIZLAZULI</t>
  </si>
  <si>
    <t xml:space="preserve">MEZA FIGUEROA CLAUDIA DEL CARMEN </t>
  </si>
  <si>
    <t>DIV. NORTE</t>
  </si>
  <si>
    <t>RANGEL VILLALOBOS SALLY INDIRA</t>
  </si>
  <si>
    <t>PLAZA PATRIA F</t>
  </si>
  <si>
    <t>RODRIGUEZ SOLORZANO MARIA FERNANDA</t>
  </si>
  <si>
    <t>FRESKO</t>
  </si>
  <si>
    <t>FRESKO LA HERRADURA</t>
  </si>
  <si>
    <t xml:space="preserve"> FRESKO PABELLON BOSQUES</t>
  </si>
  <si>
    <t xml:space="preserve"> FRESKO PLAZA MAYOR LEON</t>
  </si>
  <si>
    <t>HEB</t>
  </si>
  <si>
    <t>LINDA VISTA</t>
  </si>
  <si>
    <t>REYNOSA</t>
  </si>
  <si>
    <t>JURIQUILLA</t>
  </si>
  <si>
    <t>CHIPINQUE</t>
  </si>
  <si>
    <t>PUERTA DE HIERRO</t>
  </si>
  <si>
    <t>LOMAS</t>
  </si>
  <si>
    <t>SAN PEDRO</t>
  </si>
  <si>
    <t>GUERRERO RAMIREZ MONICA DANIELA</t>
  </si>
  <si>
    <t xml:space="preserve">9:00 A 5:00 </t>
  </si>
  <si>
    <t>EJERCITO</t>
  </si>
  <si>
    <t>SAN NICOLAS</t>
  </si>
  <si>
    <t>LOA PALOMO VIRGINIA ALICIA</t>
  </si>
  <si>
    <t>SENDERO</t>
  </si>
  <si>
    <t>CERRO GORDO</t>
  </si>
  <si>
    <t>LOPEZ MATEOS</t>
  </si>
  <si>
    <t>SAN PATRICIO</t>
  </si>
  <si>
    <t>RODRIGUEZ SANCHEZ BRENDA BERENICE</t>
  </si>
  <si>
    <t>AGUASCALIENTES</t>
  </si>
  <si>
    <t>CUMBRES</t>
  </si>
  <si>
    <t>GONZALITOS</t>
  </si>
  <si>
    <t>LA COMER</t>
  </si>
  <si>
    <t xml:space="preserve"> LA COMER COYOACAN</t>
  </si>
  <si>
    <t xml:space="preserve"> LA COMER METEPEC TECNOLOGICO</t>
  </si>
  <si>
    <t xml:space="preserve"> LA COMER LAS ANIMAS</t>
  </si>
  <si>
    <t xml:space="preserve"> LA COMER OLIVAR</t>
  </si>
  <si>
    <t>444 - LA COMER BOSQUE REAL</t>
  </si>
  <si>
    <t xml:space="preserve"> LA COMER LOMAS ANAHUAC</t>
  </si>
  <si>
    <t>420 - LA COMER INSURGENTES</t>
  </si>
  <si>
    <t>431 - LA COMER DEL VALLE</t>
  </si>
  <si>
    <t xml:space="preserve"> LA COMER ANGELOPOLIS</t>
  </si>
  <si>
    <t>445 - LA COMER JURIQUILLA</t>
  </si>
  <si>
    <t>163 - LA COMER CUERNAVACA DIANA</t>
  </si>
  <si>
    <t>CUERNAVACA</t>
  </si>
  <si>
    <t>LIVERPOOL</t>
  </si>
  <si>
    <t>L CENTRO</t>
  </si>
  <si>
    <t>L MONTERREY</t>
  </si>
  <si>
    <t>L MERIDA</t>
  </si>
  <si>
    <t>L PARQUE DELTA</t>
  </si>
  <si>
    <t>L COYOACAN MITIKAH</t>
  </si>
  <si>
    <t>L INSURGENTES</t>
  </si>
  <si>
    <t>L LINDAVISTA</t>
  </si>
  <si>
    <t>L MAZATLAN</t>
  </si>
  <si>
    <t>L SATELITE</t>
  </si>
  <si>
    <t>L  SANTA FE</t>
  </si>
  <si>
    <t>L POLANCO</t>
  </si>
  <si>
    <t>L TOLUCA</t>
  </si>
  <si>
    <t>L MONTERREY LA FE</t>
  </si>
  <si>
    <t>L PERISUR</t>
  </si>
  <si>
    <t>L PUEBLA</t>
  </si>
  <si>
    <t>SAN PABLO</t>
  </si>
  <si>
    <t>FRAY SERVANDO</t>
  </si>
  <si>
    <t>ALANIS ALARCON ANGEL URIEL</t>
  </si>
  <si>
    <t>CUITLÁHUAC</t>
  </si>
  <si>
    <t>VILLALONGÍN</t>
  </si>
  <si>
    <t>CENTRO</t>
  </si>
  <si>
    <t>CHALCO CENTRO</t>
  </si>
  <si>
    <t>SANTA FE</t>
  </si>
  <si>
    <t>POLANCO</t>
  </si>
  <si>
    <t>CENTENARIO</t>
  </si>
  <si>
    <t>LAS ÁGUILAS</t>
  </si>
  <si>
    <t>FTES. DE SATÉLITE</t>
  </si>
  <si>
    <t>LOMAS VERDES</t>
  </si>
  <si>
    <t>EJE 5</t>
  </si>
  <si>
    <t>JESUS DEL MONTE</t>
  </si>
  <si>
    <t>NEZA</t>
  </si>
  <si>
    <t>REVOLUCIÓN</t>
  </si>
  <si>
    <t>MONTEVIDEO</t>
  </si>
  <si>
    <t>ALTAVISTA</t>
  </si>
  <si>
    <t>ARAGON</t>
  </si>
  <si>
    <t>INTERLOMAS</t>
  </si>
  <si>
    <t>ISABEL LA CATÓLICA</t>
  </si>
  <si>
    <t>DE LEON CORONA ALAN MAURICIO</t>
  </si>
  <si>
    <t>SAN JERÓNIMO</t>
  </si>
  <si>
    <t>FONSECA MARES YAZMIN</t>
  </si>
  <si>
    <t>ARBOLEDAS</t>
  </si>
  <si>
    <t>COACALCO</t>
  </si>
  <si>
    <t>MUNDO E</t>
  </si>
  <si>
    <t>CASMA</t>
  </si>
  <si>
    <t>BOSQUE DE MINAS</t>
  </si>
  <si>
    <t>TECAMACHALCO</t>
  </si>
  <si>
    <t>TECNOLÓGICO DE METEPEC</t>
  </si>
  <si>
    <t xml:space="preserve">GONZALEZ VILLALPANDO MHIRYAM                      </t>
  </si>
  <si>
    <t>TOLUCA CENTRO</t>
  </si>
  <si>
    <t>EJE 10</t>
  </si>
  <si>
    <t>TAXQUEÑA</t>
  </si>
  <si>
    <t>MARIO COLIN</t>
  </si>
  <si>
    <t>AZCAPOTZALCO</t>
  </si>
  <si>
    <t>PLAZA JARDINES</t>
  </si>
  <si>
    <t>CAMARONES</t>
  </si>
  <si>
    <t>LUIS CABRERA</t>
  </si>
  <si>
    <t>TLALNEPANTLA</t>
  </si>
  <si>
    <t>CHILUCA</t>
  </si>
  <si>
    <t>CHIMALHUACÁN</t>
  </si>
  <si>
    <t>PATRIA GUADALUPE</t>
  </si>
  <si>
    <t>SANTA TERESA</t>
  </si>
  <si>
    <t>JIMENEZ RODRIGUEZ BLANCA AZUCENA</t>
  </si>
  <si>
    <t>AJUSCO</t>
  </si>
  <si>
    <t>JARDINES DE MORELOS</t>
  </si>
  <si>
    <t>AVILA CAMACHO</t>
  </si>
  <si>
    <t>MARTINEZ GONZALEZ LAURA ALICIA</t>
  </si>
  <si>
    <t>PUNTO SUR</t>
  </si>
  <si>
    <t>PRADO NORTE</t>
  </si>
  <si>
    <t>MENDEZ JACOBO BEATRIZ</t>
  </si>
  <si>
    <t>PATRIOTISMO</t>
  </si>
  <si>
    <t>AZTECAS</t>
  </si>
  <si>
    <t>METEPEC</t>
  </si>
  <si>
    <t>RÍO MAYO</t>
  </si>
  <si>
    <t>BERNARDO QUINTANA</t>
  </si>
  <si>
    <t>ALBINO CORZO</t>
  </si>
  <si>
    <t>DOMINGO DIEZ</t>
  </si>
  <si>
    <t>C. LAS TROJES</t>
  </si>
  <si>
    <t>PASQUALLI RODRIGUEZ DIANA CAROLINA</t>
  </si>
  <si>
    <t>EL REFUGIO</t>
  </si>
  <si>
    <t>PEREZ SANDOVAL MARIA</t>
  </si>
  <si>
    <t>CUAUTITLAN IZCALLI</t>
  </si>
  <si>
    <t>PLAZA CONSTITUYENTES</t>
  </si>
  <si>
    <t>RAMIREZ BAUTISTA ANA MARIELA</t>
  </si>
  <si>
    <t>HOMERO</t>
  </si>
  <si>
    <t>TEZONTLE</t>
  </si>
  <si>
    <t>ALAMEDAS</t>
  </si>
  <si>
    <t>MIRAMONTES</t>
  </si>
  <si>
    <t>MEXICO TACUBA</t>
  </si>
  <si>
    <t>CASTORENA</t>
  </si>
  <si>
    <t>STIM</t>
  </si>
  <si>
    <t>MUZQUIZ</t>
  </si>
  <si>
    <t>CAFETALES</t>
  </si>
  <si>
    <t>CANDELARIA</t>
  </si>
  <si>
    <t>XOCHIMILCO</t>
  </si>
  <si>
    <t>SCOP</t>
  </si>
  <si>
    <t>TLALPAN</t>
  </si>
  <si>
    <t>LA VIGA</t>
  </si>
  <si>
    <t>VERTIZ</t>
  </si>
  <si>
    <t>DIVISIÓN DEL NORTE</t>
  </si>
  <si>
    <t>AV TOLUCA</t>
  </si>
  <si>
    <t>SANAPIEL</t>
  </si>
  <si>
    <t>ARCOS</t>
  </si>
  <si>
    <t>OBLATOS</t>
  </si>
  <si>
    <t>EL TAJO</t>
  </si>
  <si>
    <t>LAMAS GUTIERREZ ROSA MARIA</t>
  </si>
  <si>
    <t>PLAZA DEL SOL</t>
  </si>
  <si>
    <t>DERMATOLOGICO</t>
  </si>
  <si>
    <t>PATRIA UNIVERSIDAD</t>
  </si>
  <si>
    <t>MENDOZA MENDIOLA VANESSA</t>
  </si>
  <si>
    <t>MANANTIAL</t>
  </si>
  <si>
    <t>PEREZ HERNANDEZ LETICIA</t>
  </si>
  <si>
    <t>NUEVA GALICIA</t>
  </si>
  <si>
    <t>GRAN PLAZA</t>
  </si>
  <si>
    <t>QUEVEDO REYNOSO MARICELA</t>
  </si>
  <si>
    <t>ANDARES GRAN PATIO</t>
  </si>
  <si>
    <t>SANBORNS</t>
  </si>
  <si>
    <t>PLAZA CARSO</t>
  </si>
  <si>
    <t>PARQUE TEZONTLE</t>
  </si>
  <si>
    <t>PERISUR</t>
  </si>
  <si>
    <t>CULIACAN FORUM</t>
  </si>
  <si>
    <t>MERIDA ALTABRISA</t>
  </si>
  <si>
    <t>MARTINEZ GUTIERREZ MARIA GUADALUPE</t>
  </si>
  <si>
    <t>PARQUE DELTA</t>
  </si>
  <si>
    <t>OLVERA COLIN ANGELA</t>
  </si>
  <si>
    <t>PLAZA RIO</t>
  </si>
  <si>
    <t>ORTEGA RAMOS WENDY MELISSA</t>
  </si>
  <si>
    <t>TIJUANA</t>
  </si>
  <si>
    <t>REFORMA 222</t>
  </si>
  <si>
    <t>PLAZA ANGELOPOLIS</t>
  </si>
  <si>
    <t>VIA VALLEJO</t>
  </si>
  <si>
    <t>SEARS</t>
  </si>
  <si>
    <t>UNIVERSIDAD</t>
  </si>
  <si>
    <t>LOS MOCHIS</t>
  </si>
  <si>
    <t>CARAVEO RUIZ YARED</t>
  </si>
  <si>
    <t>LINDAVISTA</t>
  </si>
  <si>
    <t>MAZATLÁN</t>
  </si>
  <si>
    <t>RIO</t>
  </si>
  <si>
    <t>VELASCO FERNANDEZ ANAYELI</t>
  </si>
  <si>
    <t>SEPHORA</t>
  </si>
  <si>
    <t>1813 SEPHORA SANTA FE</t>
  </si>
  <si>
    <t>1954 SEPHORA DELTA</t>
  </si>
  <si>
    <t>1804 SEPHORA ANTARA</t>
  </si>
  <si>
    <t>1986 SEPHORA OASIS COYOACAN</t>
  </si>
  <si>
    <t>SORIANA</t>
  </si>
  <si>
    <t>PILARES</t>
  </si>
  <si>
    <t>GRAN TERRAZA COAPA</t>
  </si>
  <si>
    <t xml:space="preserve">PALMAS </t>
  </si>
  <si>
    <t>M821</t>
  </si>
  <si>
    <t>FELIX CUEVAS</t>
  </si>
  <si>
    <t>N266</t>
  </si>
  <si>
    <t>PLAZA OASIS</t>
  </si>
  <si>
    <t>N727</t>
  </si>
  <si>
    <t>MASARYK Y SENECA</t>
  </si>
  <si>
    <t>02600 SUPER CHEDRAUI SELECTO MEX. SAMARA 11-11</t>
  </si>
  <si>
    <t xml:space="preserve">PRADO NORTE </t>
  </si>
  <si>
    <t>MXBN</t>
  </si>
  <si>
    <t>MXBN LUIS BARRAGAN</t>
  </si>
  <si>
    <t>MXFA</t>
  </si>
  <si>
    <t>MXFA FLORENCIA</t>
  </si>
  <si>
    <t>MXNL</t>
  </si>
  <si>
    <t>MXNL NUEVO LEON</t>
  </si>
  <si>
    <t>MXPC</t>
  </si>
  <si>
    <t>MXPC POLANCO</t>
  </si>
  <si>
    <t>MXPE</t>
  </si>
  <si>
    <t>MXPE PEDREGAL</t>
  </si>
  <si>
    <t>MXQU</t>
  </si>
  <si>
    <t>MXQU TARASQUILLO</t>
  </si>
  <si>
    <t>MXSI</t>
  </si>
  <si>
    <t>MXSI SIGLO XXI</t>
  </si>
  <si>
    <t>MXVU</t>
  </si>
  <si>
    <t>MXVU VALLE SUR</t>
  </si>
  <si>
    <t>FRESKO SATÉLITE</t>
  </si>
  <si>
    <t>LA COMER VILLA COAPA</t>
  </si>
  <si>
    <t>LA COMER BOSQUE ESMERALDA</t>
  </si>
  <si>
    <t>SAN FERNANDO</t>
  </si>
  <si>
    <t>CENTRO COMERCIAL SANTA F</t>
  </si>
  <si>
    <t xml:space="preserve">SATELITE </t>
  </si>
  <si>
    <t>GDPU</t>
  </si>
  <si>
    <t>GDPU PATRIA UNIVERSIDAD</t>
  </si>
  <si>
    <t>L ZAPOPAN</t>
  </si>
  <si>
    <t>L TLAQUEPAQUE</t>
  </si>
  <si>
    <t>L GUADALAJARA</t>
  </si>
  <si>
    <t>L GUADALAJARA OBLATOS</t>
  </si>
  <si>
    <t>CORDILLERAS</t>
  </si>
  <si>
    <t>GHENZA</t>
  </si>
  <si>
    <t>GUADALAJARA GALERIAS</t>
  </si>
  <si>
    <t>IRAPUATO</t>
  </si>
  <si>
    <t>LGCL</t>
  </si>
  <si>
    <t>LGCL CLOUTHIER</t>
  </si>
  <si>
    <t>L LEON ALTACIA</t>
  </si>
  <si>
    <t>L MERIDA CABO NORTE</t>
  </si>
  <si>
    <t>MERIDA PLAZA</t>
  </si>
  <si>
    <t>M131</t>
  </si>
  <si>
    <t>CENTRO DE MTY</t>
  </si>
  <si>
    <t>MTAD</t>
  </si>
  <si>
    <t>MTAD ENRIQUE LIVAS</t>
  </si>
  <si>
    <t>MTAO</t>
  </si>
  <si>
    <t>MTAO APODACA</t>
  </si>
  <si>
    <t>MTBC</t>
  </si>
  <si>
    <t>MTBC BARCELONA</t>
  </si>
  <si>
    <t>MTBV</t>
  </si>
  <si>
    <t>MTBV PLUS SUCHIATE</t>
  </si>
  <si>
    <t>MTCA</t>
  </si>
  <si>
    <t>MTCA CALZADA</t>
  </si>
  <si>
    <t>MTCM</t>
  </si>
  <si>
    <t>MTCM CUMBRES DE LOS ALPES</t>
  </si>
  <si>
    <t>MTCS</t>
  </si>
  <si>
    <t>MTCS CALZADA SAN PEDRO</t>
  </si>
  <si>
    <t>MTCW</t>
  </si>
  <si>
    <t>MTCW CORPORATIVO</t>
  </si>
  <si>
    <t>MTGS GARZA SADA SUR</t>
  </si>
  <si>
    <t>MTGT</t>
  </si>
  <si>
    <t>MTGT GLORIETA CALZADA</t>
  </si>
  <si>
    <t>MTHU</t>
  </si>
  <si>
    <t>MTHU HUINALA</t>
  </si>
  <si>
    <t>MTJN</t>
  </si>
  <si>
    <t>MTJN PLAZA SAN JERONIMO</t>
  </si>
  <si>
    <t>MTRP</t>
  </si>
  <si>
    <t>MTRP RIO DE LA PLATA</t>
  </si>
  <si>
    <t>MTSE</t>
  </si>
  <si>
    <t>MTSE SIENNA</t>
  </si>
  <si>
    <t>TEC</t>
  </si>
  <si>
    <t>EL URO</t>
  </si>
  <si>
    <t>CONTRY</t>
  </si>
  <si>
    <t>VALLE ALTO</t>
  </si>
  <si>
    <t>VALLE ORIENTE</t>
  </si>
  <si>
    <t>MONTERREY NUEVO SUR</t>
  </si>
  <si>
    <t>SAN JERONIMO MTY</t>
  </si>
  <si>
    <t>OXUN</t>
  </si>
  <si>
    <t>OXUN UNIVERSIDAD</t>
  </si>
  <si>
    <t>ANGELÓPOLIS</t>
  </si>
  <si>
    <t>LA COMER ALAMOS</t>
  </si>
  <si>
    <t>LGJR</t>
  </si>
  <si>
    <t>LGJR JUVENTINO ROSAS</t>
  </si>
  <si>
    <t>MTGS</t>
  </si>
  <si>
    <t xml:space="preserve">FRESKO MIGUEL ANGEL DE QUEVEDO </t>
  </si>
  <si>
    <t>LAS FUENTES</t>
  </si>
  <si>
    <t>GUADALAJARA</t>
  </si>
  <si>
    <t>MONTERREY</t>
  </si>
  <si>
    <t>OAXACA</t>
  </si>
  <si>
    <t>PUEBLA</t>
  </si>
  <si>
    <t>QUERETARO</t>
  </si>
  <si>
    <t>TERRITORIO</t>
  </si>
  <si>
    <t xml:space="preserve">REYES AYBAR LILIANA </t>
  </si>
  <si>
    <t>Ciudad de México</t>
  </si>
  <si>
    <t>ACTIVO</t>
  </si>
  <si>
    <t xml:space="preserve">AGUIRRE CAMACHO ATZIN SUSANA </t>
  </si>
  <si>
    <t xml:space="preserve">ANIMAS SAUCEDO ANA CRISTINA </t>
  </si>
  <si>
    <t>RANGEL PICON ADRIANA</t>
  </si>
  <si>
    <t xml:space="preserve">AVILA BELTRAN GLORIA MARIBEL </t>
  </si>
  <si>
    <t xml:space="preserve">MONROY GONZALEZ MARIA ZENAIDA </t>
  </si>
  <si>
    <t>GUANAJUATO</t>
  </si>
  <si>
    <t xml:space="preserve">FERNANDEZ SANCHEZ MIGUEL ANGEL </t>
  </si>
  <si>
    <t xml:space="preserve">BAUTISTA CORONA REYNA </t>
  </si>
  <si>
    <t xml:space="preserve">LOPEZ GUTIERREZ LUZ EVELIA </t>
  </si>
  <si>
    <t xml:space="preserve">CHAVEZ RAMOS  JONATAN RAYMUNDO </t>
  </si>
  <si>
    <t xml:space="preserve">ESTRADA NAVA MIRIAM ROCIO </t>
  </si>
  <si>
    <t>GONZALEZ BALDERAS DIANA</t>
  </si>
  <si>
    <t>URIZAR MARTINEZ SUSANA</t>
  </si>
  <si>
    <t xml:space="preserve">GUTIERREZ ROMERO MARUJA BETTY </t>
  </si>
  <si>
    <t xml:space="preserve">LOPEZ ESTRADA SILVIA BERENICE </t>
  </si>
  <si>
    <t>MONTAGNER OLIVARES MIGUEL ANGEL</t>
  </si>
  <si>
    <t xml:space="preserve">HERNANDEZ YENI ESPINAL </t>
  </si>
  <si>
    <t>FRESKO MIGUEL ANGEL</t>
  </si>
  <si>
    <t>LOMAS DE ANGELOPOLIS</t>
  </si>
  <si>
    <t>ZONA PLATEADA</t>
  </si>
  <si>
    <t>ZAVALETA</t>
  </si>
  <si>
    <t>EJERCITO NACIONAL</t>
  </si>
  <si>
    <t>IMAN</t>
  </si>
  <si>
    <t>MITIKAH</t>
  </si>
  <si>
    <t xml:space="preserve">PUEBLA </t>
  </si>
  <si>
    <t>CIUDAD DE MÉXICO</t>
  </si>
  <si>
    <t>TAMPICO</t>
  </si>
  <si>
    <t>COAHUILA</t>
  </si>
  <si>
    <t>JUE-VIE-DOM</t>
  </si>
  <si>
    <t>ANGELOPOLIS</t>
  </si>
  <si>
    <t>SAN FRANCISCO DEL RINCON</t>
  </si>
  <si>
    <t>LUN-MIER-VIER</t>
  </si>
  <si>
    <t>MAR-JUE-SAB</t>
  </si>
  <si>
    <t>BTL CVE</t>
  </si>
  <si>
    <t>DIRECCIÓN</t>
  </si>
  <si>
    <t>COORDENADAS</t>
  </si>
  <si>
    <t>BTL-BEN-SUC.-2Y</t>
  </si>
  <si>
    <t>BTL-BEN-SUC.-WI</t>
  </si>
  <si>
    <t>BTL-BEN-SUC.-DF</t>
  </si>
  <si>
    <t>BTL-BEN-SUC.-9D</t>
  </si>
  <si>
    <t>BTL-BEN-SUC.-A0</t>
  </si>
  <si>
    <t>BTL-BEN-SUC.-GO</t>
  </si>
  <si>
    <t>BTL-BEN-SUC.-BE</t>
  </si>
  <si>
    <t>BTL-BEN-SUC.-6Y</t>
  </si>
  <si>
    <t>BTL-BEN-SUC.-CO</t>
  </si>
  <si>
    <t>BTL-BEN-SUC.-G8</t>
  </si>
  <si>
    <t>BTL-BEN-SUC.-X3</t>
  </si>
  <si>
    <t>BTL-BEN-SUC.-KW</t>
  </si>
  <si>
    <t>BTL-BEN-CENT-2G</t>
  </si>
  <si>
    <t>BTL-BEN-FELI-76</t>
  </si>
  <si>
    <t>BTL-BEN-MASA-YO</t>
  </si>
  <si>
    <t>BTL-BEN-PLAZ-D7</t>
  </si>
  <si>
    <t>BTL-CHE-SELE-WS</t>
  </si>
  <si>
    <t>BTL-CHE-SELE-LD</t>
  </si>
  <si>
    <t>BTL-CHE-SELE-SU</t>
  </si>
  <si>
    <t>BTL-CHE-SELE-ID</t>
  </si>
  <si>
    <t>BTL-CHE-INTE-DL</t>
  </si>
  <si>
    <t>BTL-CHE-SELE-KJ</t>
  </si>
  <si>
    <t>BTL-CHE-SAMA-JW</t>
  </si>
  <si>
    <t>BTL-CIT-SANJ-2M</t>
  </si>
  <si>
    <t>BTL-CIT-INTE-YB</t>
  </si>
  <si>
    <t>BTL-CIT-PLAZ-YI</t>
  </si>
  <si>
    <t>BTL-CIT-LILA-1U</t>
  </si>
  <si>
    <t>BTL-CIT-SOLE-55</t>
  </si>
  <si>
    <t>BTL-CIT-PLAZ-8Q</t>
  </si>
  <si>
    <t>BTL-CIT-PLAZ-ST</t>
  </si>
  <si>
    <t>BTL-PAL-SANT-FZ</t>
  </si>
  <si>
    <t>BTL-PAL-SATE-0F</t>
  </si>
  <si>
    <t>BTL-PAL-POLA-MF</t>
  </si>
  <si>
    <t>BTL-PAL-LEON-VZ</t>
  </si>
  <si>
    <t>BTL-PAL-CANC-GP</t>
  </si>
  <si>
    <t>BTL-ESP-DIVI-F6</t>
  </si>
  <si>
    <t>BTL-ESP-ABCO-7C</t>
  </si>
  <si>
    <t>BTL-ESP-ABCS-ST</t>
  </si>
  <si>
    <t>BTL-FAH-GARC-M7</t>
  </si>
  <si>
    <t>BTL-FAH-ROBE-RV</t>
  </si>
  <si>
    <t>BTL-FAH-JERO-UT</t>
  </si>
  <si>
    <t>BTL-FAH-INGL-YE</t>
  </si>
  <si>
    <t>BTL-FAH-OSCA-4A</t>
  </si>
  <si>
    <t>BTL-FAH-PLAZ-7K</t>
  </si>
  <si>
    <t>BTL-FAH-METE-4A</t>
  </si>
  <si>
    <t>BTL-FAH-LAPU-ON</t>
  </si>
  <si>
    <t>BTL-FAH-CENT-1B</t>
  </si>
  <si>
    <t>BTL-FAH-JESU-ZA</t>
  </si>
  <si>
    <t>BTL-FAH-TRES-EM</t>
  </si>
  <si>
    <t>BTL-FAH-JOSE-KX</t>
  </si>
  <si>
    <t>BTL-FAH-LAZA-8E</t>
  </si>
  <si>
    <t>BTL-FAH-INDE-7I</t>
  </si>
  <si>
    <t>BTL-FAH-ARBO-05</t>
  </si>
  <si>
    <t>BTL-FAH-UDLA-VS</t>
  </si>
  <si>
    <t>BTL-FAH-HUER-FR</t>
  </si>
  <si>
    <t>BTL-FAH-RIOG-YP</t>
  </si>
  <si>
    <t>BTL-FAH-BASI-K2</t>
  </si>
  <si>
    <t>BTL-FAH-RIOR-AF</t>
  </si>
  <si>
    <t>BTL-FAH-SANP-J4</t>
  </si>
  <si>
    <t>BTL-FAH-CEDR-M5</t>
  </si>
  <si>
    <t>BTL-FAH-SANT-HB</t>
  </si>
  <si>
    <t>BTL-FAH-CHAL-SU</t>
  </si>
  <si>
    <t>BTL-FAH-ESTR-3G</t>
  </si>
  <si>
    <t>BTL-FAH-MEDI-C1</t>
  </si>
  <si>
    <t>BTL-FAH-CANS-R8</t>
  </si>
  <si>
    <t>BTL-FAH-RICA-G6</t>
  </si>
  <si>
    <t>BTL-FAH-JUAN-4U</t>
  </si>
  <si>
    <t>BTL-FAH-AMER-BU</t>
  </si>
  <si>
    <t>BTL-FAH-MARI-2P</t>
  </si>
  <si>
    <t>BTL-FAH-SANB-V2</t>
  </si>
  <si>
    <t>BTL-FAH-HUIN-29</t>
  </si>
  <si>
    <t>BTL-FAH-APOD-EG</t>
  </si>
  <si>
    <t>BTL-FAH-CUAU-0E</t>
  </si>
  <si>
    <t>BTL-FAH-MISS-YT</t>
  </si>
  <si>
    <t>BTL-FAH-NARA-G4</t>
  </si>
  <si>
    <t>BTL-FAH-MONT-9B</t>
  </si>
  <si>
    <t>BTL-FAH-REAL-ND</t>
  </si>
  <si>
    <t>BTL-FAH-AVIA-02</t>
  </si>
  <si>
    <t>BTL-FAH-OJOD-R4</t>
  </si>
  <si>
    <t>BTL-FAH-ARAG-YM</t>
  </si>
  <si>
    <t>BTL-FAH-CLOU-G3</t>
  </si>
  <si>
    <t>BTL-FAH-JUVE-LN</t>
  </si>
  <si>
    <t>BTL-FAH-PLUS-IT</t>
  </si>
  <si>
    <t>BTL-FAH-CALZ-KJ</t>
  </si>
  <si>
    <t>BTL-FAH-CORP-Z6</t>
  </si>
  <si>
    <t>BTL-FAH-GLOR-HW</t>
  </si>
  <si>
    <t>BTL-FAH-PLAZ-S5</t>
  </si>
  <si>
    <t>BTL-FAH-LUIS-9S</t>
  </si>
  <si>
    <t>BTL-FAH-FLOR-FE</t>
  </si>
  <si>
    <t>BTL-FAH-POLA-HM</t>
  </si>
  <si>
    <t>BTL-FAH-SIGL-6A</t>
  </si>
  <si>
    <t>BTL-FAH-VALL-7K</t>
  </si>
  <si>
    <t>BTL-FAH-UNIV-N8</t>
  </si>
  <si>
    <t>BTL-FLE-BENI-93</t>
  </si>
  <si>
    <t>BTL-FLE-MATR-Q6</t>
  </si>
  <si>
    <t>BTL-FRA-JARD-H3</t>
  </si>
  <si>
    <t>BTL-FRA-PLAZ-OS</t>
  </si>
  <si>
    <t>BTL-FRA-LAPI-J7</t>
  </si>
  <si>
    <t>BTL-FRA-LAME-S2</t>
  </si>
  <si>
    <t>BTL-FRA-DIV.-T8</t>
  </si>
  <si>
    <t>BTL-FRA-PLAZ-TB</t>
  </si>
  <si>
    <t>BTL-HEB-LASF-HC</t>
  </si>
  <si>
    <t>BTL-HEB-LIND-IU</t>
  </si>
  <si>
    <t>BTL-HEB-JURI-X1</t>
  </si>
  <si>
    <t>BTL-HEB-CHIP-51</t>
  </si>
  <si>
    <t>BTL-HEB-CONT-UY</t>
  </si>
  <si>
    <t>BTL-HEB-TEC-O6</t>
  </si>
  <si>
    <t>BTL-HEB-PUER-HG</t>
  </si>
  <si>
    <t>BTL-HEB-LOMA-IW</t>
  </si>
  <si>
    <t>BTL-HEB-SANP-QP</t>
  </si>
  <si>
    <t>BTL-HEB-EJER-GA</t>
  </si>
  <si>
    <t>BTL-HEB-SANN-3B</t>
  </si>
  <si>
    <t>BTL-HEB-SEND-8G</t>
  </si>
  <si>
    <t>BTL-HEB-LOPE-R6</t>
  </si>
  <si>
    <t>BTL-HEB-CERR-DM</t>
  </si>
  <si>
    <t>BTL-HEB-SANP-S1</t>
  </si>
  <si>
    <t>BTL-HEB-AGUA-3X</t>
  </si>
  <si>
    <t>BTL-HEB-GONZ-U6</t>
  </si>
  <si>
    <t>BTL-HEB-CUMB-N3</t>
  </si>
  <si>
    <t>BTL-HEB-ELUR-PK</t>
  </si>
  <si>
    <t>BTL-HEB-IRAP-TT</t>
  </si>
  <si>
    <t>BTL-HEB-VALL-XP</t>
  </si>
  <si>
    <t>BTL-SAN-FRAY-1U</t>
  </si>
  <si>
    <t>BTL-SAN-CUIT-59</t>
  </si>
  <si>
    <t>BTL-SAN-VILL-Q0</t>
  </si>
  <si>
    <t>BTL-SAN-CHAL-S2</t>
  </si>
  <si>
    <t>BTL-SAN-SANT-PX</t>
  </si>
  <si>
    <t>BTL-SAN-POLA-XC</t>
  </si>
  <si>
    <t>BTL-SAN-CENT-8H</t>
  </si>
  <si>
    <t>BTL-SAN-LASÁ-0P</t>
  </si>
  <si>
    <t>BTL-SAN-FTES-EG</t>
  </si>
  <si>
    <t>BTL-SAN-LOMA-0N</t>
  </si>
  <si>
    <t>BTL-SAN-EJE5-JM</t>
  </si>
  <si>
    <t>BTL-SAN-JESU-BC</t>
  </si>
  <si>
    <t>BTL-SAN-NEZA-2J</t>
  </si>
  <si>
    <t>BTL-SAN-CENT-C3</t>
  </si>
  <si>
    <t>BTL-SAN-REVO-NY</t>
  </si>
  <si>
    <t>BTL-SAN-MONT-CF</t>
  </si>
  <si>
    <t>BTL-SAN-ALTA-OE</t>
  </si>
  <si>
    <t>BTL-SAN-ARAG-2W</t>
  </si>
  <si>
    <t>BTL-SAN-INTE-AY</t>
  </si>
  <si>
    <t>BTL-SAN-ISAB-BK</t>
  </si>
  <si>
    <t>BTL-SAN-SANJ-6M</t>
  </si>
  <si>
    <t>BTL-SAN-ARBO-XI</t>
  </si>
  <si>
    <t>BTL-SAN-COAC-OP</t>
  </si>
  <si>
    <t>BTL-SAN-MUND-5Z</t>
  </si>
  <si>
    <t>BTL-SAN-CASM-XB</t>
  </si>
  <si>
    <t>BTL-SAN-BOSQ-5X</t>
  </si>
  <si>
    <t>BTL-SAN-TECA-LK</t>
  </si>
  <si>
    <t>BTL-SAN-TOLU-8C</t>
  </si>
  <si>
    <t>BTL-SAN-EJE1-99</t>
  </si>
  <si>
    <t>BTL-SAN-TAXQ-QX</t>
  </si>
  <si>
    <t>BTL-SAN-MARI-AX</t>
  </si>
  <si>
    <t>BTL-SAN-AZCA-96</t>
  </si>
  <si>
    <t>BTL-SAN-PLAZ-29</t>
  </si>
  <si>
    <t>BTL-SAN-CAMA-MI</t>
  </si>
  <si>
    <t>BTL-SAN-LUIS-N4</t>
  </si>
  <si>
    <t>BTL-SAN-TLAL-JN</t>
  </si>
  <si>
    <t>BTL-SAN-CHIL-1G</t>
  </si>
  <si>
    <t>BTL-SAN-CHIM-O3</t>
  </si>
  <si>
    <t>BTL-SAN-PATR-UP</t>
  </si>
  <si>
    <t>BTL-SAN-SANT-JQ</t>
  </si>
  <si>
    <t>BTL-SAN-AJUS-BC</t>
  </si>
  <si>
    <t>BTL-SAN-JARD-8O</t>
  </si>
  <si>
    <t>BTL-SAN-AVIL-1R</t>
  </si>
  <si>
    <t>BTL-SAN-PUNT-YL</t>
  </si>
  <si>
    <t>BTL-SAN-PRAD-Q0</t>
  </si>
  <si>
    <t>BTL-SAN-PATR-HG</t>
  </si>
  <si>
    <t>BTL-SAN-AZTE-KI</t>
  </si>
  <si>
    <t>BTL-SAN-METE-LQ</t>
  </si>
  <si>
    <t>BTL-SAN-RÍOM-6V</t>
  </si>
  <si>
    <t>BTL-SAN-BERN-X6</t>
  </si>
  <si>
    <t>BTL-SAN-ALBI-5R</t>
  </si>
  <si>
    <t>BTL-SAN-DOMI-VR</t>
  </si>
  <si>
    <t>BTL-SAN-C.LA-MJ</t>
  </si>
  <si>
    <t>BTL-SAN-SATE-H8</t>
  </si>
  <si>
    <t>BTL-SAN-JURI-2H</t>
  </si>
  <si>
    <t>BTL-SAN-ELRE-B5</t>
  </si>
  <si>
    <t>BTL-SAN-CUAU-AK</t>
  </si>
  <si>
    <t>BTL-SAN-HOME-4Y</t>
  </si>
  <si>
    <t>BTL-SAN-TEZO-AO</t>
  </si>
  <si>
    <t>BTL-SAN-ALAM-44</t>
  </si>
  <si>
    <t>BTL-SAN-MIRA-VS</t>
  </si>
  <si>
    <t>BTL-SAN-MEXI-4H</t>
  </si>
  <si>
    <t>BTL-SAN-TOLU-VV</t>
  </si>
  <si>
    <t>BTL-SAN-MUZQ-C6</t>
  </si>
  <si>
    <t>BTL-SAN-CAFE-G5</t>
  </si>
  <si>
    <t>BTL-SAN-CAND-DB</t>
  </si>
  <si>
    <t>BTL-SAN-XOCH-RI</t>
  </si>
  <si>
    <t>BTL-SAN-SCOP-4Y</t>
  </si>
  <si>
    <t>BTL-SAN-TLAL-CX</t>
  </si>
  <si>
    <t>BTL-SAN-CAST-H9</t>
  </si>
  <si>
    <t>BTL-SAN-STIM-27</t>
  </si>
  <si>
    <t>BTL-SAN-LAVI-LM</t>
  </si>
  <si>
    <t>BTL-SAN-VERT-T5</t>
  </si>
  <si>
    <t>BTL-SAN-DIVI-QT</t>
  </si>
  <si>
    <t>BTL-SAN-AVTO-2V</t>
  </si>
  <si>
    <t>BTL-SAN-SANF-OV</t>
  </si>
  <si>
    <t>BTL-SAN-CORD-9X</t>
  </si>
  <si>
    <t>BTL-SAN-ARCO-CL</t>
  </si>
  <si>
    <t>BTL-SAN-OBLA-B3</t>
  </si>
  <si>
    <t>BTL-SAN-ELTA-FY</t>
  </si>
  <si>
    <t>BTL-SAN-PLAZ-J4</t>
  </si>
  <si>
    <t>BTL-SAN-DERM-1P</t>
  </si>
  <si>
    <t>BTL-SAN-PATR-RD</t>
  </si>
  <si>
    <t>BTL-SAN-MANA-HF</t>
  </si>
  <si>
    <t>BTL-SAN-NUEV-9E</t>
  </si>
  <si>
    <t>BTL-SAN-GRAN-X9</t>
  </si>
  <si>
    <t>BTL-SAN-ANDA-55</t>
  </si>
  <si>
    <t>BTL-SAN-GHEN-SX</t>
  </si>
  <si>
    <t>BTL-SAN-PLAZ-2B</t>
  </si>
  <si>
    <t>BTL-SAN-PARQ-1T</t>
  </si>
  <si>
    <t>BTL-SAN-PERI-4Z</t>
  </si>
  <si>
    <t>BTL-SAN-CULI-KE</t>
  </si>
  <si>
    <t>BTL-SAN-MERI-7M</t>
  </si>
  <si>
    <t>BTL-SAN-PARQ-9U</t>
  </si>
  <si>
    <t>BTL-SAN-PLAZ-ZY</t>
  </si>
  <si>
    <t>BTL-SAN-REFO-UI</t>
  </si>
  <si>
    <t>BTL-SAN-VIAV-ME</t>
  </si>
  <si>
    <t>BTL-SAN-GUAD-EC</t>
  </si>
  <si>
    <t>BTL-SAN-MONT-CT</t>
  </si>
  <si>
    <t>BTL-SEA-CULI-KP</t>
  </si>
  <si>
    <t>BTL-SEA-UNIV-IA</t>
  </si>
  <si>
    <t>BTL-SEA-LOSM-P2</t>
  </si>
  <si>
    <t>BTL-SEA-PERI-66</t>
  </si>
  <si>
    <t>BTL-SEA-ANGE-4X</t>
  </si>
  <si>
    <t>BTL-SEA-LIND-9I</t>
  </si>
  <si>
    <t>BTL-SEA-MAZA-6O</t>
  </si>
  <si>
    <t>BTL-SEA-RIO-R1</t>
  </si>
  <si>
    <t>BTL-SEA-GUAD-ZV</t>
  </si>
  <si>
    <t>BTL-SEA-MERI-AS</t>
  </si>
  <si>
    <t>BTL-SOR-PILA-37</t>
  </si>
  <si>
    <t>BTL-SOR-GRAN-PU</t>
  </si>
  <si>
    <t>BTL-SOR-SANP-L9</t>
  </si>
  <si>
    <t>BTL-SOR-CONT-1Y</t>
  </si>
  <si>
    <t>BTL-SOR-CUMB-VR</t>
  </si>
  <si>
    <t>BTL-FAH-PALM-6H</t>
  </si>
  <si>
    <t>BTL-FAH-5DEM-SP</t>
  </si>
  <si>
    <t>BTL-FAH-MOCT-RQ</t>
  </si>
  <si>
    <t>BTL-FAH-JARD-QA</t>
  </si>
  <si>
    <t>BTL-FAH-BUGA-4S</t>
  </si>
  <si>
    <t>BTL-FAH-PERI-K1</t>
  </si>
  <si>
    <t>BTL-FAH-STAM-6B</t>
  </si>
  <si>
    <t>BTL-FAH-CUMB-WN</t>
  </si>
  <si>
    <t>BTL-FRA-SANJ-KW</t>
  </si>
  <si>
    <t>BTL-FRE-LAHE-OY</t>
  </si>
  <si>
    <t>BTL-FRE-PLAZ-JN</t>
  </si>
  <si>
    <t>BTL-LAC-COYO-1J</t>
  </si>
  <si>
    <t>BTL-LAC-METE-29</t>
  </si>
  <si>
    <t>BTL-LAC-LASA-EI</t>
  </si>
  <si>
    <t>BTL-LAC-OLIV-UE</t>
  </si>
  <si>
    <t>BTL-LAC-BOSQ-Z5</t>
  </si>
  <si>
    <t>BTL-LAC-INSU-YU</t>
  </si>
  <si>
    <t>BTL-LAC-DELV-RM</t>
  </si>
  <si>
    <t>BTL-LAC-ANGE-GY</t>
  </si>
  <si>
    <t>BTL-LAC-JURI-HK</t>
  </si>
  <si>
    <t>BTL-LAC-CUER-QM</t>
  </si>
  <si>
    <t>BTL-LAC-BOSQ-W3</t>
  </si>
  <si>
    <t>BTL-LAC-VILL-K2</t>
  </si>
  <si>
    <t>BTL-LIV-MERI-Q6</t>
  </si>
  <si>
    <t>BTL-LIV-MERI-OO</t>
  </si>
  <si>
    <t>BTL-LIV-LIND-I8</t>
  </si>
  <si>
    <t>BTL-LIV-MONT-CC</t>
  </si>
  <si>
    <t>BTL-LIV-GUAD-7E</t>
  </si>
  <si>
    <t>BTL-LIV-ZAPO-DM</t>
  </si>
  <si>
    <t>BTL-LIV-LEON-JX</t>
  </si>
  <si>
    <t>BTL-LIV-TLAQ-3W</t>
  </si>
  <si>
    <t>BTL-SOR-SANJ-TV</t>
  </si>
  <si>
    <t>BTL-SAN-CONS-WD</t>
  </si>
  <si>
    <t>BTL-SAN-ANGE-GZ</t>
  </si>
  <si>
    <t>BTL-SAN-SANT-JW</t>
  </si>
  <si>
    <t>BTL-SAN-SATE-HQ</t>
  </si>
  <si>
    <t>BTL-SEP-SANT-O1</t>
  </si>
  <si>
    <t>BTL-SEP-DELT-HY</t>
  </si>
  <si>
    <t>BTL-SEP-ANTA-16</t>
  </si>
  <si>
    <t>BTL-SEP-OASI-GU</t>
  </si>
  <si>
    <t xml:space="preserve">Residencial La Rioja S/N, Residencial La Rioja, HERMOSILLO, 83244 </t>
  </si>
  <si>
    <t>29.0842632, -111.0125091</t>
  </si>
  <si>
    <t xml:space="preserve">Av. Miguel Alemán 230-C, Linda Vista, MONTERREY, 67130, Guadalupe, N.L. </t>
  </si>
  <si>
    <t>25.689939, -100.2549208</t>
  </si>
  <si>
    <t xml:space="preserve">Av. José Vasconcelos 404, Bosques del Valle 1er Sector, MONTERREY, 66220 </t>
  </si>
  <si>
    <t>25.6514154, -100.3769224</t>
  </si>
  <si>
    <t xml:space="preserve">Av. Pdte. Masaryk 197, Polanco V Secc, CDMX, 11570, Miguel Hidalgo </t>
  </si>
  <si>
    <t>19.4317769, -99.18955249999999</t>
  </si>
  <si>
    <t xml:space="preserve">Leibnitz 117, Anzures, CDMX, 11590, Miguel Hidalgo </t>
  </si>
  <si>
    <t>19.4294386, -99.17809369999999</t>
  </si>
  <si>
    <t xml:space="preserve">Bulevar José María Morelos 16, Constitucion, HERMOSILLO, 83150 </t>
  </si>
  <si>
    <t>29.1003271, -110.95078</t>
  </si>
  <si>
    <t xml:space="preserve">Av. Isidro Olvera 13, Constitucion, HERMOSILLO, 83150 </t>
  </si>
  <si>
    <t>29.1036394, -110.9514785</t>
  </si>
  <si>
    <t xml:space="preserve">Bulevar José María Morelos S/N, Loreto, HERMOSILLO, 83148 </t>
  </si>
  <si>
    <t>29.1326861, -110.9525011</t>
  </si>
  <si>
    <t xml:space="preserve">Lago Alberto 369, Anáhuac I Secc, CDMX, 11320, Miguel Hidalgo </t>
  </si>
  <si>
    <t>19.4388135, -99.1808571</t>
  </si>
  <si>
    <t xml:space="preserve">Av Insurgentes 2500, Sin Nombre de Col 31, MONTERREY, 64810 </t>
  </si>
  <si>
    <t>25.6807046, -100.3543782</t>
  </si>
  <si>
    <t xml:space="preserve">Av. Homero 266, Polanco V Secc, CDMX, 11570, Miguel Hidalgo </t>
  </si>
  <si>
    <t>19.4351039, -99.1850382</t>
  </si>
  <si>
    <t xml:space="preserve">Bosque de Duraznos 187, Bosque de las Lomas, CDMX, 11700, Miguel Hidalgo </t>
  </si>
  <si>
    <t>19.4068688, -99.2392411</t>
  </si>
  <si>
    <t xml:space="preserve">Morelos Ote 499, Centro, MONTERREY, 64000 </t>
  </si>
  <si>
    <t>25.6671798, -100.3110273</t>
  </si>
  <si>
    <t xml:space="preserve">Félix Cuevas 120, Tlacoquemecatl del Valle, CDMX, 01300 </t>
  </si>
  <si>
    <t>19.3735937, -99.17750529999999</t>
  </si>
  <si>
    <t xml:space="preserve">Av. Pdte. Masaryk 490, Polanco II Secc, CDMX, 11560 </t>
  </si>
  <si>
    <t>19.4320275, -99.2028691</t>
  </si>
  <si>
    <t xml:space="preserve">Av. Universidad, 1778, Romero de Terreros, CDMX, 04310 </t>
  </si>
  <si>
    <t>19.3452938, -99.17951719999999</t>
  </si>
  <si>
    <t xml:space="preserve">Vasco de Quiroga 3800, Lomas de Santa Fe, CDMX, 05348, Cuajimalpa </t>
  </si>
  <si>
    <t>19.3613046, -99.2735343</t>
  </si>
  <si>
    <t xml:space="preserve">Lateral Sur de la Atlixcáyotl 6510, San Bernardino Tlaxcalancingo, PUEBLA, 72820 </t>
  </si>
  <si>
    <t>19.0060508, -98.2670399</t>
  </si>
  <si>
    <t xml:space="preserve">Blvd. Miguel de Cervantes Saavedra 397, Polanco, CDMX, 11500, Miguel Hidalgo </t>
  </si>
  <si>
    <t>19.4390687, -99.2022176</t>
  </si>
  <si>
    <t xml:space="preserve">Av. San Jerónimo La Otra Banda S/N, Tizapán San Ángel, CDMX, 04519, Coyoacán </t>
  </si>
  <si>
    <t>19.3368499, -99.1912988</t>
  </si>
  <si>
    <t xml:space="preserve">Blvrd. Interlomas S/N, Bosque de las Palmas, EDOMEX, 52787 </t>
  </si>
  <si>
    <t>19.401798, -99.2714094</t>
  </si>
  <si>
    <t xml:space="preserve">Av. Universidad 740, Sta Cruz Atoyac, CDMX, 03300, Benito Juárez </t>
  </si>
  <si>
    <t>19.3732069, -99.1623941</t>
  </si>
  <si>
    <t xml:space="preserve">Antonio Dovali Jaime, Av. Santa Fe 70, Zedec Sta Fé, CDMX, 01376 </t>
  </si>
  <si>
    <t>19.3677792, -99.25917430000001</t>
  </si>
  <si>
    <t xml:space="preserve">Av. San Jerónimo 190, La Otra Banda, CDMX, 04519, Coyoacán </t>
  </si>
  <si>
    <t>19.3355124, -99.1960489</t>
  </si>
  <si>
    <t xml:space="preserve">Boulevard Magnocentro 26 Mz. 1 L 2, La Herradura, EDOMEX, 52765 </t>
  </si>
  <si>
    <t>19.4057702, -99.2730877</t>
  </si>
  <si>
    <t xml:space="preserve">Av de la Patria 1950, Plaza Patria, GUADALAJARA, 45160 </t>
  </si>
  <si>
    <t>20.7133755, -103.361142</t>
  </si>
  <si>
    <t xml:space="preserve">C. P.º de Las Lilas 92, Bosques de las Lomas, CDMX, 5120 </t>
  </si>
  <si>
    <t>19.3879293, -99.247813</t>
  </si>
  <si>
    <t xml:space="preserve">Osa Mayor 4931, Reserva Territorial Atlixcáyotl, PUEBLA, 72400 </t>
  </si>
  <si>
    <t>19.0343033, -98.22946329999999</t>
  </si>
  <si>
    <t xml:space="preserve">C. Lago Zurich 245, Granada, Amp Granada, CDMX, 11529 </t>
  </si>
  <si>
    <t>19.4412482, -99.20409699999999</t>
  </si>
  <si>
    <t xml:space="preserve">Vasco de Quiroga 0, Lomas de Vistahermosa, CDMX, 05349, Cuajimalpa </t>
  </si>
  <si>
    <t>19.3680258, -99.26354429999999</t>
  </si>
  <si>
    <t>Cto Centro Comercial 2251, Cd. Satélite, 53100 Naucalpan de Juárez, Méx.</t>
  </si>
  <si>
    <t>19.5104748, -99.2349988</t>
  </si>
  <si>
    <t xml:space="preserve">Av. Moliere 222, Polanco II Secc, CDMX, 11530, Miguel Hidalgo </t>
  </si>
  <si>
    <t>19.4356367, -99.2021931</t>
  </si>
  <si>
    <t>Cerro Gordo, Blvd. Casa de Piedra esquina, Centro Comercial, 37150 León de los Aldama, Gto.</t>
  </si>
  <si>
    <t>21.1585363, -101.6990276</t>
  </si>
  <si>
    <t xml:space="preserve">Blvd. Kukulcan Local 122, La Isla, Zona Hotelera, CANCUN, 77500 </t>
  </si>
  <si>
    <t>21.1084189, -86.7633986</t>
  </si>
  <si>
    <t xml:space="preserve">Av. División del Nte. 2869, Parque San Andrés, CDMX, 04040, Coyoacán </t>
  </si>
  <si>
    <t>19.3456537, -99.149983</t>
  </si>
  <si>
    <t xml:space="preserve">Sur 136, No. 116-PB, Las Américas, CDMX, 01120, Álvaro Obregón </t>
  </si>
  <si>
    <t>19.4009408, -99.20408909999999</t>
  </si>
  <si>
    <t xml:space="preserve">Av. Carlos Fernández Graef 154-PB, Contadero, CDMX, 05300, Cuajimalpa </t>
  </si>
  <si>
    <t>19.3563389, -99.2824564</t>
  </si>
  <si>
    <t xml:space="preserve">C. 30 385, Montebello, MERIDA, 97113 </t>
  </si>
  <si>
    <t>21.0283668, -89.6043066</t>
  </si>
  <si>
    <t xml:space="preserve">Av. Roberto Garza Sada 112, Colonial de La Sierra, MONTERREY, 66280 </t>
  </si>
  <si>
    <t>25.6373598, -100.3779948</t>
  </si>
  <si>
    <t xml:space="preserve">Jerónimo Siller S/N, Jerónimo Siller, MONTERREY, 66250 </t>
  </si>
  <si>
    <t>25.6430185, -100.3736516</t>
  </si>
  <si>
    <t xml:space="preserve">Div. Del Norte 2909, Parque San Andrés, CDMX, 04040, Coyoacán </t>
  </si>
  <si>
    <t>19.3442784, -99.14957179999999</t>
  </si>
  <si>
    <t xml:space="preserve">Av Óscar Pérez Escobosa L 18, Jaripillo, MAZATLAN, 82124 </t>
  </si>
  <si>
    <t>23.2627062, -106.398595</t>
  </si>
  <si>
    <t xml:space="preserve">Atlixcáyotl 5526, Reserva Territorial Atlixcáyotl, PUEBLA, 72193 </t>
  </si>
  <si>
    <t>19.0228724, -98.2413916</t>
  </si>
  <si>
    <t xml:space="preserve">Vialidad Toluca Metepec 505, Rancho San Javier, TOLUCA, 52140 </t>
  </si>
  <si>
    <t>19.2525103, -99.59834339999999</t>
  </si>
  <si>
    <t xml:space="preserve">C. Leona Vicario 1210, La Purisima, TOLUCA, 52140 </t>
  </si>
  <si>
    <t>19.2614347, -99.6240011</t>
  </si>
  <si>
    <t xml:space="preserve">Blvd Centenario S/N, MONFERRAT, MOCHIS, 81278 </t>
  </si>
  <si>
    <t>25.7967176, -109.0250044</t>
  </si>
  <si>
    <t xml:space="preserve">Hacienda Martin Caballero S/N, Hacienda de las Palmas, EDOMEX, 52763 </t>
  </si>
  <si>
    <t>19.3920551, -99.2897413</t>
  </si>
  <si>
    <t xml:space="preserve">Blvd. José Limon 910, Desarrollo Urbano Tres Ríos, CULIACAN, 80020 </t>
  </si>
  <si>
    <t>24.8144126, -107.4132935</t>
  </si>
  <si>
    <t xml:space="preserve">Blvd. Mario López Valdez 3111, SM, Supermanzana, CULIACAN, 80059 </t>
  </si>
  <si>
    <t>24.8328334, -107.4324691</t>
  </si>
  <si>
    <t xml:space="preserve">Lazaro Cardenas esq Santos Degollado 25 PTE, Centro, MOCHIS, 81200 </t>
  </si>
  <si>
    <t>25.7906159, -108.9883672</t>
  </si>
  <si>
    <t xml:space="preserve">Independencia, Blvd. Antonio Rosales S/N, Centro, MOCHIS, 81200 </t>
  </si>
  <si>
    <t>25.7942924, -108.9973327</t>
  </si>
  <si>
    <t xml:space="preserve">Mirlo 1S, Las Arboledas, EDOMEX, 52950, López Mateos </t>
  </si>
  <si>
    <t>19.5596869, -99.2185284</t>
  </si>
  <si>
    <t xml:space="preserve">Av. 5 de Mayo 1409, San Miguel, Centro San Andrés Cholula, PUEBLA, 72810 </t>
  </si>
  <si>
    <t>19.0577796, -98.2963959</t>
  </si>
  <si>
    <t xml:space="preserve">Blvrd Ojo de Agua L-1-Mz 79, Ojo de Agua, EDOMEX, 55770 </t>
  </si>
  <si>
    <t>19.6751208, -99.0297756</t>
  </si>
  <si>
    <t xml:space="preserve">Av Río Moctezuma 131, San Cayetano 3ra Secc, QUERETARO, 76806 </t>
  </si>
  <si>
    <t>20.3878519, -99.9777445</t>
  </si>
  <si>
    <t xml:space="preserve">5 de Mayo 40, Centro, QUERETARO, 76800 </t>
  </si>
  <si>
    <t>20.3931523, -99.9942722</t>
  </si>
  <si>
    <t xml:space="preserve">Av Lomas de San Juan 2, Lomas de San Juan, QUERETARO, 76806 </t>
  </si>
  <si>
    <t>20.3856135, -99.96411859999999</t>
  </si>
  <si>
    <t xml:space="preserve">Calz. de los Misterios 142, Tepeyac Insurgentes, CDMX, 07020 </t>
  </si>
  <si>
    <t>19.4843947, -99.1191321</t>
  </si>
  <si>
    <t xml:space="preserve">Av. Humberto Lobo 405, Del Valle, MONTERREY, 66220 </t>
  </si>
  <si>
    <t>25.657985, -100.3839396</t>
  </si>
  <si>
    <t xml:space="preserve">Calz San Pedro 420, Del Valle, MONTERREY, 66220 </t>
  </si>
  <si>
    <t>25.6583812, -100.3694598</t>
  </si>
  <si>
    <t xml:space="preserve">Heroico Colegio Militar 1809, Sinaloa, CULIACAN, 80260 </t>
  </si>
  <si>
    <t>24.7889986, -107.3725018</t>
  </si>
  <si>
    <t xml:space="preserve">A Ruiz Cortinez 4020 Int. Lc S1, Jardines del Pedregal, CDMX, 01900 </t>
  </si>
  <si>
    <t>19.3090306, -99.2136621</t>
  </si>
  <si>
    <t xml:space="preserve">Av. Cuauhtémoc Ote. 900, La Conchita, EDOMEX, 56600 </t>
  </si>
  <si>
    <t>19.2572959, -98.8892328</t>
  </si>
  <si>
    <t xml:space="preserve">Canal de Miramontes 2671, Coapa, Prado Coyoacán, CDMX, 04810 </t>
  </si>
  <si>
    <t>19.3179915, -99.1299422</t>
  </si>
  <si>
    <t xml:space="preserve">Av. Carlos Canseco 6063, Marina Mazatlán, MAZATLAN, 82103 </t>
  </si>
  <si>
    <t>23.2727441, -106.4456426</t>
  </si>
  <si>
    <t xml:space="preserve">Av. de la Marina 3107, Francisco Villa, MAZATLAN, 82103 </t>
  </si>
  <si>
    <t>23.2540196, -106.4377106</t>
  </si>
  <si>
    <t xml:space="preserve">El Árbol S/N, Santa Engracia, MONTERREY, 66267 </t>
  </si>
  <si>
    <t>25.6550054, -100.3514292</t>
  </si>
  <si>
    <t xml:space="preserve">Av. Juan Palomar y Arias 577, Vallarta Universidad, GUADALAJARA, 45110 </t>
  </si>
  <si>
    <t>20.6890116, -103.4273136</t>
  </si>
  <si>
    <t xml:space="preserve">Av. de las Américas 442, Ladrón de Guevara, GUADALAJARA, 44650 </t>
  </si>
  <si>
    <t>20.6849039, -103.3732046</t>
  </si>
  <si>
    <t xml:space="preserve">José María Morelos 71, Constitucion, HERMOSILLO, 83150 </t>
  </si>
  <si>
    <t>29.10005039999999, -110.9509996</t>
  </si>
  <si>
    <t xml:space="preserve">Blvd. 18 Sur 16 5308, Jardines de San Manuel, PUEBLA, 72570 </t>
  </si>
  <si>
    <t>19.0156246, -98.1985697</t>
  </si>
  <si>
    <t xml:space="preserve">Av. Adolfo López Mateos Sur 1005, Miguel de la Madrid, GUADALAJARA, 45239 </t>
  </si>
  <si>
    <t>20.6069543, -103.4323877</t>
  </si>
  <si>
    <t xml:space="preserve">Av. Coyoacán 750, Col del Valle Centro, CDMX, 03100, Benito Juárez </t>
  </si>
  <si>
    <t>19.3853784, -99.1673629</t>
  </si>
  <si>
    <t xml:space="preserve">Av. Miguel Alemán 100, Valle de Huinala I, MONTERREY, 66634 </t>
  </si>
  <si>
    <t>25.7458332, -100.1999439</t>
  </si>
  <si>
    <t xml:space="preserve">Benito Juárez 201, Moderno Apodaca, MONTERREY, 66600 </t>
  </si>
  <si>
    <t>25.7820613, -100.1893609</t>
  </si>
  <si>
    <t xml:space="preserve">Av. Primero de Mayo Manzana 026, Ensueños, EDOMEX, 54740 </t>
  </si>
  <si>
    <t>19.6643599, -99.2112522</t>
  </si>
  <si>
    <t xml:space="preserve">Rio Missouri 465, Del Valle, MONTERREY, 66220 </t>
  </si>
  <si>
    <t>25.6591357, -100.3563868</t>
  </si>
  <si>
    <t xml:space="preserve">C. Diamante 2544, Bosques de La Victoria, GUADALAJARA, 44530 </t>
  </si>
  <si>
    <t>20.6479636, -103.3901192</t>
  </si>
  <si>
    <t xml:space="preserve">Av Pablo Neruda 3110, Providencia, GUADALAJARA, 44630 </t>
  </si>
  <si>
    <t>20.697731, -103.3892453</t>
  </si>
  <si>
    <t xml:space="preserve">Vasco de Quiroga 53, Presidentes de México, CDMX, 09839 </t>
  </si>
  <si>
    <t>19.335836, -99.0641235</t>
  </si>
  <si>
    <t xml:space="preserve">Ermita Iztapalapa 3390, Sta María Aztahuacan, CDMX, 09600 </t>
  </si>
  <si>
    <t>19.3499573, -99.0174948</t>
  </si>
  <si>
    <t xml:space="preserve">Av. del Servidor Público 1389, Residencial Poniente, GUADALAJARA, 45136 </t>
  </si>
  <si>
    <t>20.7334446, -103.4305165</t>
  </si>
  <si>
    <t xml:space="preserve">Base Aérea 3640, Ii, GUADALAJARA, 45019 </t>
  </si>
  <si>
    <t>20.7044156, -103.4605364</t>
  </si>
  <si>
    <t xml:space="preserve">Av. Santa Cruz, ext:MZ4 L1 S/N, Ojo de Agua, EDOMEX, 55770 </t>
  </si>
  <si>
    <t>19.6587829, -99.0100302</t>
  </si>
  <si>
    <t xml:space="preserve">Cam. San Juan de Aragón 214, Casas Alemán, CDMX, 07580 </t>
  </si>
  <si>
    <t>19.4734312, -99.0793928</t>
  </si>
  <si>
    <t xml:space="preserve">Manuel J. Clouthier 302 D, Jardines del Campestre, LEON, 37128 </t>
  </si>
  <si>
    <t>21.1637612, -101.6922946</t>
  </si>
  <si>
    <t xml:space="preserve">Gral. Ignacio Allende 102, Centro, LEON, 38240 </t>
  </si>
  <si>
    <t>20.6438957, -100.9934664</t>
  </si>
  <si>
    <t xml:space="preserve">Río Suchiate S/N, Balcones, Del Valle, MONTERREY, 66220 </t>
  </si>
  <si>
    <t>25.6372467, -100.382777</t>
  </si>
  <si>
    <t>25.6607257, -100.3804994</t>
  </si>
  <si>
    <t xml:space="preserve">Av. Palmas esq. Montes Urales, Lomas de Chapultepec, CDMX, 11000 </t>
  </si>
  <si>
    <t>19.4300099, -99.2105685</t>
  </si>
  <si>
    <t xml:space="preserve">AVENIDA PESEO DE LOS LEONES S/N, Las Cumbres Elite, MONTERREY, 64610 </t>
  </si>
  <si>
    <t>25.7264535, -100.4071249</t>
  </si>
  <si>
    <t xml:space="preserve">Av Alfonso Reyes 100, Zona Valle Poniente, MONTERREY, 66196 </t>
  </si>
  <si>
    <t>25.658114, -100.441698</t>
  </si>
  <si>
    <t xml:space="preserve">Calz. del Valle 5, Del Valle, MONTERREY, 66220 </t>
  </si>
  <si>
    <t>25.6574599, -100.3692208</t>
  </si>
  <si>
    <t xml:space="preserve">Anillo Periférico S/N, Villas de San Jerónimo 201, MONTERREY, 64634 </t>
  </si>
  <si>
    <t>25.69471, -100.37909</t>
  </si>
  <si>
    <t xml:space="preserve">Prol. P.º de la Reforma 1130, Santa Fe, Contadero, CDMX, 05300 </t>
  </si>
  <si>
    <t>19.3624646, -99.2670383</t>
  </si>
  <si>
    <t xml:space="preserve">Florencia 52, Juárez, CDMX, 06600, Cuauhtémoc </t>
  </si>
  <si>
    <t>19.4243182, -99.1659947</t>
  </si>
  <si>
    <t xml:space="preserve">Av. Homero 425, Polanco V Secc, CDMX, 11560 </t>
  </si>
  <si>
    <t>19.4354247, -99.1888096</t>
  </si>
  <si>
    <t xml:space="preserve">Av. Cuauhtémoc 395, Roma Sur, CDMX, 06760 </t>
  </si>
  <si>
    <t>19.4060387, -99.1555281</t>
  </si>
  <si>
    <t xml:space="preserve">Av. Universidad 697, Col del Valle Centro, CDMX, 03100 </t>
  </si>
  <si>
    <t>19.3758332, -99.16186289999999</t>
  </si>
  <si>
    <t xml:space="preserve">Avenida Universidad 505, Exhacienda Candiani, OAXACA, 68133 </t>
  </si>
  <si>
    <t>17.041278, -96.712267</t>
  </si>
  <si>
    <t xml:space="preserve">Blvd. 14 Sur 5101, Jardines de San Manuel, PUEBLA, 72570 </t>
  </si>
  <si>
    <t>19.0203729, -98.1997461</t>
  </si>
  <si>
    <t xml:space="preserve">C. 13 Sur 2701, Los Volcanes, PUEBLA, 72410 </t>
  </si>
  <si>
    <t>19.0387793, -98.21356569999999</t>
  </si>
  <si>
    <t xml:space="preserve">Av. Sta. Margarita 5010, Jardín Real, GUADALAJARA, 45136 </t>
  </si>
  <si>
    <t>20.7305412, -103.4431097</t>
  </si>
  <si>
    <t xml:space="preserve">Calz. Revolución 2886, La Paz, GUADALAJARA, 44840 </t>
  </si>
  <si>
    <t>20.6491274, -103.3103088</t>
  </si>
  <si>
    <t xml:space="preserve">Av. Revolución 1008, San José Insurgentes, CDMX, 03910 </t>
  </si>
  <si>
    <t>19.3700889, -99.1878528</t>
  </si>
  <si>
    <t xml:space="preserve">Av. Lapizlázuli 2644, Victoria, GUADALAJARA, 44540 </t>
  </si>
  <si>
    <t>20.6422927, -103.3928022</t>
  </si>
  <si>
    <t xml:space="preserve">C. Pedro Loza 45, Zona Centro, GUADALAJARA, 441200 </t>
  </si>
  <si>
    <t>20.6772361, -103.3483382</t>
  </si>
  <si>
    <t xml:space="preserve">Av. Cvln. División del Nte. 596, Jardines Alcalde, GUADALAJARA, 44298 </t>
  </si>
  <si>
    <t>20.7022522, -103.3401829</t>
  </si>
  <si>
    <t xml:space="preserve">Av. de las Américas 1950, Altamira, GUADALAJARA, 45160 </t>
  </si>
  <si>
    <t>20.712088, -103.3814283</t>
  </si>
  <si>
    <t xml:space="preserve">Bosque de Moctezuma 1B-MZ 012, La Herradura, EDOMEX, 52784 </t>
  </si>
  <si>
    <t>19.4169319, -99.248894</t>
  </si>
  <si>
    <t xml:space="preserve">Blvd. Juan Alonso de Torres Pte. 2002, Valle del Campestre, LEON, 37150 </t>
  </si>
  <si>
    <t>21.1585392, -101.6940204</t>
  </si>
  <si>
    <t xml:space="preserve">Blvd. Miguel Hidalgo S/N, Las Fuentes, TAMAULIPAS , 88730 </t>
  </si>
  <si>
    <t>26.0760113, -98.3164414</t>
  </si>
  <si>
    <t xml:space="preserve">Av. Miguel Alemán 5050, Libertad, MONTERREY, 67130 </t>
  </si>
  <si>
    <t>25.6892562, -100.2579435</t>
  </si>
  <si>
    <t xml:space="preserve">Av. de las Ciencias 2060, QUERETARO, 76230 </t>
  </si>
  <si>
    <t>20.6924315, -100.4394222</t>
  </si>
  <si>
    <t xml:space="preserve">Av. Manuel Gómez Morín 300, Valle del Campestre, MONTERREY, 66278 </t>
  </si>
  <si>
    <t>25.6490797, -100.3597547</t>
  </si>
  <si>
    <t xml:space="preserve">Eugenio Garza Sada 4321, Contry, MONTERREY, 64860 </t>
  </si>
  <si>
    <t>25.6260994, -100.2748467</t>
  </si>
  <si>
    <t xml:space="preserve">Av. Eugenio Garza Sada Sur 3431, Arroyo Seco, MONTERREY, 66740 </t>
  </si>
  <si>
    <t>25.6424351, -100.2853538</t>
  </si>
  <si>
    <t xml:space="preserve">Av. Puerta de Hierro 8901, Puerta de Hierro, MONTERREY, 64349 </t>
  </si>
  <si>
    <t>25.7438115, -100.4194524</t>
  </si>
  <si>
    <t xml:space="preserve">Ave. Paseo de los Leones y Bosque de las Lomas S/N, MONTERREY, 66035 </t>
  </si>
  <si>
    <t>25.7548266, -100.4372211</t>
  </si>
  <si>
    <t xml:space="preserve">Calz. del Valle 601, Del Valle, MONTERREY, 66220 </t>
  </si>
  <si>
    <t>25.6618427, -100.3840055</t>
  </si>
  <si>
    <t xml:space="preserve">Av. Ejército Mexicano 717, Minerva, TAMPICO, 89120 </t>
  </si>
  <si>
    <t>22.2503544, -97.86553339999999</t>
  </si>
  <si>
    <t xml:space="preserve">Avenida Universidad 101, Anáhuac, MONTERREY, 66450 </t>
  </si>
  <si>
    <t>25.7354394, -100.3031363</t>
  </si>
  <si>
    <t xml:space="preserve">Ave. Sendero Nte 1001, Privadas de Anáhuac, MONTERREY, 66059 </t>
  </si>
  <si>
    <t>25.7711199, -100.2743848</t>
  </si>
  <si>
    <t xml:space="preserve">Blvd. Adolfo López Mateos 2102, Jardines del Moral, LEON, 37160 </t>
  </si>
  <si>
    <t>21.1466347, -101.6860235</t>
  </si>
  <si>
    <t xml:space="preserve">Boulevard Cerro Gordo del Campestre 401, LEON, 37150 </t>
  </si>
  <si>
    <t>21.1607511, -101.6894366</t>
  </si>
  <si>
    <t xml:space="preserve">Blvd. Eulalio Gutiérrez Treviño 2275, Ex hacienda, COAHUILA, 25293 </t>
  </si>
  <si>
    <t>25.4619417, -100.9515613</t>
  </si>
  <si>
    <t xml:space="preserve">Av Independencia 1831, Desarrollo Especial Galerías, AGUASCALIENTES, 20124 </t>
  </si>
  <si>
    <t>21.9166351, -102.2957502</t>
  </si>
  <si>
    <t xml:space="preserve">Av. Dr. José Eleuterio González 315, Jardines del Cerro, MONTERREY, 64050 </t>
  </si>
  <si>
    <t>25.679387, -100.3508421</t>
  </si>
  <si>
    <t xml:space="preserve">Paseo de los Leones 3399, Bosques de Las Cumbres, MONTERREY, 64340 </t>
  </si>
  <si>
    <t>25.7321438, -100.3977536</t>
  </si>
  <si>
    <t xml:space="preserve">Carr Nacional 5000, El Uro, MONTERREY, 64986 </t>
  </si>
  <si>
    <t>25.5479718, -100.2256037</t>
  </si>
  <si>
    <t xml:space="preserve">Av. Guerrero 2415, Terracota, IRAPUATO, 36620 </t>
  </si>
  <si>
    <t>20.6947634, -101.3581042</t>
  </si>
  <si>
    <t xml:space="preserve">Av. Fundadores 101, Valle Oriente, MONTERREY, 66269 </t>
  </si>
  <si>
    <t>25.6417262, -100.332774</t>
  </si>
  <si>
    <t xml:space="preserve">Av. Miguel Ángel de Quevedo 443, Monte de Piedad, CDMX, 04310 </t>
  </si>
  <si>
    <t>19.3452895, -99.17173609999999</t>
  </si>
  <si>
    <t xml:space="preserve">Av Tecnológico 1448 Norte, San Salvador Tizatlali, TOLUCA, 52172 </t>
  </si>
  <si>
    <t>19.271744, -99.574463</t>
  </si>
  <si>
    <t xml:space="preserve">Blvrd Atlixco 3154, Centro Comercial Galería las Animas, PUEBLA, 72400 </t>
  </si>
  <si>
    <t>19.0361625, -98.25297259999999</t>
  </si>
  <si>
    <t xml:space="preserve">Av. De las Torres 446, San Jose del Olivar de los Padres, CDMX, 1770 </t>
  </si>
  <si>
    <t>19.3364296, -99.2280796</t>
  </si>
  <si>
    <t xml:space="preserve">Blvrd Bosque Real S/N, Bosque Real, EDOMEX, 52774 </t>
  </si>
  <si>
    <t>19.4205507, -99.2827073</t>
  </si>
  <si>
    <t xml:space="preserve">Cda. Perpetua 35, San José Insurgentes, CDMX, 03900 </t>
  </si>
  <si>
    <t>19.3664, -99.1822682</t>
  </si>
  <si>
    <t xml:space="preserve">Av. Humberto Lobo 520, Zona Los Callejones, MONTERREY, 66228 </t>
  </si>
  <si>
    <t>25.66471, -100.383275</t>
  </si>
  <si>
    <t xml:space="preserve">C. Gabriel Mancera 1311, Col del Valle Sur, CDMX, 03100 </t>
  </si>
  <si>
    <t>19.3751567, -99.1672723</t>
  </si>
  <si>
    <t xml:space="preserve">Blvrd Interamericano 108, Lomas de Angelópolis, PUEBLA, 72830 </t>
  </si>
  <si>
    <t>18.9989568, -98.2744048</t>
  </si>
  <si>
    <t xml:space="preserve">Blvd. Universitario 400, PROVINCIA JURIQUILLA, QUERETARO, 76230 </t>
  </si>
  <si>
    <t>20.7124876, -100.4465107</t>
  </si>
  <si>
    <t>Carr. México-Acapulco Km. 87.5 de los mts. 27 Col, Enrique Flores Magón Calle 50, Ricardo Flores Magon, 62370 Cuernavaca, Mor.</t>
  </si>
  <si>
    <t>18.9346592, -99.19561619999999</t>
  </si>
  <si>
    <t xml:space="preserve">Bosque de Arrayan 5-1, Bosque Esmeralda, EDOMEX, 52973 </t>
  </si>
  <si>
    <t>19.5489633, -99.2880225</t>
  </si>
  <si>
    <t xml:space="preserve">Calz. del Hueso 503, Coapa, Girasoles II, CDMX, 04929 </t>
  </si>
  <si>
    <t>19.3045709, -99.1249024</t>
  </si>
  <si>
    <t xml:space="preserve">Av. de los Arcos 115, Arcos Vallarta, GUADALAJARA, 44130 </t>
  </si>
  <si>
    <t>20.6740744, -103.3846553</t>
  </si>
  <si>
    <t xml:space="preserve">Calz Taxqueña 1493, Petrolera Taxqueña, CDMX, 4410 </t>
  </si>
  <si>
    <t>19.340361, -99.13406409999999</t>
  </si>
  <si>
    <t xml:space="preserve">C. 60 260, Zona Industrial, MERIDA, 97110 </t>
  </si>
  <si>
    <t>21.0399468, -89.6298575</t>
  </si>
  <si>
    <t xml:space="preserve">Calle 24 30020, Tixcuytún, MERIDA, 97305 </t>
  </si>
  <si>
    <t>21.057119, -89.5971588</t>
  </si>
  <si>
    <t xml:space="preserve">Av. Azcapotzalco 661, Centro de Azcapotzalco, CDMX, 02000 </t>
  </si>
  <si>
    <t>19.482299, -99.18581689999999</t>
  </si>
  <si>
    <t xml:space="preserve">C. Benito Juáres 17, Hab Jardines de Santa Monica, EDOMEX, 54050 </t>
  </si>
  <si>
    <t>19.5281901, -99.2284409</t>
  </si>
  <si>
    <t xml:space="preserve">Av. Ignacio L Vallarta 3959, Don Bosco Vallarta, GUADALAJARA, 45049 </t>
  </si>
  <si>
    <t>20.6739898, -103.4045833</t>
  </si>
  <si>
    <t xml:space="preserve">Colector 13 280-Local A01, Magdalena de las Salinas, CDMX, 07760 </t>
  </si>
  <si>
    <t>19.486661, -99.13122469999999</t>
  </si>
  <si>
    <t xml:space="preserve">Sta. Elena, San juan Diego S/N, Coacalco, EDOMEX, 54857 </t>
  </si>
  <si>
    <t>19.6422669, -99.0925537</t>
  </si>
  <si>
    <t xml:space="preserve">Avenida San Fernando 482, Tlalpan Centro, CDMX, 14000 </t>
  </si>
  <si>
    <t>19.2949319, -99.1772032</t>
  </si>
  <si>
    <t xml:space="preserve">Av. Eugenio Garza Sada 745, Contry, MONTERREY, 64860 </t>
  </si>
  <si>
    <t>25.6392501, -100.2828534</t>
  </si>
  <si>
    <t xml:space="preserve">Av. Paseo Royal Country 4555, Royal Country, GUADALAJARA, 45116 </t>
  </si>
  <si>
    <t>20.7053431, -103.4147287</t>
  </si>
  <si>
    <t xml:space="preserve">Blvd. Jurica la Campana 915-y 917, Jurica Acueducto, QUERETARO, 76230 </t>
  </si>
  <si>
    <t>20.7067138, -100.4432147</t>
  </si>
  <si>
    <t xml:space="preserve">Av. Las Torres Sur 200, Miguel Alemán, MONTERREY, 66470 </t>
  </si>
  <si>
    <t>25.7201524, -100.2182744</t>
  </si>
  <si>
    <t xml:space="preserve">Calz del Federalismo Nte 3080, Lomas del Batán, GUADALAJARA, 45190 </t>
  </si>
  <si>
    <t>20.7224332, -103.3529484</t>
  </si>
  <si>
    <t xml:space="preserve">Prol. División del Nte 5067, San Lorenzo la Cebada, CDMX, 16035 </t>
  </si>
  <si>
    <t>19.2756675, -99.121521</t>
  </si>
  <si>
    <t>Zapopan Avenida Rafael Sanzio 150 Colonia Vallarta Camichines, Plaza Galerías Guadalajara, 45020 Zapopan, Jal.</t>
  </si>
  <si>
    <t>20.6767971, -103.431836</t>
  </si>
  <si>
    <t xml:space="preserve">P.º Andares 4965, Colonia fraccionamiento, GUADALAJARA, 45116 </t>
  </si>
  <si>
    <t>20.7114843, -103.4121108</t>
  </si>
  <si>
    <t xml:space="preserve">Blvd. Aeropuerto 104, Cerrito de Jerez, LEON, 37545 </t>
  </si>
  <si>
    <t>21.0919932, -101.6247992</t>
  </si>
  <si>
    <t xml:space="preserve">Blvd. Gral. Marcelino García Barragán 2345, GUADALAJARA, 44840 </t>
  </si>
  <si>
    <t>20.6486575, -103.3214616</t>
  </si>
  <si>
    <t xml:space="preserve">Fray Servando Teresa de Mier 1027, Jardín Balbuena, CDMX, 15900 </t>
  </si>
  <si>
    <t>19.4164016, -99.0995131</t>
  </si>
  <si>
    <t xml:space="preserve">Av. Cuitláhuac 3541, Hogar y Seguridad, CDMX, 2800 </t>
  </si>
  <si>
    <t>19.4698268, -99.17070470000002</t>
  </si>
  <si>
    <t xml:space="preserve">Calz. Manuel Villalongín 160, Cuauhtémoc, CDMX, 06500 </t>
  </si>
  <si>
    <t>19.4338707, -99.16769440000002</t>
  </si>
  <si>
    <t>Calle Vicente Guerrero 355, Chalco Centro, 56600 Chalco de Díaz Covarrubias, Méx.</t>
  </si>
  <si>
    <t>19.2628208, -98.896605</t>
  </si>
  <si>
    <t xml:space="preserve">Vasco de Quiroga 3800, Lomas de Santa Fé, Contadero, CDMX, 05109 </t>
  </si>
  <si>
    <t>19.361733, -99.2757323</t>
  </si>
  <si>
    <t xml:space="preserve">Av. Isaac Newton 158, Polanco V Secc, CDMX, 11570 </t>
  </si>
  <si>
    <t>19.4339641, -99.1886279</t>
  </si>
  <si>
    <t xml:space="preserve">Av Centenario 909, Arcos de Centenario, CDMX, 01618 </t>
  </si>
  <si>
    <t>19.3612961, -99.2271833</t>
  </si>
  <si>
    <t xml:space="preserve">Calz. de las Águilas 837-y 835, 1ra Secc las Águilas, CDMX, 1759 </t>
  </si>
  <si>
    <t>19.3526523, -99.2165169</t>
  </si>
  <si>
    <t xml:space="preserve">Av Fuentes de Satélite 25, Colonial Satelite, EDOMEX, 53119, Naucalpan </t>
  </si>
  <si>
    <t>19.5187009, -99.2519045</t>
  </si>
  <si>
    <t xml:space="preserve">Av. Vía Adolfo López Mateos 54, Lomas Verdes Alteña II, EDOMEX, 53127 </t>
  </si>
  <si>
    <t>19.501832, -99.2506532</t>
  </si>
  <si>
    <t>Eje 5 Sur, Col del Valle Centro, Benito Juárez, 03100 Ciudad de México, CDMX</t>
  </si>
  <si>
    <t>19.3597641, -99.13893039999999</t>
  </si>
  <si>
    <t xml:space="preserve">Av. Jesús del Monte 34, Hacienda de las Palmas, EDOMEX, 52763 </t>
  </si>
  <si>
    <t>19.3948522, -99.29186680000001</t>
  </si>
  <si>
    <t xml:space="preserve">Juan Escutia 2-Local A, Juan Escutia, CDMX, 9100, Iztapalapa </t>
  </si>
  <si>
    <t>19.3347644, -99.0491765</t>
  </si>
  <si>
    <t xml:space="preserve">C. 5 de Febrero 26-28, Centro Histórico, CDMX, 06060 </t>
  </si>
  <si>
    <t>19.429765, -99.13465099999999</t>
  </si>
  <si>
    <t xml:space="preserve">Av. Revolución 1057, Mixcoac, CDMX, 03910 </t>
  </si>
  <si>
    <t>19.3684188, -99.18882359999999</t>
  </si>
  <si>
    <t xml:space="preserve">Av. Montevideo 145, Lindavista Sur, CDMX, 7300 </t>
  </si>
  <si>
    <t>19.4883163, -99.1261366</t>
  </si>
  <si>
    <t xml:space="preserve">Av. Central 207, Bosques de Aragon, EDOMEX, 57170 </t>
  </si>
  <si>
    <t>19.4785089, -99.0515688</t>
  </si>
  <si>
    <t xml:space="preserve">Blvd. Magnocentro 41, Bosque de las Palmas, EDOMEX, 52784 </t>
  </si>
  <si>
    <t>19.4035436, -99.27204610000001</t>
  </si>
  <si>
    <t xml:space="preserve">Isabel La Católica 92, Centro Histórico, CDMX, 06080 </t>
  </si>
  <si>
    <t>19.4275499, -99.1369058</t>
  </si>
  <si>
    <t xml:space="preserve">Av. San Jerónimo 502, Jardines del Pedregal, CDMX, 01900 </t>
  </si>
  <si>
    <t>19.3322625, -99.205658</t>
  </si>
  <si>
    <t xml:space="preserve">Calz. de los Jinetes 163, Las Arboledas, EDOMEX, 52957 </t>
  </si>
  <si>
    <t>19.5603446, -99.22090969999999</t>
  </si>
  <si>
    <t xml:space="preserve">Av. José López Portillo 73, Coacalco, EDOMEX, 55700 </t>
  </si>
  <si>
    <t>19.6359737, -99.1045911</t>
  </si>
  <si>
    <t xml:space="preserve">Av. Montevideo 415, Lindavista Sur, CDMX, 07300 </t>
  </si>
  <si>
    <t>19.491697, -99.1362327</t>
  </si>
  <si>
    <t xml:space="preserve">Av. Bosque de Minas 19, Corazon de la Herradura, EDOMEX, 52784 </t>
  </si>
  <si>
    <t>19.4198076, -99.2652912</t>
  </si>
  <si>
    <t xml:space="preserve">Fuente de la Juventud 7, Lomas de Tecamachalco, EDOMEX, 53950 </t>
  </si>
  <si>
    <t>19.4278561, -99.22913040000002</t>
  </si>
  <si>
    <t>Blvd. Rogelio Cantú Gómez 901 B, Colinas de San Jerónimo, 64638 Monterrey, N.L.</t>
  </si>
  <si>
    <t>25.6945059, -100.3814102</t>
  </si>
  <si>
    <t xml:space="preserve">Ignacio López Rayon 112, 5 de Mayo, TOLUCA, 50000 </t>
  </si>
  <si>
    <t>19.287421, -99.65290089999999</t>
  </si>
  <si>
    <t xml:space="preserve">Eje 10 Sur 262, Pedregal de Santo Domingo, CDMX, 4360 </t>
  </si>
  <si>
    <t>19.3359197, -99.1670219</t>
  </si>
  <si>
    <t xml:space="preserve">Av. Mario Colín 5-2, Centro Tlalnepantla, EDOMEX, 54000 </t>
  </si>
  <si>
    <t>19.5363261, -99.1976687</t>
  </si>
  <si>
    <t xml:space="preserve">Prados del norte 43, San Pablo de las Salinas, EDOMEX, 54933 </t>
  </si>
  <si>
    <t>19.6626422, -99.08015309999999</t>
  </si>
  <si>
    <t xml:space="preserve">Eje 3 Nte. Camarones 439, Naval, CDMX, 2080 </t>
  </si>
  <si>
    <t>19.4704941, -99.1780302</t>
  </si>
  <si>
    <t xml:space="preserve">Av. Luis Cabrera 74, San Jerónimo Lídice, CDMX, 10400 </t>
  </si>
  <si>
    <t>19.3224417, -99.2228799</t>
  </si>
  <si>
    <t xml:space="preserve">Av. Hidalgo 3, Tlalnepantla Centro, EDOMEX, 54000 </t>
  </si>
  <si>
    <t>19.539463, -99.19453670000001</t>
  </si>
  <si>
    <t xml:space="preserve">Av. Jorge Jiménez Cantú 5, López Mateos, EDOMEX, 52930 </t>
  </si>
  <si>
    <t>19.5565967, -99.2963652</t>
  </si>
  <si>
    <t xml:space="preserve">Av. del Peñon 116, Villa Xochitenco, EDOMEX, 56334 </t>
  </si>
  <si>
    <t>19.426714, -98.9647871</t>
  </si>
  <si>
    <t xml:space="preserve">Av. Patria 643, Jardines de Guadalupe, GUADALAJARA, 45030 </t>
  </si>
  <si>
    <t>20.6651315, -103.4238006</t>
  </si>
  <si>
    <t xml:space="preserve">Camino Sta. Teresa 840, Santa Teresa, CDMX, 10700 </t>
  </si>
  <si>
    <t>19.3110559, -99.2251162</t>
  </si>
  <si>
    <t xml:space="preserve">Carr. Picacho Ajusco 724, Jardines del Ajusco, CDMX, 14200 </t>
  </si>
  <si>
    <t>19.2857759, -99.2181332</t>
  </si>
  <si>
    <t xml:space="preserve">Av. Jardines de Morelos 73, Jardines de Morelos, EDOMEX, 55070 </t>
  </si>
  <si>
    <t>19.5990346, -99.0103889</t>
  </si>
  <si>
    <t xml:space="preserve">Av. Manuel Ávila Camacho 3255, Jacarandas, GUADALAJARA, 45160 </t>
  </si>
  <si>
    <t>20.7155311, -103.3809335</t>
  </si>
  <si>
    <t xml:space="preserve">Av. Adolfo López Mateos Sur 1610 km 1.5, GUADALAJARA, 45643 </t>
  </si>
  <si>
    <t>20.588206, -103.4444989</t>
  </si>
  <si>
    <t xml:space="preserve">Avenida Prado Norte 520-A, Lomas de Chapultepec, CDMX, 11000 </t>
  </si>
  <si>
    <t>19.426779, -99.212935</t>
  </si>
  <si>
    <t xml:space="preserve">Av. Patriotismo 480, San Pedro de los Pinos, CDMX, 3800 </t>
  </si>
  <si>
    <t>19.387244, -99.1829175</t>
  </si>
  <si>
    <t xml:space="preserve">Av Quinto Sol 152, Cd Azteca 1ra Secc, EDOMEX, 55120 </t>
  </si>
  <si>
    <t>19.5449302, -99.036183</t>
  </si>
  <si>
    <t xml:space="preserve">Av. Lic. Benito Juárez García 901, Real de Arcos, TOLUCA, 52169 </t>
  </si>
  <si>
    <t>19.2622386, -99.62093430000002</t>
  </si>
  <si>
    <t xml:space="preserve">Av Río Mayo 1417, Vista Hermosa, CUERNAVACA, 62290 </t>
  </si>
  <si>
    <t>18.9347678, -99.205394</t>
  </si>
  <si>
    <t xml:space="preserve">Blvd. Bernardo Quintana Arrioja 111, Loma Dorada, QUERETARO, 76060 </t>
  </si>
  <si>
    <t>20.595854, -100.3708629</t>
  </si>
  <si>
    <t xml:space="preserve">Ángel Albino Corzo 3128, Tablas de San Agustín, CDMX, 07860 </t>
  </si>
  <si>
    <t>19.4635883, -99.1109989</t>
  </si>
  <si>
    <t xml:space="preserve">C. San Cristóbal 1013, Lomas de la Selva, CUERNAVACA, 62230 </t>
  </si>
  <si>
    <t>18.9532918, -99.23584439999999</t>
  </si>
  <si>
    <t xml:space="preserve">Cto. Centro Cívico 25, Cd. Satélite, EDOMEX, 53100 </t>
  </si>
  <si>
    <t>19.5138626, -99.2304791</t>
  </si>
  <si>
    <t xml:space="preserve">Anillo Vial Fray Junípero Serra 10200, El Refugio, QUERETARO, 76146 </t>
  </si>
  <si>
    <t>20.6521869, -100.3441374</t>
  </si>
  <si>
    <t xml:space="preserve">Dr. J. Jiménez Cantú 1, Centro Urbano, EDOMEX, 54700 </t>
  </si>
  <si>
    <t>19.6515985, -99.2052373</t>
  </si>
  <si>
    <t xml:space="preserve">Av. Constituyentes 71, Observatorio, QUERETARO, 76040 </t>
  </si>
  <si>
    <t>20.5867858, -100.3779345</t>
  </si>
  <si>
    <t xml:space="preserve">Av. Homero 533, Polanco V Secc, CDMX, 11570 </t>
  </si>
  <si>
    <t>19.4358357, -99.1901215</t>
  </si>
  <si>
    <t xml:space="preserve">San Rafael Atlixco 2529, Dr Alfonso Ortíz Tirado, CDMX, 9020 </t>
  </si>
  <si>
    <t>19.3849922, -99.07764929999999</t>
  </si>
  <si>
    <t xml:space="preserve">Blvd. Adolfo López Mateos 122, Las Alamedas, EDOMEX, 52970 </t>
  </si>
  <si>
    <t>19.5542738, -99.2423735</t>
  </si>
  <si>
    <t xml:space="preserve">Canal de Miramontes 3152, Coapa, CDMX, 14300 </t>
  </si>
  <si>
    <t>19.3008644, -99.12455879999999</t>
  </si>
  <si>
    <t xml:space="preserve">Calz México-Tacuba 617, Popotla, CDMX, 11400 </t>
  </si>
  <si>
    <t>19.4581312, -99.1821397</t>
  </si>
  <si>
    <t xml:space="preserve">P.º Cristóbal Colón 202, Residencial Colón y Col Ciprés, TOLUCA, 50120 </t>
  </si>
  <si>
    <t>19.278252, -99.6593245</t>
  </si>
  <si>
    <t xml:space="preserve">Av. Carlos Hank González 64, Valle de Aragon 3ra Secc, EDOMEX, 55280 </t>
  </si>
  <si>
    <t>19.5031533, -99.0406711</t>
  </si>
  <si>
    <t xml:space="preserve">Eje 3 Oriente 1491-Local A, Residencial Cafetales, CDMX, 04930 </t>
  </si>
  <si>
    <t>19.3119381, -99.1109159</t>
  </si>
  <si>
    <t xml:space="preserve">Av. División del Nte. 3096, Cd Jardín, CDMX, 04370 </t>
  </si>
  <si>
    <t>19.337404, -99.1471069</t>
  </si>
  <si>
    <t xml:space="preserve">Av. Universidad 233, Narvarte Oriente, CDMX, 03020 </t>
  </si>
  <si>
    <t>19.390748, -99.1524479</t>
  </si>
  <si>
    <t xml:space="preserve">Calz. de Tlalpan 5000, Polotlan, CDMX, 14099 </t>
  </si>
  <si>
    <t>19.2825073, -99.16458659999999</t>
  </si>
  <si>
    <t xml:space="preserve">Av. José María Castorena 375, Cuajimalpa, CDMX, 05000 </t>
  </si>
  <si>
    <t>19.3605598, -99.2910574</t>
  </si>
  <si>
    <t xml:space="preserve">Av. Stim 1324, Lomas del Chamizal, CDMX, 5120 </t>
  </si>
  <si>
    <t>19.3895184, -99.2601274</t>
  </si>
  <si>
    <t xml:space="preserve">Calz. de la Viga 1507, San Juanico Nextipac, CDMX, 09400 </t>
  </si>
  <si>
    <t>19.3739051, -99.12206959999999</t>
  </si>
  <si>
    <t xml:space="preserve">C. Dr. José María Vértiz 1148, Independencia, CDMX, 3630 </t>
  </si>
  <si>
    <t>19.3797381, -99.15289609999999</t>
  </si>
  <si>
    <t xml:space="preserve">Av. División del Nte 2817-Local A, Parque San Andrés, CDMX, 4040 </t>
  </si>
  <si>
    <t>19.3473211, -99.1503934</t>
  </si>
  <si>
    <t xml:space="preserve">Av Toluca 446-Local A, Olivar de los Padres, CDMX, 01780 </t>
  </si>
  <si>
    <t>19.3395265, -99.2163784</t>
  </si>
  <si>
    <t xml:space="preserve">Av Manuel J. Clouthier 888, Jardines del Tepeyac, GUADALAJARA, 45034 </t>
  </si>
  <si>
    <t>20.6597588, -103.4213316</t>
  </si>
  <si>
    <t xml:space="preserve">Circunvalación Oblatos S/N, Oblatos, GUADALAJARA, 44716 </t>
  </si>
  <si>
    <t>20.6876473, -103.3002611</t>
  </si>
  <si>
    <t xml:space="preserve">Av. Adolfo López Mateos Sur 1770, San José del Tajo, GUADALAJARA, 45640 </t>
  </si>
  <si>
    <t>20.584439, -103.4469757</t>
  </si>
  <si>
    <t xml:space="preserve">Av. Adolfo López Mateos Sur 2375, Cd del Sol, GUADALAJARA, 45050 </t>
  </si>
  <si>
    <t>20.6524042, -103.4014461</t>
  </si>
  <si>
    <t>Av. Patria No. 574, Col. Patria Universidad, C.P. 45110, Zapopan, Jalisco</t>
  </si>
  <si>
    <t>20.688215, -103.4195336</t>
  </si>
  <si>
    <t xml:space="preserve">Av. Adolfo López Mateos Sur 5560, El Manantial, GUADALAJARA, 45640 </t>
  </si>
  <si>
    <t>20.5663716, -103.4600754</t>
  </si>
  <si>
    <t xml:space="preserve">Av. Adolfo López Mateos Sur 3000, Nueva Galicia, GUADALAJARA, 45645 </t>
  </si>
  <si>
    <t>20.5798679, -103.4481062</t>
  </si>
  <si>
    <t xml:space="preserve">Av. Rubén Darío 1208, Providencia 4a. Secc, GUADALAJARA, 44648 </t>
  </si>
  <si>
    <t>20.6948726, -103.3833239</t>
  </si>
  <si>
    <t xml:space="preserve">C. Lago Zurich 245, Amp Granada, CDMX, 11529 </t>
  </si>
  <si>
    <t xml:space="preserve">Canal de Tezontle 1512, CEDA, CDMX, 09020 </t>
  </si>
  <si>
    <t>19.3840094, -99.0830283</t>
  </si>
  <si>
    <t xml:space="preserve">Periferico Sur 4690, Jardines del Pedregal, CDMX, 04600 </t>
  </si>
  <si>
    <t>19.303739, -99.190184</t>
  </si>
  <si>
    <t xml:space="preserve">Diego Valadés Ríos 1676, Desarrollo Urbano Tres Ríos, CULIACAN, 80000 </t>
  </si>
  <si>
    <t>24.8146866, -107.4007763</t>
  </si>
  <si>
    <t xml:space="preserve">Plaza Altabrisa, Calle 7 451, MERIDA, 97130 </t>
  </si>
  <si>
    <t>21.0184155, -89.58505319999999</t>
  </si>
  <si>
    <t xml:space="preserve">Av. Cuauhtémoc 462, Piedad Narvarte, CDMX, 03000 </t>
  </si>
  <si>
    <t>19.4032629, -99.1542637</t>
  </si>
  <si>
    <t xml:space="preserve">P.º de los Héroes 10130, Zona Urbana Rio Tijuana, TIJUANA, 22010 </t>
  </si>
  <si>
    <t>32.5277057, -117.019034</t>
  </si>
  <si>
    <t xml:space="preserve">Reforma, Subancla 03 222, Juárez, CDMX, 06600 </t>
  </si>
  <si>
    <t>19.4284655, -99.1611399</t>
  </si>
  <si>
    <t xml:space="preserve">Blvrd del Niño Poblano 2510, Reserva Territorial Atlixcáyotl, PUEBLA, 72430 </t>
  </si>
  <si>
    <t>19.0276057, -98.229663</t>
  </si>
  <si>
    <t xml:space="preserve">Calz. Vallejo 1090, Sta Cruz de las Salinas, CDMX, 02340 </t>
  </si>
  <si>
    <t>19.4880394, -99.15544919999999</t>
  </si>
  <si>
    <t xml:space="preserve">Vasco de Quiroga 3800, Lomas de Santa Fe, CDMX, 05348 </t>
  </si>
  <si>
    <t xml:space="preserve">Avenida Rafael Sanzio 150-C, Camichines Vallarta, GUADALAJARA, 45020 </t>
  </si>
  <si>
    <t>20.6773302, -103.4316705</t>
  </si>
  <si>
    <t xml:space="preserve">Av. Revolución 2703, Ladrillera, MONTERREY, 64830 </t>
  </si>
  <si>
    <t>25.6536389, -100.2742424</t>
  </si>
  <si>
    <t xml:space="preserve">Cto Centro Comercial 2256, Cd. Satélite, EDOMEX, 53100 </t>
  </si>
  <si>
    <t>19.511045, -99.2346525</t>
  </si>
  <si>
    <t xml:space="preserve">Av. Universidad 1000, Sta Cruz Atoyac, CDMX, 03310 </t>
  </si>
  <si>
    <t>19.3674876, -99.1660965</t>
  </si>
  <si>
    <t xml:space="preserve">Blvd Centenario 805-local A-02, Centro, MOCHIS, 81270 </t>
  </si>
  <si>
    <t>25.7820458, -109.0044226</t>
  </si>
  <si>
    <t xml:space="preserve">Periferico Sur 4690, Jardines del Pedregal de San Ángel, CDMX, 04500 </t>
  </si>
  <si>
    <t>19.3045316, -99.1911815</t>
  </si>
  <si>
    <t xml:space="preserve">Blvrd del Niño Poblano 2510, Reserva Territorial Atlixcáyotl, PUEBLA, 72450 </t>
  </si>
  <si>
    <t>19.0318342, -98.2327756</t>
  </si>
  <si>
    <t xml:space="preserve">Av. Montevideo 363, Lindavista, CDMX, 07300 </t>
  </si>
  <si>
    <t>19.4925098, -99.1335519</t>
  </si>
  <si>
    <t xml:space="preserve">Av. del Delfin 5204, Galerias Mazatlan, MAZATLAN, 82103 </t>
  </si>
  <si>
    <t>23.2804412, -106.4503416</t>
  </si>
  <si>
    <t xml:space="preserve">P.º de los Héroes 95C, Zona Urbana Rio Tijuana, TIJUANA, 22320 </t>
  </si>
  <si>
    <t>32.5269913, -117.0199033</t>
  </si>
  <si>
    <t xml:space="preserve">Av Rafael Sanzio 150, La Estancia, GUADALAJARA, 45050 </t>
  </si>
  <si>
    <t xml:space="preserve">C. 50 460, Gonzalo Guerrero, MERIDA, 97118 </t>
  </si>
  <si>
    <t>21.0269223, -89.6246006</t>
  </si>
  <si>
    <t>Vasco de Quiroga 3850, Santa Fe, CDMX, 5109</t>
  </si>
  <si>
    <t>19.3615838, -99.2761762</t>
  </si>
  <si>
    <t>Av. Cuauhtémoc 462, Piedad Narvarte, Benito Juárez, 03000 Ciudad de México, CDMX</t>
  </si>
  <si>
    <t>19.4026142, -99.1545708</t>
  </si>
  <si>
    <t xml:space="preserve">Av. Ejército Nacional Mexicano 843, Granada, CDMX, 11520 </t>
  </si>
  <si>
    <t>19.4391875, -99.20467590000001</t>
  </si>
  <si>
    <t>Plaza Oasis Coyoacan, Av. Universidad 1778, CDMX, 04310</t>
  </si>
  <si>
    <t>19.3461816, -99.17895039999999</t>
  </si>
  <si>
    <t xml:space="preserve">C. Pilares 541, Col del Valle Sur, CDMX, 03104 </t>
  </si>
  <si>
    <t>19.3755589, -99.16328039999999</t>
  </si>
  <si>
    <t xml:space="preserve">Calz Acoxpa 1666, Coapa Super 1, CDMX, 14390 </t>
  </si>
  <si>
    <t>19.2899931, -99.1176789</t>
  </si>
  <si>
    <t xml:space="preserve">Calle Alejandro de Rodas 3102-Local B, CUMBRES 8 SECTOR, MONTERREY, 64619 </t>
  </si>
  <si>
    <t>25.7277312, -100.3912685</t>
  </si>
  <si>
    <t>BTL-ESP-PRAD-0N</t>
  </si>
  <si>
    <t>BTL-FAH-GDPU-E1</t>
  </si>
  <si>
    <t>BTL-FAH-MTAD-UH</t>
  </si>
  <si>
    <t>BTL-FAH-MTBC-US</t>
  </si>
  <si>
    <t>BTL-FAH-INTE-K2</t>
  </si>
  <si>
    <t>BTL-FAH-MTGS-0V</t>
  </si>
  <si>
    <t>BTL-FAH-MTSE-J9</t>
  </si>
  <si>
    <t>BTL-FAH-MXNL-8F</t>
  </si>
  <si>
    <t>BTL-FAH-MXPE-9R</t>
  </si>
  <si>
    <t>BTL-FAH-MXQU-O1</t>
  </si>
  <si>
    <t>BTL-FRE-FRES-N9</t>
  </si>
  <si>
    <t>BTL-FRE-FRES-J6</t>
  </si>
  <si>
    <t>BTL-HEB-VALL-YM</t>
  </si>
  <si>
    <t>BTL-LAC-LACO-4P</t>
  </si>
  <si>
    <t>BTL-LIV-LZAP-J5</t>
  </si>
  <si>
    <t>BTL-SAN-ANGE-43</t>
  </si>
  <si>
    <t>Av. Prado Norte 380, Lomas de Chapultepec, Miguel Hidalgo, 11000 Ciudad de México, CDMX</t>
  </si>
  <si>
    <t>19.4285, -99.2085</t>
  </si>
  <si>
    <t>Av. Patria (Cruce con Av. Universidad), Col. Villa Universitaria, 45110 Zapopan, Jal.</t>
  </si>
  <si>
    <t>20.7051, -103.4172</t>
  </si>
  <si>
    <t>Av. Dr. Enrique C. Livas 679, Vista Hermosa, 64620 Monterrey, N.L.</t>
  </si>
  <si>
    <t>25.6881, -100.3479</t>
  </si>
  <si>
    <t>Monterrey, Nuevo León (Zona Metropolitana)</t>
  </si>
  <si>
    <t>25.6866, -100.3161</t>
  </si>
  <si>
    <t>Blvd. Magnocentro 7, Parques de la Herradura, 52786 Huixquilucan, Méx.</t>
  </si>
  <si>
    <t>19.3982, -99.2785</t>
  </si>
  <si>
    <t>Av. Eugenio Garza Sada 6128, La Estanzuela, 64984 Monterrey, N.L.</t>
  </si>
  <si>
    <t>25.5945, -100.2681</t>
  </si>
  <si>
    <t>Av. Fundadores 955, Valle Oriente, 64750 Monterrey, N.L.</t>
  </si>
  <si>
    <t>25.6324, -100.3065</t>
  </si>
  <si>
    <t>Av. Nuevo León 351, Hipódromo, Cuauhtémoc, 06100 Ciudad de México, CDMX</t>
  </si>
  <si>
    <t>19.4089, -99.1718</t>
  </si>
  <si>
    <t>Av. de las Fuentes 556, Jardines del Pedregal, Álvaro Obregón, 01900 Ciudad de México, CDMX</t>
  </si>
  <si>
    <t>19.3242, -99.2223</t>
  </si>
  <si>
    <t>Av. Contreras 300, San Jerónimo Lídice, La Magdalena Contreras, 10200 Ciudad de México, CDMX</t>
  </si>
  <si>
    <t>19.3308, -99.2154</t>
  </si>
  <si>
    <t>Av. Miguel Ángel de Quevedo 1144, Parque San Andrés, Coyoacán, 04040 Ciudad de México, CDMX</t>
  </si>
  <si>
    <t>19.3453, -99.1551</t>
  </si>
  <si>
    <t>Cto. Médicos 35, Cd. Satélite, 53100 Naucalpan de Juárez, Méx.</t>
  </si>
  <si>
    <t>19.5124, -99.2312</t>
  </si>
  <si>
    <t>Carr. Nacional Km 270.2, Valle Alto, 64989 Monterrey, N.L.</t>
  </si>
  <si>
    <t>25.5672, -100.2635</t>
  </si>
  <si>
    <t>Av. Prol. Corregidora 487, Col. Álamos 2da Secc, 76160 Santiago de Querétaro, Qro.</t>
  </si>
  <si>
    <t>20.6015, -100.3842</t>
  </si>
  <si>
    <t>Av. Patria 2085 (Plaza Andares), Puerta de Hierro, 45116 Zapopan, Jal.</t>
  </si>
  <si>
    <t>20.7115, -103.4116</t>
  </si>
  <si>
    <t>Av. Del Castillo 1511, Lomas de Angelópolis, 72828 San Andrés Cholula, Pue.</t>
  </si>
  <si>
    <t>19.0152, -98.2619</t>
  </si>
  <si>
    <t>FRESKO PABELLON BOSQUES</t>
  </si>
  <si>
    <t>BTL-PAL-MITI-KH</t>
  </si>
  <si>
    <t>BTL-PAL-PERI-SR</t>
  </si>
  <si>
    <t>BTL-FAH-MTCS-SP</t>
  </si>
  <si>
    <t>BTL-FAH-RIOP-LP</t>
  </si>
  <si>
    <t>BTL-SAN-IMAN-7X</t>
  </si>
  <si>
    <t>BTL-SAN-EJER-EN</t>
  </si>
  <si>
    <t>BTL-SAN-LOAN-AP</t>
  </si>
  <si>
    <t>BTL-SAN-ZAVA-ZV</t>
  </si>
  <si>
    <t>BTL-SAN-ZPLA-ZP</t>
  </si>
  <si>
    <t>BTL-SOR-SANJ-MT</t>
  </si>
  <si>
    <t>Cto. Interior Av. Río Churubusco 601, Xoco, Benito Juárez, 03330 Ciudad de México, CDMX</t>
  </si>
  <si>
    <t>19.3597, -99.1686</t>
  </si>
  <si>
    <t>Anillo Perif. Sur 4690, Jardines del Pedregal, Coyoacán, 04500 Ciudad de México, CDMX</t>
  </si>
  <si>
    <t>19.3043, -99.1918</t>
  </si>
  <si>
    <t>Calz. San Pedro Norte (S/N), Col. Del Valle, 66220 San Pedro Garza García, N.L.</t>
  </si>
  <si>
    <t>25.6605, -100.3672</t>
  </si>
  <si>
    <t>Av. Humberto Lobo Nte. 220 (Esq. Río de la Plata), Del Valle, 66220 San Pedro Garza García, N.L.</t>
  </si>
  <si>
    <t>25.6601, -100.3755</t>
  </si>
  <si>
    <t>Anillo Perif. Sur 5550, Pedregal de Carrasco, Coyoacán, 04700 Ciudad de México, CDMX</t>
  </si>
  <si>
    <t>19.3082, -99.1765</t>
  </si>
  <si>
    <t>Av. Ejército Nacional Mexicano 930, Polanco I Secc, Miguel Hidalgo, 11510 Ciudad de México, CDMX</t>
  </si>
  <si>
    <t>19.4395, -99.2062</t>
  </si>
  <si>
    <t>Av. Del Castillo 1511-Local 1A, Sta María Tonantzintla, 72828 San Andrés Cholula, Pue.</t>
  </si>
  <si>
    <t>19.0098, -98.2755</t>
  </si>
  <si>
    <t>Av. San Judas Tadeo 5141 (Esq. Calz. Zavaleta), Sta Cruz Buenavista, 72150 Puebla, Pue.</t>
  </si>
  <si>
    <t>19.0562, -98.2458</t>
  </si>
  <si>
    <t>Camino Real de la Plata (S/N), Zona Plateada, 42084 Pachuca de Soto, Hgo.</t>
  </si>
  <si>
    <t>20.0955, -98.7655</t>
  </si>
  <si>
    <t>Av. Anillo Periférico 900, Rincón de San Jerónimo, 64630 Monterrey, N.L.</t>
  </si>
  <si>
    <t>25.6950, -100.3797</t>
  </si>
  <si>
    <t>BTL-LIV-PARQ-DE</t>
  </si>
  <si>
    <t>BTL-LIV-CENT-CL</t>
  </si>
  <si>
    <t>BTL-LIV-SANT-FE</t>
  </si>
  <si>
    <t>BTL-LAC-LOMA-AN</t>
  </si>
  <si>
    <t>BTL-LIV-INSU-GE</t>
  </si>
  <si>
    <t>BTL-LIV-POLA-NC</t>
  </si>
  <si>
    <t>BTL-LIV-SATE-TE</t>
  </si>
  <si>
    <t>BTL-LIV-TOLU-CA</t>
  </si>
  <si>
    <t>BTL-LIV-COYO-MI</t>
  </si>
  <si>
    <t>BTL-LIV-PERI-SR</t>
  </si>
  <si>
    <t>BTL-LIV-MONT-RY</t>
  </si>
  <si>
    <t>BTL-FRE-PABE-BO</t>
  </si>
  <si>
    <t>BTL-LIV-PUEB-LA</t>
  </si>
  <si>
    <t>BTL-LIV-MAZA-TL</t>
  </si>
  <si>
    <t>Cto. Centro Comercial 2251 (Plaza Satélite), Cd. Satélite, 53100 Naucalpan de Juárez, Méx.</t>
  </si>
  <si>
    <t>19.5110, -99.2345</t>
  </si>
  <si>
    <t>Desierto de los Leones 48, San Ángel, Álvaro Obregón, 01000 Ciudad de México, CDMX</t>
  </si>
  <si>
    <t>19.3475, -99.1938</t>
  </si>
  <si>
    <t>Av. Cuauhtémoc 462, Narvarte Poniente, Benito Juárez, 03020 Ciudad de México, CDMX</t>
  </si>
  <si>
    <t>19.4032, -99.1556</t>
  </si>
  <si>
    <t>Venustiano Carranza 92, Centro Histórico, Cuauhtémoc, 06000 Ciudad de México, CDMX</t>
  </si>
  <si>
    <t>19.4298, -99.1352</t>
  </si>
  <si>
    <t>Av. Vasco de Quiroga 3800, Lomas de Santa Fe, Cuajimalpa, 05348 Ciudad de México, CDMX</t>
  </si>
  <si>
    <t>19.3605, -99.2748</t>
  </si>
  <si>
    <t>Av. de la Palma Manzana 015, Villa de las Palmas, 52787 Huixquilucan, Méx.</t>
  </si>
  <si>
    <t>19.4005, -99.2805</t>
  </si>
  <si>
    <t>Av. Insurgentes Sur 1310, Col del Valle Sur, Benito Juárez, 03100 Ciudad de México, CDMX</t>
  </si>
  <si>
    <t>19.3742, -99.1785</t>
  </si>
  <si>
    <t>Calz. Gral. Mariano Escobedo 425, Polanco V Secc, Miguel Hidalgo, 11570 Ciudad de México, CDMX</t>
  </si>
  <si>
    <t>19.4328, -99.1835</t>
  </si>
  <si>
    <t>Cto. Centro Comercial 2251, Cd. Satélite, 53100 Naucalpan de Juárez, Méx.</t>
  </si>
  <si>
    <t>19.5105, -99.2338</t>
  </si>
  <si>
    <t>Av. Primero de Mayo 700 (Galerías Toluca), Sta Ana Tlapaltitlán, 50160 Toluca de Lerdo, Méx.</t>
  </si>
  <si>
    <t>19.2925, -99.6385</t>
  </si>
  <si>
    <t>Av. Insurgentes 2500 (Galerías Monterrey), Vista Hermosa, 64620 Monterrey, N.L.</t>
  </si>
  <si>
    <t>25.6835, -100.3542</t>
  </si>
  <si>
    <t>Prol. Bosques de la Reforma 1803, Lomas de Vista Hermosa, Cuajimalpa, 05100 Ciudad de México, CDMX</t>
  </si>
  <si>
    <t>19.3872, -99.2635</t>
  </si>
  <si>
    <t>Av. del Niño Poblano 2510 (Angelópolis), Concepción la Cruz, 72450 Puebla, Pue.</t>
  </si>
  <si>
    <t>19.0325, -98.2355</t>
  </si>
  <si>
    <t>Av. de la Marina 6204 (Galerías Mazatlán), Marina Mazatlán, 82103 Mazatlán, Sin.</t>
  </si>
  <si>
    <t>23.2685, -106.4528</t>
  </si>
  <si>
    <t>SUPERVISOR ASIGNADO</t>
  </si>
  <si>
    <t>AGUILAR ANAYA MARISOL</t>
  </si>
  <si>
    <t>JUAREZ PEREZ PAOLA NAYELI</t>
  </si>
  <si>
    <t>BOLAÑOS TREJO FERNANDA ESTEFANIA</t>
  </si>
  <si>
    <t>RAMIREZ FERNANDEZ YASMIN</t>
  </si>
  <si>
    <t>GARCIA VIDALES YANELI</t>
  </si>
  <si>
    <t>AQUINO ALLENDE ITZEL</t>
  </si>
  <si>
    <t>ZAVALA ROSALES JULIO CESAR</t>
  </si>
  <si>
    <t xml:space="preserve">CONTRERAS CALDERON EDITH TERESA                   </t>
  </si>
  <si>
    <t>AVALOS CARMONA LUCERO JAQUELINE</t>
  </si>
  <si>
    <t>ALAMO VELAZQUEZ VANESSA</t>
  </si>
  <si>
    <t>ALCANTARA VALLE MARIA JOSE</t>
  </si>
  <si>
    <t>AVILA BELTRAN FRANCIA ALINEY</t>
  </si>
  <si>
    <t>LIZARRAGA LIZARRAGA GILBERTO</t>
  </si>
  <si>
    <t xml:space="preserve">SANDOVAL ESLAVA ALEJANDRA KARINA                  </t>
  </si>
  <si>
    <t>GUZMAN VAZQUEZ LAURA</t>
  </si>
  <si>
    <t>ESTRADA AGUIRRE LESLY ESMERALDA</t>
  </si>
  <si>
    <t xml:space="preserve">CARMONA FLORES YENI                               </t>
  </si>
  <si>
    <t xml:space="preserve">ZARAGOZA RAMIREZ EMMA                             </t>
  </si>
  <si>
    <t xml:space="preserve">GONZALEZ MEJIA MARTHA PATRICIA                    </t>
  </si>
  <si>
    <t>VILLANUEVA ANGELES ANGELICA</t>
  </si>
  <si>
    <t>RODRIGUEZ GARCIA MARIA DEL ROCIO</t>
  </si>
  <si>
    <t>CORONILLA ALBA GUADALUPE CAROLINA</t>
  </si>
  <si>
    <t>HERNANDEZ FLORES PATRICIA</t>
  </si>
  <si>
    <t>DIAZ ALCALA JOEL</t>
  </si>
  <si>
    <t xml:space="preserve">HERNANDEZ SANCHEZ ANA LUZ                         </t>
  </si>
  <si>
    <t>SOSA GARCES MARLENE</t>
  </si>
  <si>
    <t xml:space="preserve">DURAN VILLALOBOS MARIA DE JESUS                   </t>
  </si>
  <si>
    <t>REYES GURRUSQUIETA YAJAIRA</t>
  </si>
  <si>
    <t>HAGMAN AGUILAR INGRID ANGELICA</t>
  </si>
  <si>
    <t>ISLAS MORA JUDITH</t>
  </si>
  <si>
    <t>ORTIZ BARROSO MARIA CRISTINA</t>
  </si>
  <si>
    <t>BALLESTEROS AUREOLES GABRIELA</t>
  </si>
  <si>
    <t>HERNANDEZ BONILLA NUBIA ANGELICA</t>
  </si>
  <si>
    <t>AYALA SUAREZ MIRIAM</t>
  </si>
  <si>
    <t>MARTINEZ CRUZ ERIKA</t>
  </si>
  <si>
    <t>10:00 A 5:00</t>
  </si>
  <si>
    <t>PAEZ LOPEZ YAZMIN</t>
  </si>
  <si>
    <t>11:00 A 6:00</t>
  </si>
  <si>
    <t>10:00 A 6:00</t>
  </si>
  <si>
    <t>BLANCO CANALES ARCELIA</t>
  </si>
  <si>
    <t>García N.L, Calz. del Valle 415, Del Valle, 66220 San Pedro Garza García</t>
  </si>
  <si>
    <t>12:00 A 8:00</t>
  </si>
  <si>
    <t>OLVERA HERNANDEZ OLGA PATRICIA</t>
  </si>
  <si>
    <t>FLORES SALDAÑA JAVIER</t>
  </si>
  <si>
    <t>RAMIREZ LARA CATHERINE VIVIANA</t>
  </si>
  <si>
    <t>SANCHEZ MARQUEZ CARMELITA</t>
  </si>
  <si>
    <t>ACOSTA PEREZ SHARENI DAYZU</t>
  </si>
  <si>
    <t>LOREDO POSADA REBECA ABIGAIL</t>
  </si>
  <si>
    <t>FLORES UREÑA DEYARIDA</t>
  </si>
  <si>
    <t>GOMEZ BENAVIDES SANDRA VANESSA</t>
  </si>
  <si>
    <t>MORALES RUIZ PERLA KARINA</t>
  </si>
  <si>
    <t>ARCIGA PADILLA SHARON MICHELLE</t>
  </si>
  <si>
    <t>CALDERON GARCIA MARIA DE LOS ANGELES</t>
  </si>
  <si>
    <t>DOM-LUN-MAR</t>
  </si>
  <si>
    <t>OJO DE AGUA</t>
  </si>
  <si>
    <t>HERNANDEZ MORIN ANGELICA YANET</t>
  </si>
  <si>
    <t>LOPEZ LOPEZ BRENDA</t>
  </si>
  <si>
    <t>PIÑA RODRIGUEZ MARIA DEL CARMEN</t>
  </si>
  <si>
    <t>VERA DORADO SARAHI</t>
  </si>
  <si>
    <t>AGUILA VIEYRA CECILIA</t>
  </si>
  <si>
    <t>BARRON RIVAS MARIA DEL CARMEN</t>
  </si>
  <si>
    <t>QUIÑONES GARZA BRENDA KARINA</t>
  </si>
  <si>
    <t>QUINTAL MANZANILLA SILVIA PAULINA</t>
  </si>
  <si>
    <t>CASTILLO NAVARRO JANNETH MAGALY</t>
  </si>
  <si>
    <t>BARAJAS PEREZ LILIA CAROLINA</t>
  </si>
  <si>
    <t>ROJAS CALDERON OSWALDO LUCIO</t>
  </si>
  <si>
    <t>CONTRERAS MORALES BIANKA ARACELI</t>
  </si>
  <si>
    <t>REBOLLO MOTA EVELIN JACQUELINE</t>
  </si>
  <si>
    <t>RUIZ LAGUNA ROSARIO ANGELICA</t>
  </si>
  <si>
    <t>SANCHEZ OSORIO NANCY SUSANA</t>
  </si>
  <si>
    <t>LOPEZ RUIZ JACQUELINE</t>
  </si>
  <si>
    <t>CARRILLO XOCHIHUA XOCHITL</t>
  </si>
  <si>
    <t>SI</t>
  </si>
  <si>
    <t>NO</t>
  </si>
  <si>
    <t>13:00 a 21:00</t>
  </si>
  <si>
    <t>LUNES</t>
  </si>
  <si>
    <t>MAR-DOM</t>
  </si>
  <si>
    <t>NO COBRA PRIMA DOMINICAL</t>
  </si>
  <si>
    <t>HORARIO DEL SABADO ES DE 9 A 5</t>
  </si>
  <si>
    <t>SERNA DIAZ GUADALUPE</t>
  </si>
  <si>
    <t>VENTA 2025</t>
  </si>
  <si>
    <t>CREC</t>
  </si>
  <si>
    <t>CUOTA</t>
  </si>
  <si>
    <t>BALDERAS FLORES KRISNA WENDY</t>
  </si>
  <si>
    <t>PEREZ PIÑON JESSICA ADRIANA</t>
  </si>
  <si>
    <t>MERCADO SILVA MARIA LUISA</t>
  </si>
  <si>
    <t>BTL-PAL-ACX-EV</t>
  </si>
  <si>
    <t>TIENDA ACOXPA</t>
  </si>
  <si>
    <t>19.299350070908094, -99.13667780228222</t>
  </si>
  <si>
    <t>Calz Acoxpa 430, Coapa, Equipamiento Fábrica Fisisa, Tlalpan, 14340 Ciudad de México, CDMX</t>
  </si>
  <si>
    <t>CUBRE DESDE 21 ENERO AL 15 DE MARZO 2026</t>
  </si>
  <si>
    <t>SANTA MÓNICA</t>
  </si>
  <si>
    <t>MIXCOAC</t>
  </si>
  <si>
    <t>MASARYK</t>
  </si>
  <si>
    <t>VALDEPEÑAS</t>
  </si>
  <si>
    <t>BTL-SAN-STMO-10</t>
  </si>
  <si>
    <t>BTL-SAN-MIXC-13</t>
  </si>
  <si>
    <t>BTL-SAN-MXQT-D6</t>
  </si>
  <si>
    <t>BTL-SAN-MSRK-16</t>
  </si>
  <si>
    <t>BTL-SAN-VLDP-17</t>
  </si>
  <si>
    <t>19.531920999413934, -99.22512208820655</t>
  </si>
  <si>
    <t>Av Convento de Sta Monica 48, Hab Jardines de Santa Monica, 54050 Tlalnepantla, Méx.</t>
  </si>
  <si>
    <t>19.365159303282717, -99.176858104063</t>
  </si>
  <si>
    <t>Av. Río Mixcoac 140, Acacias, Benito Juárez, 03240 Ciudad de México, CDMX</t>
  </si>
  <si>
    <t>20.758229418562788, -103.38934803768792</t>
  </si>
  <si>
    <t>Av Valdepeñas 8645, Real de Valdepeñas, 45130 Zapopan, Jal.</t>
  </si>
  <si>
    <t>Av. Pdte. Masaryk 515-Local 6, Polanco, Polanco II Secc, Miguel Hidalgo, 11530 Ciudad de México, CDMX</t>
  </si>
  <si>
    <t>19.43265771132637, -99.20324400227952</t>
  </si>
  <si>
    <t>Temporal</t>
  </si>
  <si>
    <t>20.689872610253133, -103.3556293612456</t>
  </si>
  <si>
    <t>C. Jesús García 1100, Artesanos, 44200 Guadalajara, Jal.</t>
  </si>
  <si>
    <t>MEZQUITAN</t>
  </si>
  <si>
    <t>NOMBRE DC</t>
  </si>
  <si>
    <t>OBSERVACIONES</t>
  </si>
  <si>
    <t>SANTIAGO HERNANDEZ DANNA PAOLA</t>
  </si>
  <si>
    <t>Puebla</t>
  </si>
  <si>
    <t>Querétaro</t>
  </si>
  <si>
    <t>Jalisco</t>
  </si>
  <si>
    <t>Nuevo León</t>
  </si>
  <si>
    <t>Oaxaca</t>
  </si>
  <si>
    <t>Morelos</t>
  </si>
  <si>
    <t>Estado de México</t>
  </si>
  <si>
    <t>Sinaloa</t>
  </si>
  <si>
    <t>Guanajuato</t>
  </si>
  <si>
    <t>Yucatán</t>
  </si>
  <si>
    <t>Quintana Roo</t>
  </si>
  <si>
    <t>Aguascalientes</t>
  </si>
  <si>
    <t>Tamaulipas</t>
  </si>
  <si>
    <t>Coahuila</t>
  </si>
  <si>
    <t>Sonora</t>
  </si>
  <si>
    <t>Baja California</t>
  </si>
  <si>
    <t>ENTIDAD FEDERATIVA</t>
  </si>
  <si>
    <t>Centro-Oriente</t>
  </si>
  <si>
    <t>Centro</t>
  </si>
  <si>
    <t>Centro-Bajío</t>
  </si>
  <si>
    <t>Occidente</t>
  </si>
  <si>
    <t>Noreste</t>
  </si>
  <si>
    <t>Sur</t>
  </si>
  <si>
    <t>Centro-Sur</t>
  </si>
  <si>
    <t>Noroeste</t>
  </si>
  <si>
    <t>Bajío</t>
  </si>
  <si>
    <t>Sureste</t>
  </si>
  <si>
    <t>Norte</t>
  </si>
  <si>
    <t>ZONA</t>
  </si>
  <si>
    <t>TOLERANCIA MIN</t>
  </si>
  <si>
    <t>GEOCERCA m</t>
  </si>
  <si>
    <t>Nombre Corto</t>
  </si>
  <si>
    <t>S Pablo Mixcoac</t>
  </si>
  <si>
    <t>S Pablo Masaryk</t>
  </si>
  <si>
    <t>S Pablo Sta Mónica</t>
  </si>
  <si>
    <t>S Pablo Mezquitan</t>
  </si>
  <si>
    <t>S Pablo Valdepeñas</t>
  </si>
  <si>
    <t>S Pablo Río Mayo</t>
  </si>
  <si>
    <t>S Pablo Domingo Diez</t>
  </si>
  <si>
    <t>La Comer Angelópolis</t>
  </si>
  <si>
    <t>S Pablo Lomas Angelópolis</t>
  </si>
  <si>
    <t>Fleming Benito</t>
  </si>
  <si>
    <t>F Ahorro Plaza Bosques</t>
  </si>
  <si>
    <t>Sanborns Angelópolis</t>
  </si>
  <si>
    <t>Sears Angelópolis</t>
  </si>
  <si>
    <t>Liverpool Puebla</t>
  </si>
  <si>
    <t>City Market Solesta</t>
  </si>
  <si>
    <t>La Comer Las Animas</t>
  </si>
  <si>
    <t>Fleming Matriz</t>
  </si>
  <si>
    <t>S Pablo Zavaleta</t>
  </si>
  <si>
    <t>F Ahorro Metepec</t>
  </si>
  <si>
    <t>F Ahorro La Purísima</t>
  </si>
  <si>
    <t>S Pablo Metepec</t>
  </si>
  <si>
    <t>S Pablo Chalco Centro</t>
  </si>
  <si>
    <t>S Pablo Xochimilco</t>
  </si>
  <si>
    <t>S Pablo Toluca</t>
  </si>
  <si>
    <t>S Pablo Tlalpan</t>
  </si>
  <si>
    <t>S Pablo Ajusco</t>
  </si>
  <si>
    <t>S Pablo Toluca Centro</t>
  </si>
  <si>
    <t>Soriana Gran Terraza</t>
  </si>
  <si>
    <t>Liverpool Toluca</t>
  </si>
  <si>
    <t>S Pablo San Fernando</t>
  </si>
  <si>
    <t>Palacio Acoxpa</t>
  </si>
  <si>
    <t>S Pablo Miramontes</t>
  </si>
  <si>
    <t>Sanborns Perisur</t>
  </si>
  <si>
    <t>Palacio Perisur</t>
  </si>
  <si>
    <t>Liverpool Perisur</t>
  </si>
  <si>
    <t>Sears Perisur</t>
  </si>
  <si>
    <t>La Comer Villa Coapa</t>
  </si>
  <si>
    <t>S Pablo Imán</t>
  </si>
  <si>
    <t>F Ahorro Sta Teresa</t>
  </si>
  <si>
    <t>S Pablo Sta Teresa</t>
  </si>
  <si>
    <t>S Pablo Cafetales</t>
  </si>
  <si>
    <t>S Pablo Luis Cabrera</t>
  </si>
  <si>
    <t>S Pablo San Jerónimo</t>
  </si>
  <si>
    <t>S Pablo Neza</t>
  </si>
  <si>
    <t>City Market San Jerónimo</t>
  </si>
  <si>
    <t>S Pablo Eje 10</t>
  </si>
  <si>
    <t>La Comer Olivar</t>
  </si>
  <si>
    <t>S Pablo Candelaria</t>
  </si>
  <si>
    <t>S Pablo Av Toluca</t>
  </si>
  <si>
    <t>S Pablo Taxqueña</t>
  </si>
  <si>
    <t>F Ahorro Inglaterra</t>
  </si>
  <si>
    <t>La Comer Coyoacán</t>
  </si>
  <si>
    <t>Benavides Plaza Oasis</t>
  </si>
  <si>
    <t>Fresko M A Quevedo</t>
  </si>
  <si>
    <t>Sephora Oasis</t>
  </si>
  <si>
    <t>S Pablo División Norte</t>
  </si>
  <si>
    <t>S Pablo Altavista</t>
  </si>
  <si>
    <t>S Pablo Las Águilas</t>
  </si>
  <si>
    <t>Palacio Mitikah</t>
  </si>
  <si>
    <t>Liverpool Mitikah</t>
  </si>
  <si>
    <t>S Pablo Eje 5</t>
  </si>
  <si>
    <t>Liverpool Santa Fe</t>
  </si>
  <si>
    <t>S Pablo Castorena</t>
  </si>
  <si>
    <t>S Pablo Centenario</t>
  </si>
  <si>
    <t>Sanborns Santa Fe</t>
  </si>
  <si>
    <t>Sephora Santa Fe</t>
  </si>
  <si>
    <t>S Pablo Santa Fe</t>
  </si>
  <si>
    <t>F Ahorro Luis Barragán</t>
  </si>
  <si>
    <t>La Comer Insurgentes</t>
  </si>
  <si>
    <t>Sears Universidad</t>
  </si>
  <si>
    <t>Palacio Santa Fe</t>
  </si>
  <si>
    <t>S Pablo Revolución</t>
  </si>
  <si>
    <t>Benavides Félix Cuevas</t>
  </si>
  <si>
    <t>S Pablo La Viga</t>
  </si>
  <si>
    <t>Liverpool Insurgentes</t>
  </si>
  <si>
    <t>La Comer Del Valle</t>
  </si>
  <si>
    <t>Soriana Pilares</t>
  </si>
  <si>
    <t>F Ahorro Valle Sur</t>
  </si>
  <si>
    <t>S Pablo Vértiz</t>
  </si>
  <si>
    <t>Sanborns Tezontle</t>
  </si>
  <si>
    <t>S Pablo Tezontle</t>
  </si>
  <si>
    <t>F Ahorro San Borja</t>
  </si>
  <si>
    <t>Fresko Pabellón</t>
  </si>
  <si>
    <t>S Pablo Patriotismo</t>
  </si>
  <si>
    <t>City Market Lilas</t>
  </si>
  <si>
    <t>S Pablo Stim</t>
  </si>
  <si>
    <t>S Pablo Scop</t>
  </si>
  <si>
    <t>S Pablo Jesús Monte</t>
  </si>
  <si>
    <t>F Ahorro Interlomas</t>
  </si>
  <si>
    <t>Sephora Delta</t>
  </si>
  <si>
    <t>Liverpool Parque Delta</t>
  </si>
  <si>
    <t>Sanborns Parque Delta</t>
  </si>
  <si>
    <t>S Pablo Interlomas</t>
  </si>
  <si>
    <t>City Market Interlomas</t>
  </si>
  <si>
    <t>F Ahorro Siglo XXI</t>
  </si>
  <si>
    <t>Benavides Plaza Bosques</t>
  </si>
  <si>
    <t>S Pablo Fray Servando</t>
  </si>
  <si>
    <t>Fresko La Herradura</t>
  </si>
  <si>
    <t>S Pablo Bosque Minas</t>
  </si>
  <si>
    <t>La Comer Bosque Real</t>
  </si>
  <si>
    <t>F Ahorro Florencia</t>
  </si>
  <si>
    <t>S Pablo Chimalhuacán</t>
  </si>
  <si>
    <t>S Pablo Prado Norte</t>
  </si>
  <si>
    <t>S Pablo Isabel Católica</t>
  </si>
  <si>
    <t>S Pablo Tecamachalco</t>
  </si>
  <si>
    <t>Sanborns Reforma 222</t>
  </si>
  <si>
    <t>Benavides Darwin</t>
  </si>
  <si>
    <t>S Pablo Centro</t>
  </si>
  <si>
    <t>Liverpool Centro</t>
  </si>
  <si>
    <t>F Ahorro Palmas</t>
  </si>
  <si>
    <t>Benavides Masaryk T1</t>
  </si>
  <si>
    <t>Liverpool Polanco</t>
  </si>
  <si>
    <t>S Pablo Villalongín</t>
  </si>
  <si>
    <t>S Pablo Polanco</t>
  </si>
  <si>
    <t>Benavides Taine</t>
  </si>
  <si>
    <t>F Ahorro Polanco</t>
  </si>
  <si>
    <t>Palacio Polanco</t>
  </si>
  <si>
    <t>S Pablo Homero</t>
  </si>
  <si>
    <t>Benavides Lago Alberto</t>
  </si>
  <si>
    <t>Sephora Antara</t>
  </si>
  <si>
    <t>S Pablo Ejército Nacional</t>
  </si>
  <si>
    <t>City Market Plaza Carso</t>
  </si>
  <si>
    <t>Sanborns Plaza Carso</t>
  </si>
  <si>
    <t>S Pablo México Tacuba</t>
  </si>
  <si>
    <t>S Pablo Albino Corzo</t>
  </si>
  <si>
    <t>S Pablo Cuitláhuac</t>
  </si>
  <si>
    <t>S Pablo Camarones</t>
  </si>
  <si>
    <t>F Ahorro Aragón</t>
  </si>
  <si>
    <t>S Pablo Aragón</t>
  </si>
  <si>
    <t>S Pablo Azcapotzalco</t>
  </si>
  <si>
    <t>F Ahorro Basílica</t>
  </si>
  <si>
    <t>Liverpool Lindavista</t>
  </si>
  <si>
    <t>Sanborns Vía Vallejo</t>
  </si>
  <si>
    <t>S Pablo Montevideo</t>
  </si>
  <si>
    <t>S Pablo Casma</t>
  </si>
  <si>
    <t>Sears Lindavista</t>
  </si>
  <si>
    <t>S Pablo Lomas Verdes</t>
  </si>
  <si>
    <t>S Pablo Muzquiz</t>
  </si>
  <si>
    <t>Palacio Satélite</t>
  </si>
  <si>
    <t>Liverpool Satélite</t>
  </si>
  <si>
    <t>Sanborns Satélite</t>
  </si>
  <si>
    <t>S Pablo Satélite</t>
  </si>
  <si>
    <t>S Pablo Ftes Satélite</t>
  </si>
  <si>
    <t>S Pablo Mundo E</t>
  </si>
  <si>
    <t>S Pablo Mario Colín</t>
  </si>
  <si>
    <t>S Pablo Tlalnepantla</t>
  </si>
  <si>
    <t>S Pablo Aztecas</t>
  </si>
  <si>
    <t>S Pablo Alamedas</t>
  </si>
  <si>
    <t>S Pablo Chiluca</t>
  </si>
  <si>
    <t>F Ahorro Arboledas</t>
  </si>
  <si>
    <t>S Pablo Arboledas</t>
  </si>
  <si>
    <t>S Pablo Jardines Mor</t>
  </si>
  <si>
    <t>S Pablo Coacalco</t>
  </si>
  <si>
    <t>S Pablo Las Trojes</t>
  </si>
  <si>
    <t>S Pablo Cuautitlán</t>
  </si>
  <si>
    <t>S Pablo Plaza Jardines</t>
  </si>
  <si>
    <t>F Ahorro Cuautitlán</t>
  </si>
  <si>
    <t>F Ahorro Huertas</t>
  </si>
  <si>
    <t>S Pablo Zona Plateada</t>
  </si>
  <si>
    <t>F Ahorro Río Grande</t>
  </si>
  <si>
    <t>Sanapiel Manantial</t>
  </si>
  <si>
    <t>Sanapiel Nueva Galicia</t>
  </si>
  <si>
    <t>Sanapiel El Tajo</t>
  </si>
  <si>
    <t>S Pablo Constituyentes</t>
  </si>
  <si>
    <t>S Pablo Punto Sur</t>
  </si>
  <si>
    <t>S Pablo B Quintana</t>
  </si>
  <si>
    <t>Fragua Lapizlázuli</t>
  </si>
  <si>
    <t>F Ahorro Naranjitos</t>
  </si>
  <si>
    <t>Liverpool Tlaquepaque</t>
  </si>
  <si>
    <t>Fragua Plaza Revolución</t>
  </si>
  <si>
    <t>S Pablo El Refugio</t>
  </si>
  <si>
    <t>Sanapiel Plaza del Sol</t>
  </si>
  <si>
    <t>Sanapiel Cordilleras</t>
  </si>
  <si>
    <t>S Pablo Patria Gdl</t>
  </si>
  <si>
    <t>Sanapiel Gran Plaza</t>
  </si>
  <si>
    <t>Sanapiel Arcos</t>
  </si>
  <si>
    <t>Liverpool Guadalajara</t>
  </si>
  <si>
    <t>Fragua La Merced</t>
  </si>
  <si>
    <t>Sanborns Galerías</t>
  </si>
  <si>
    <t>Sears Galerías</t>
  </si>
  <si>
    <t>F Ahorro Américas</t>
  </si>
  <si>
    <t>Sanapiel Oblatos</t>
  </si>
  <si>
    <t>Sanapiel Patria Univ</t>
  </si>
  <si>
    <t>F Ahorro Juan Palomar</t>
  </si>
  <si>
    <t>HEB Juriquilla</t>
  </si>
  <si>
    <t>HEB Irapuato</t>
  </si>
  <si>
    <t>Sanapiel Ghenza</t>
  </si>
  <si>
    <t>F Ahorro Montevideo</t>
  </si>
  <si>
    <t>Fragua División Norte</t>
  </si>
  <si>
    <t>Sanapiel Andares</t>
  </si>
  <si>
    <t>S Pablo Juriquilla</t>
  </si>
  <si>
    <t>Liverpool Oblatos</t>
  </si>
  <si>
    <t>Liverpool Zapopan</t>
  </si>
  <si>
    <t>Fragua Plaza Patria</t>
  </si>
  <si>
    <t>La Comer Juriquilla</t>
  </si>
  <si>
    <t>City Market Patria</t>
  </si>
  <si>
    <t>S Pablo Ávila Camacho</t>
  </si>
  <si>
    <t>Sanapiel Dermatológico</t>
  </si>
  <si>
    <t>Fragua Jardín Real</t>
  </si>
  <si>
    <t>F Ahorro Real Center</t>
  </si>
  <si>
    <t>Sanborns Mérida</t>
  </si>
  <si>
    <t>Sears Mérida Plaza</t>
  </si>
  <si>
    <t>F Ahorro García Lavín</t>
  </si>
  <si>
    <t>Liverpool Mérida</t>
  </si>
  <si>
    <t>Liverpool Cabo Norte</t>
  </si>
  <si>
    <t>Liverpool León Altacia</t>
  </si>
  <si>
    <t>Palacio Cancún</t>
  </si>
  <si>
    <t>HEB López Mateos</t>
  </si>
  <si>
    <t>Palacio León</t>
  </si>
  <si>
    <t>HEB Cerro Gordo</t>
  </si>
  <si>
    <t>F Ahorro Clouthier</t>
  </si>
  <si>
    <t>HEB Aguascalientes</t>
  </si>
  <si>
    <t>HEB Ejército</t>
  </si>
  <si>
    <t>F Ahorro Canseco</t>
  </si>
  <si>
    <t>F Ahorro Oscar Pérez</t>
  </si>
  <si>
    <t>Liverpool Mazatlán</t>
  </si>
  <si>
    <t>F Ahorro Mediterráneo</t>
  </si>
  <si>
    <t>Sears Mazatlán</t>
  </si>
  <si>
    <t>F Ahorro Cedros</t>
  </si>
  <si>
    <t>F Ahorro Tres Ríos</t>
  </si>
  <si>
    <t>Sanborns Culiacán</t>
  </si>
  <si>
    <t>Sears Culiacán Forum</t>
  </si>
  <si>
    <t>F Ahorro José Limón</t>
  </si>
  <si>
    <t>HEB San Patricio</t>
  </si>
  <si>
    <t>HEB El Uro</t>
  </si>
  <si>
    <t>HEB Valle Alto</t>
  </si>
  <si>
    <t>HEB Contry</t>
  </si>
  <si>
    <t>F Ahorro Plus Suchiate</t>
  </si>
  <si>
    <t>Soriana Contry</t>
  </si>
  <si>
    <t>HEB Valle Oriente</t>
  </si>
  <si>
    <t>HEB Tec</t>
  </si>
  <si>
    <t>HEB Chipinque</t>
  </si>
  <si>
    <t>Benavides Vasconcelos</t>
  </si>
  <si>
    <t>Sanborns Mty Nuevo Sur</t>
  </si>
  <si>
    <t>F Ahorro Río Rhin</t>
  </si>
  <si>
    <t>F Ahorro Corporativo</t>
  </si>
  <si>
    <t>F Ahorro San Pedro</t>
  </si>
  <si>
    <t>F Ahorro Missouri</t>
  </si>
  <si>
    <t>F Ahorro Calzada</t>
  </si>
  <si>
    <t>HEB San Pedro</t>
  </si>
  <si>
    <t>Soriana San Pedro</t>
  </si>
  <si>
    <t>Benavides Centro Mty</t>
  </si>
  <si>
    <t>HEB Gonzalitos</t>
  </si>
  <si>
    <t>Benavides Galerías Mty</t>
  </si>
  <si>
    <t>Liverpool Monterrey</t>
  </si>
  <si>
    <t>HEB Linda Vista</t>
  </si>
  <si>
    <t>Benavides Linda Vista</t>
  </si>
  <si>
    <t>S Pablo Tec Metepec</t>
  </si>
  <si>
    <t>Soriana San Jerónimo</t>
  </si>
  <si>
    <t>Liverpool La Fe</t>
  </si>
  <si>
    <t>Soriana Cumbres</t>
  </si>
  <si>
    <t>HEB Cumbres</t>
  </si>
  <si>
    <t>HEB San Nicolás</t>
  </si>
  <si>
    <t>HEB Puerta Hierro</t>
  </si>
  <si>
    <t>F Ahorro Huinala</t>
  </si>
  <si>
    <t>HEB Lomas</t>
  </si>
  <si>
    <t>HEB Sendero</t>
  </si>
  <si>
    <t>Sears Los Mochis</t>
  </si>
  <si>
    <t>F Ahorro Apodaca</t>
  </si>
  <si>
    <t>F Ahorro Independencia</t>
  </si>
  <si>
    <t>F Ahorro Centenario</t>
  </si>
  <si>
    <t>HEB Las Fuentes</t>
  </si>
  <si>
    <t>Benavides La Rioja</t>
  </si>
  <si>
    <t>F Ahorro María Morelos</t>
  </si>
  <si>
    <t>Benavides Pitic</t>
  </si>
  <si>
    <t>Benavides Av 13</t>
  </si>
  <si>
    <t>Benavides La Paloma</t>
  </si>
  <si>
    <t>Sears Río</t>
  </si>
  <si>
    <t>Sanborns Plaza Río</t>
  </si>
  <si>
    <t>S Pablo Angelópolis</t>
  </si>
  <si>
    <t>F Ahorro Pedregal</t>
  </si>
  <si>
    <t>F Ahorro Tarasquillo</t>
  </si>
  <si>
    <t>F Ahorro Nuevo León</t>
  </si>
  <si>
    <t>City Market Satélite</t>
  </si>
  <si>
    <t>Fresko Satélite</t>
  </si>
  <si>
    <t>La Comer Álamos</t>
  </si>
  <si>
    <t>F Ahorro Patria Univ</t>
  </si>
  <si>
    <t>F Ahorro Sienna</t>
  </si>
  <si>
    <t>F Ahorro Barcelona</t>
  </si>
  <si>
    <t>F Ahorro Oxun Univ</t>
  </si>
  <si>
    <t>La Comer Cuernavaca Diana</t>
  </si>
  <si>
    <t>Chedraui Selecto Selecto Angelópolis</t>
  </si>
  <si>
    <t>Chedraui Selecto Pedregal</t>
  </si>
  <si>
    <t>Chedraui Selecto Santa Fe</t>
  </si>
  <si>
    <t>Chedraui Selecto Samara</t>
  </si>
  <si>
    <t>Chedraui Selecto Universidad</t>
  </si>
  <si>
    <t>Chedraui Selecto Interlomas</t>
  </si>
  <si>
    <t>Chedraui Selecto Polanco</t>
  </si>
  <si>
    <t>Benavides Masaryk y Seneca</t>
  </si>
  <si>
    <t>Especializadas Prado Norte</t>
  </si>
  <si>
    <t>Especializadas División del Norte</t>
  </si>
  <si>
    <t>Especializadas ABC Santa Fe</t>
  </si>
  <si>
    <t>Especializadas ABC Observatorio</t>
  </si>
  <si>
    <t>F Ahorro Jardines de San Manuel</t>
  </si>
  <si>
    <t>F Ahorro UDLA 05 de Mayo</t>
  </si>
  <si>
    <t>F Ahorro Chalco Cuauhtemoc</t>
  </si>
  <si>
    <t>F Ahorro Estrella Errante</t>
  </si>
  <si>
    <t xml:space="preserve">F Ahorro Periférico Ote. </t>
  </si>
  <si>
    <t xml:space="preserve">F Ahorro Sta María Azt. </t>
  </si>
  <si>
    <t>F Ahorro Jesús del Monte</t>
  </si>
  <si>
    <t>F Ahorro Ojo Agua II</t>
  </si>
  <si>
    <t>F Ahorro Moctezuma Sn Juan del Rio</t>
  </si>
  <si>
    <t>F Ahorro 5 Mayo Sn Juan del Rio</t>
  </si>
  <si>
    <t>F Ahorro Bugambilias los pinos</t>
  </si>
  <si>
    <t>F Ahorro Juventino Rosas</t>
  </si>
  <si>
    <t>F Ahorro Aviación valle real</t>
  </si>
  <si>
    <t>F Ahorro Roberto Garza Sada</t>
  </si>
  <si>
    <t>F Ahorro Jeronimo Siller</t>
  </si>
  <si>
    <t>F Ahorro Ricardo Margain</t>
  </si>
  <si>
    <t>F Ahorro Glorieta Calz.</t>
  </si>
  <si>
    <t>F Ahorro Río de la Plata</t>
  </si>
  <si>
    <t>F Ahorro Calz Sn. Pedro</t>
  </si>
  <si>
    <t>F Ahorro Plaza Sm Jerónimo</t>
  </si>
  <si>
    <t>F Ahorro Cumbres de los alpes</t>
  </si>
  <si>
    <t>F Ahorro Lázaro Cárdenas</t>
  </si>
  <si>
    <t>F Ahorro Garza Sada Sur</t>
  </si>
  <si>
    <t>F Ahorro Enrique Livas</t>
  </si>
  <si>
    <t>Fragua San José B. Juárez</t>
  </si>
  <si>
    <t>Fresko Plaza Mayor León</t>
  </si>
  <si>
    <t>La Comer Metepec Tecnológico</t>
  </si>
  <si>
    <t>La Comer Lomas Anahuac</t>
  </si>
  <si>
    <t>La Comer Bosque Esmeralda</t>
  </si>
  <si>
    <t>ALARCON SICAIROS ROSA ISELA</t>
  </si>
  <si>
    <t>ALLENDE VELASCO MARICELA</t>
  </si>
  <si>
    <t>ARIAS SANCHEZ ANGELICA</t>
  </si>
  <si>
    <t xml:space="preserve">BUSTOS MARTINEZ LAURA ANGELICA                    </t>
  </si>
  <si>
    <t>GONZALEZ DOMINGUEZ HILDA MARGARITA</t>
  </si>
  <si>
    <t>HERNANDEZ CABRERA ALEJANDRA</t>
  </si>
  <si>
    <t xml:space="preserve">RAMIREZ RIOS DIANA                                </t>
  </si>
  <si>
    <t xml:space="preserve">RESENDIZ HERRERA DOLORES                          </t>
  </si>
  <si>
    <t xml:space="preserve">TOVAR RUIZ ERIKA                                  </t>
  </si>
  <si>
    <t xml:space="preserve">CORONEL JUAREZ MARISOL                            </t>
  </si>
  <si>
    <t xml:space="preserve">CUEVAS SOTELO MIREYA                              </t>
  </si>
  <si>
    <t xml:space="preserve">HERNANDEZ BADILLO MITZY MALENI                    </t>
  </si>
  <si>
    <t xml:space="preserve">MOGO VAZQUEZ MONSERRAT                            </t>
  </si>
  <si>
    <t>ACOSTA CAMACHO ANA KAREN</t>
  </si>
  <si>
    <t xml:space="preserve">CRUZ RAMON XOCHITL                                </t>
  </si>
  <si>
    <t>DE JESUS HERNANDEZ JAQUELIN</t>
  </si>
  <si>
    <t xml:space="preserve">IBARRA RODRIGUEZ GEORGINA                         </t>
  </si>
  <si>
    <t xml:space="preserve">MANZANO CABRERA JULISSA                           </t>
  </si>
  <si>
    <t xml:space="preserve">CARRANZA HERREJON JENNIFER                        </t>
  </si>
  <si>
    <t xml:space="preserve">LUCERO GONZALEZ ISABEL                            </t>
  </si>
  <si>
    <t xml:space="preserve">PINEDA ZUÑIGA MARIA LIZBETH                       </t>
  </si>
  <si>
    <t xml:space="preserve">RODRIGUEZ BAILON OLGA ELIZABETH                   </t>
  </si>
  <si>
    <t xml:space="preserve">RODRIGUEZ MIRANDA TERESA                          </t>
  </si>
  <si>
    <t xml:space="preserve">ALVAREZ ZAMORES YAHAIRA BERENICE                  </t>
  </si>
  <si>
    <t xml:space="preserve">BARBA NAVARRO CLAUDIA LIZETH                      </t>
  </si>
  <si>
    <t xml:space="preserve">BAUTISTA CORONA MIRIAM                            </t>
  </si>
  <si>
    <t>BETANCOURT BERNAL KAREN MARISOL</t>
  </si>
  <si>
    <t xml:space="preserve">CORRALES ORTIZ OLGA LETICIA                       </t>
  </si>
  <si>
    <t xml:space="preserve">CRESPO SANTIAGO SANDRA LUZ                        </t>
  </si>
  <si>
    <t>DE LA ROSA MOLINA IVETE</t>
  </si>
  <si>
    <t xml:space="preserve">LOPEZ CRUZ LAURA VIVIANA                          </t>
  </si>
  <si>
    <t xml:space="preserve">GONZALEZ MARTINEZ MA. ASCENCION                   </t>
  </si>
  <si>
    <t>HERNANDEZ ZAVALA CAROLINA</t>
  </si>
  <si>
    <t xml:space="preserve">KOFIADOU  ANASTASIA                               </t>
  </si>
  <si>
    <t xml:space="preserve">LEVARIO RAMIREZ PAULINA SHOMARA                   </t>
  </si>
  <si>
    <t xml:space="preserve">MOLINA GARCIA VIRIDIANA MARICELA                  </t>
  </si>
  <si>
    <t xml:space="preserve">MON RANGEL MARIA DE LOURDES                       </t>
  </si>
  <si>
    <t xml:space="preserve">NUNGARAY CAMPA MARIA TERESA                       </t>
  </si>
  <si>
    <t xml:space="preserve">QUIHUIS LUGO ELIANA GUADALUPE                     </t>
  </si>
  <si>
    <t xml:space="preserve">QUINTERO GARISTA ANGELICA                         </t>
  </si>
  <si>
    <t xml:space="preserve">RAMIREZ DIAZ MONICA ROCIO                         </t>
  </si>
  <si>
    <t xml:space="preserve">RANGEL VARGAS BARBARA                             </t>
  </si>
  <si>
    <t xml:space="preserve">REYNA MORENO ELIZABETH                            </t>
  </si>
  <si>
    <t xml:space="preserve">RIVAS RAMIREZ MARGARITA                           </t>
  </si>
  <si>
    <t xml:space="preserve">ROSALES LOPEZ MONICA                              </t>
  </si>
  <si>
    <t>SALAZAR ZAVALA AURORA</t>
  </si>
  <si>
    <t>SANTIAGO GONZALEZ ROSA GABRIELA</t>
  </si>
  <si>
    <t xml:space="preserve">CALDERON GARCIA JESSICA                           </t>
  </si>
  <si>
    <t xml:space="preserve">GARCIA GONZALEZ ALMA PATRICIA                     </t>
  </si>
  <si>
    <t xml:space="preserve">MORALES REYES MARIA GABRIELA                      </t>
  </si>
  <si>
    <t>CASTILLO OLVERA EVELYN</t>
  </si>
  <si>
    <t xml:space="preserve">CIENFUEGOS FLORES LAURA ELENA                     </t>
  </si>
  <si>
    <t xml:space="preserve">GARCIA GUERRERO ARGELIA                           </t>
  </si>
  <si>
    <t xml:space="preserve">HERNANDEZ HERNANDEZ GRECIA MONTSERRAT             </t>
  </si>
  <si>
    <t xml:space="preserve">MANCILLA GUTIERREZ LUZ ADRIANA                    </t>
  </si>
  <si>
    <t xml:space="preserve">VAZQUEZ CAMPOS ALONDRA ARLETTE                    </t>
  </si>
  <si>
    <t xml:space="preserve">VEGA RAMIREZ MAYELA                               </t>
  </si>
  <si>
    <t xml:space="preserve">ARIAS SANTOS ELIZABETH                            </t>
  </si>
  <si>
    <t xml:space="preserve">ORTIZ VILLASEÑOR DULCE MARIA                      </t>
  </si>
  <si>
    <t>REYES CARVENTE MARIA DE LOS ANGELES</t>
  </si>
  <si>
    <t xml:space="preserve">ROMERO GONZALEZ NORMA LIDIA                       </t>
  </si>
  <si>
    <t>VARGAS VARGAS CARMEN NAYELI</t>
  </si>
  <si>
    <t>AYALA KIMBERLY MICHELLE</t>
  </si>
  <si>
    <t xml:space="preserve">CELIS CHABLE GABRIELA ASUNCION                    </t>
  </si>
  <si>
    <t xml:space="preserve">FLORES URIBE GUADALUPE JAZMIN                     </t>
  </si>
  <si>
    <t xml:space="preserve">GARCIA TOLENTINO LILIANA                          </t>
  </si>
  <si>
    <t xml:space="preserve">GOMEZ MARTINEZ MARISOL                            </t>
  </si>
  <si>
    <t xml:space="preserve">MONDRAGON VEGA NALLELY                            </t>
  </si>
  <si>
    <t>RAMIREZ CONTRERAS MARIBEL</t>
  </si>
  <si>
    <t xml:space="preserve">RODRIGUEZ SALINAS FELISA JUDITH                   </t>
  </si>
  <si>
    <t xml:space="preserve">ZACARIAZ DANIEL SEBASTIANA                        </t>
  </si>
  <si>
    <t xml:space="preserve">ALARCON MORALES ANDREA CONCEPCION                 </t>
  </si>
  <si>
    <t xml:space="preserve">ALVAREZ LOPEZ NORMA IVONNE                        </t>
  </si>
  <si>
    <t xml:space="preserve">APARICIO CONTRERAS MARLEN YOSELIN                 </t>
  </si>
  <si>
    <t xml:space="preserve">BARRERA ROMERO ADRIANA                            </t>
  </si>
  <si>
    <t xml:space="preserve">CUAHUTLE ZAMORA NORMA                             </t>
  </si>
  <si>
    <t xml:space="preserve">DEL CARMEN AGUILAR KARLA GIDDIANI </t>
  </si>
  <si>
    <t xml:space="preserve">FELIX CRUZ HEIDI                                  </t>
  </si>
  <si>
    <t xml:space="preserve">FLORES URIBE MARIA DEL CARMEN ELIZABETH           </t>
  </si>
  <si>
    <t xml:space="preserve">FRANCHINI ALVAREZ MARTHA NAYALID                  </t>
  </si>
  <si>
    <t xml:space="preserve">FUENTES HERNANDEZ VIRIDIANA                       </t>
  </si>
  <si>
    <t xml:space="preserve">GARCIA GONZALEZ ANA BERTHA                        </t>
  </si>
  <si>
    <t>GOMEZ GALVAN CLAUDIA FERNANDA</t>
  </si>
  <si>
    <t xml:space="preserve">GUTIERREZ PERALTA NATALIA                         </t>
  </si>
  <si>
    <t xml:space="preserve">HERNANDEZ ANGUIANO DULCE MARIA                    </t>
  </si>
  <si>
    <t>HERNANDEZ CASTILLO ANA LILIA</t>
  </si>
  <si>
    <t xml:space="preserve">MENDOZA SILVA REBECA ISABEL                       </t>
  </si>
  <si>
    <t xml:space="preserve">MENESES VELAZQUEZ ANA LUISA                       </t>
  </si>
  <si>
    <t xml:space="preserve">MOLINA CARMONA DIANA MARINA                       </t>
  </si>
  <si>
    <t xml:space="preserve">MONDRAGON LOPEZ CELIA                             </t>
  </si>
  <si>
    <t xml:space="preserve">OLVERA ACEVEDO ROCIO                              </t>
  </si>
  <si>
    <t xml:space="preserve">ORTIZ MENDEZ ELIZABETH                            </t>
  </si>
  <si>
    <t xml:space="preserve">PALACIOS BAHENA ERIKA JANETH                      </t>
  </si>
  <si>
    <t xml:space="preserve">PEREZ DIAZ MAYRA                                  </t>
  </si>
  <si>
    <t xml:space="preserve">PEREZ TELLEZ DIANA MARCELA                        </t>
  </si>
  <si>
    <t xml:space="preserve">RAMIREZ FLORES IRIDIAN JANAI                      </t>
  </si>
  <si>
    <t xml:space="preserve">SAID CRUZ ESTELA                                  </t>
  </si>
  <si>
    <t xml:space="preserve">SANCHEZ RAMIREZ ZAIDA                             </t>
  </si>
  <si>
    <t xml:space="preserve">TECPA SANCHEZ ANGELICA                            </t>
  </si>
  <si>
    <t xml:space="preserve">TORRES CRUZ MARIA GUADALUPE                       </t>
  </si>
  <si>
    <t xml:space="preserve">VALVERDE NUÑEZ SUSANA                             </t>
  </si>
  <si>
    <t xml:space="preserve">HERNANDEZ GUTIERREZ NANCY GUADALUPE               </t>
  </si>
  <si>
    <t xml:space="preserve">LUPERCIO VALADEZ NANCY LIZETTE                    </t>
  </si>
  <si>
    <t>REYES HERNANDEZ LETICIA</t>
  </si>
  <si>
    <t xml:space="preserve">AGUILAR CABRERA TRINIDAD                          </t>
  </si>
  <si>
    <t xml:space="preserve">AGUILAR ROMERO ROXANA                             </t>
  </si>
  <si>
    <t>CALVARIO CORONA DEYSI JOVANNA</t>
  </si>
  <si>
    <t xml:space="preserve">OSORIO CASTELLANOS CARMEN AZALIA                  </t>
  </si>
  <si>
    <t xml:space="preserve">ALARCON SICAIROS MARIA LETICIA                    </t>
  </si>
  <si>
    <t>DIAZ HERRERA ZAYARET</t>
  </si>
  <si>
    <t xml:space="preserve">GUZMAN LIZARRAGA MARIA DE LOURDES                 </t>
  </si>
  <si>
    <t xml:space="preserve">ARELLANO VAZQUEZ YANETH VALERIA                   </t>
  </si>
  <si>
    <t>LOPEZ ABAD SAMANTHA YAEL</t>
  </si>
  <si>
    <t>LIMON LOPEZ MARIA DEL ROSARIO</t>
  </si>
  <si>
    <t>L-M-X-J-V-S</t>
  </si>
  <si>
    <t>J-V-S-D-L-M</t>
  </si>
  <si>
    <t>L-M-X</t>
  </si>
  <si>
    <t>J-V-S</t>
  </si>
  <si>
    <t>M-X-J-V-S-D</t>
  </si>
  <si>
    <t>J-V-D</t>
  </si>
  <si>
    <t>D-L-M</t>
  </si>
  <si>
    <t>M-J-S</t>
  </si>
  <si>
    <t>L-X-V</t>
  </si>
  <si>
    <t>L-M</t>
  </si>
  <si>
    <t>V-S</t>
  </si>
  <si>
    <t>X-J</t>
  </si>
  <si>
    <t>NOM</t>
  </si>
  <si>
    <t>DIAS</t>
  </si>
  <si>
    <t xml:space="preserve">MARTES </t>
  </si>
  <si>
    <t>SÁBADO</t>
  </si>
  <si>
    <t>JUEVES</t>
  </si>
  <si>
    <t>VIERNES</t>
  </si>
  <si>
    <t>X</t>
  </si>
  <si>
    <t xml:space="preserve">INICIO </t>
  </si>
  <si>
    <t>FIN</t>
  </si>
  <si>
    <t>GARCIA VILLALPANDO LUIS GAEL</t>
  </si>
  <si>
    <t>29</t>
  </si>
  <si>
    <t>30</t>
  </si>
  <si>
    <t>CISNEROS LOZANO CINTYA BERENICE</t>
  </si>
  <si>
    <t>DORADO GUTIERREZ SULLIQUEY</t>
  </si>
  <si>
    <t>PEREZ LUGO CLAUDIA ISELA</t>
  </si>
  <si>
    <t xml:space="preserve">MARTINEZ DE ANDA GIOVANNA DANIELA </t>
  </si>
  <si>
    <t>POR CUBRIR</t>
  </si>
  <si>
    <t>ALVAREZ GARCIA ADRIANA YULISMA</t>
  </si>
  <si>
    <t>CRUZ DEL SUR</t>
  </si>
  <si>
    <t>TLAQUEPAQUE</t>
  </si>
  <si>
    <t>BLVD PASEO INTERLOMAS</t>
  </si>
  <si>
    <t>adoptado del 12 de marzo al 22 de abril 2026</t>
  </si>
  <si>
    <t>adoptado hasta el 09 de Marzo 2026 / se suma adoptado del 12 de Marzo al 22 de abril</t>
  </si>
  <si>
    <t>S Pablo Paseo Interlomas</t>
  </si>
  <si>
    <t>S Pablo Cruz del Sur</t>
  </si>
  <si>
    <t>S Pablo Tlaquepaque</t>
  </si>
  <si>
    <t>Conjunto Urbano Green House Etapa III, Blvd. Paseo Interlomas 20, Lomas Country Club, 52763 Naucalpan de Juárez, Méx.</t>
  </si>
  <si>
    <t>19.396684439373395, -99.29397842697884</t>
  </si>
  <si>
    <t>BTL-SAN-BPIS-20</t>
  </si>
  <si>
    <t>BTL-SAN-CRZS-01</t>
  </si>
  <si>
    <t>BTL-SAN-TLAQ-10</t>
  </si>
  <si>
    <t>Av. Cruz del Sur 3328, Sta. Eduwiges, 44580 Guadalajara, Jal.</t>
  </si>
  <si>
    <t>20.638318225757544, -103.39412452695112</t>
  </si>
  <si>
    <t>Zaragoza 455, Los Meseros, 45520 San Pedro Tlaquepaque, Jal.</t>
  </si>
  <si>
    <t>20.638297679325397, -103.29941447353502</t>
  </si>
  <si>
    <t>CITY MARKET PLAZA PATRIA</t>
  </si>
  <si>
    <t>codigo_btl</t>
  </si>
  <si>
    <t>id_pdv_externo</t>
  </si>
  <si>
    <t>id_nomina_supervisor</t>
  </si>
  <si>
    <t>RAMIREZ DEL TORO SARA LUZ</t>
  </si>
  <si>
    <t>Total general</t>
  </si>
  <si>
    <t>TOTAL PDV</t>
  </si>
  <si>
    <t>PDV CUBIERTOS</t>
  </si>
  <si>
    <t>TOTAL DC ASIGNADAS</t>
  </si>
  <si>
    <t>% COBERTURA</t>
  </si>
  <si>
    <t>CITY MARKET SAN JERONIMO</t>
  </si>
  <si>
    <t>CITY MARKET INTERLOMAS</t>
  </si>
  <si>
    <t>CITY MARKET SOLESTA</t>
  </si>
  <si>
    <t>Etiquetas de fila</t>
  </si>
  <si>
    <t>USUARIO</t>
  </si>
  <si>
    <t>BTL-DC-1046</t>
  </si>
  <si>
    <t>BTL-DC-1036</t>
  </si>
  <si>
    <t>BTL-DC-1211</t>
  </si>
  <si>
    <t>BTL-DC-1072</t>
  </si>
  <si>
    <t>BTL-DC-1085</t>
  </si>
  <si>
    <t>BTL-DC-1196</t>
  </si>
  <si>
    <t>BTL-DC-1062</t>
  </si>
  <si>
    <t>BTL-DC-1014</t>
  </si>
  <si>
    <t>BTL-DC-1091</t>
  </si>
  <si>
    <t>BTL-DC-1021</t>
  </si>
  <si>
    <t>BTL-DC-1076</t>
  </si>
  <si>
    <t>BTL-DC-1183</t>
  </si>
  <si>
    <t>BTL-DC-1111</t>
  </si>
  <si>
    <t>BTL-DC-1066</t>
  </si>
  <si>
    <t>BTL-DC-1034</t>
  </si>
  <si>
    <t>BTL-DC-1055</t>
  </si>
  <si>
    <t>BTL-DC-1032</t>
  </si>
  <si>
    <t>BTL-DC-1101</t>
  </si>
  <si>
    <t>BTL-DC-1187</t>
  </si>
  <si>
    <t>BTL-DC-1049</t>
  </si>
  <si>
    <t>BTL-DC-1081</t>
  </si>
  <si>
    <t>BTL-DC-1120</t>
  </si>
  <si>
    <t>BTL-DC-1092</t>
  </si>
  <si>
    <t>BTL-DC-1172</t>
  </si>
  <si>
    <t>BTL-DC-1216</t>
  </si>
  <si>
    <t>BTL-DC-1006</t>
  </si>
  <si>
    <t>BTL-DC-1150</t>
  </si>
  <si>
    <t>BTL-DC-1203</t>
  </si>
  <si>
    <t>BTL-DC-1056</t>
  </si>
  <si>
    <t>BTL-DC-1133</t>
  </si>
  <si>
    <t>BTL-DC-1026</t>
  </si>
  <si>
    <t>BTL-DC-1192</t>
  </si>
  <si>
    <t>BTL-DC-1165</t>
  </si>
  <si>
    <t>BTL-DC-1105</t>
  </si>
  <si>
    <t>BTL-DC-1143</t>
  </si>
  <si>
    <t>BTL-DC-1069</t>
  </si>
  <si>
    <t>BTL-DC-1221</t>
  </si>
  <si>
    <t>BTL-DC-1175</t>
  </si>
  <si>
    <t>BTL-DC-1047</t>
  </si>
  <si>
    <t>BTL-DC-1074</t>
  </si>
  <si>
    <t>BTL-DC-1193</t>
  </si>
  <si>
    <t>BTL-DC-1078</t>
  </si>
  <si>
    <t>BTL-DC-1137</t>
  </si>
  <si>
    <t>BTL-DC-1043</t>
  </si>
  <si>
    <t>BTL-DC-1209</t>
  </si>
  <si>
    <t>BTL-DC-1140</t>
  </si>
  <si>
    <t>BTL-DC-1149</t>
  </si>
  <si>
    <t>BTL-DC-1132</t>
  </si>
  <si>
    <t>BTL-DC-1009</t>
  </si>
  <si>
    <t>BTL-DC-1019</t>
  </si>
  <si>
    <t>BTL-DC-1177</t>
  </si>
  <si>
    <t>BTL-DC-1163</t>
  </si>
  <si>
    <t>BTL-DC-1182</t>
  </si>
  <si>
    <t>BTL-DC-1208</t>
  </si>
  <si>
    <t>BTL-DC-1155</t>
  </si>
  <si>
    <t>BTL-DC-1054</t>
  </si>
  <si>
    <t>BTL-DC-1087</t>
  </si>
  <si>
    <t>BTL-DC-1153</t>
  </si>
  <si>
    <t>BTL-DC-1136</t>
  </si>
  <si>
    <t>BTL-DC-1215</t>
  </si>
  <si>
    <t>BTL-DC-1098</t>
  </si>
  <si>
    <t>BTL-DC-1051</t>
  </si>
  <si>
    <t>BTL-DC-1029</t>
  </si>
  <si>
    <t>BTL-DC-1169</t>
  </si>
  <si>
    <t>BTL-DC-1080</t>
  </si>
  <si>
    <t>BTL-DC-1146</t>
  </si>
  <si>
    <t>BTL-DC-1045</t>
  </si>
  <si>
    <t>BTL-DC-1048</t>
  </si>
  <si>
    <t>BTL-DC-1129</t>
  </si>
  <si>
    <t>BTL-DC-1171</t>
  </si>
  <si>
    <t>BTL-DC-1071</t>
  </si>
  <si>
    <t>BTL-DC-1178</t>
  </si>
  <si>
    <t>BTL-DC-1038</t>
  </si>
  <si>
    <t>BTL-DC-1134</t>
  </si>
  <si>
    <t>BTL-DC-1097</t>
  </si>
  <si>
    <t>BTL-DC-1159</t>
  </si>
  <si>
    <t>BTL-DC-1075</t>
  </si>
  <si>
    <t>BTL-DC-1121</t>
  </si>
  <si>
    <t>BTL-DC-1173</t>
  </si>
  <si>
    <t>BTL-DC-1042</t>
  </si>
  <si>
    <t>BTL-DC-1016</t>
  </si>
  <si>
    <t>BTL-DC-1151</t>
  </si>
  <si>
    <t>BTL-DC-1164</t>
  </si>
  <si>
    <t>BTL-DC-1005</t>
  </si>
  <si>
    <t>BTL-DC-1220</t>
  </si>
  <si>
    <t>BTL-DC-1037</t>
  </si>
  <si>
    <t>BTL-DC-1202</t>
  </si>
  <si>
    <t>BTL-DC-1083</t>
  </si>
  <si>
    <t>BTL-DC-1089</t>
  </si>
  <si>
    <t>BTL-DC-1041</t>
  </si>
  <si>
    <t>BTL-DC-1030</t>
  </si>
  <si>
    <t>BTL-DC-1015</t>
  </si>
  <si>
    <t>BTL-DC-1127</t>
  </si>
  <si>
    <t>BTL-DC-1139</t>
  </si>
  <si>
    <t>BTL-DC-1174</t>
  </si>
  <si>
    <t>BTL-DC-1122</t>
  </si>
  <si>
    <t>BTL-DC-1188</t>
  </si>
  <si>
    <t>BTL-DC-1084</t>
  </si>
  <si>
    <t>BTL-DC-1213</t>
  </si>
  <si>
    <t>BTL-DC-1116</t>
  </si>
  <si>
    <t>BTL-DC-1135</t>
  </si>
  <si>
    <t>BTL-DC-1144</t>
  </si>
  <si>
    <t>BTL-DC-1035</t>
  </si>
  <si>
    <t>BTL-DC-1198</t>
  </si>
  <si>
    <t>BTL-DC-1109</t>
  </si>
  <si>
    <t>BTL-DC-1161</t>
  </si>
  <si>
    <t>BTL-DC-1185</t>
  </si>
  <si>
    <t>BTL-DC-1027</t>
  </si>
  <si>
    <t>BTL-DC-1053</t>
  </si>
  <si>
    <t>BTL-DC-1128</t>
  </si>
  <si>
    <t>BTL-DC-1088</t>
  </si>
  <si>
    <t>BTL-DC-1141</t>
  </si>
  <si>
    <t>BTL-DC-1020</t>
  </si>
  <si>
    <t>BTL-DC-1082</t>
  </si>
  <si>
    <t>BTL-DC-1207</t>
  </si>
  <si>
    <t>BTL-DC-1010</t>
  </si>
  <si>
    <t>BTL-DC-1195</t>
  </si>
  <si>
    <t>BTL-DC-1180</t>
  </si>
  <si>
    <t>BTL-DC-1033</t>
  </si>
  <si>
    <t>BTL-DC-1115</t>
  </si>
  <si>
    <t>BTL-DC-1154</t>
  </si>
  <si>
    <t>BTL-DC-1219</t>
  </si>
  <si>
    <t>BTL-DC-1099</t>
  </si>
  <si>
    <t>BTL-DC-1204</t>
  </si>
  <si>
    <t>BTL-DC-1125</t>
  </si>
  <si>
    <t>BTL-DC-1008</t>
  </si>
  <si>
    <t>BTL-DC-1077</t>
  </si>
  <si>
    <t>BTL-DC-1142</t>
  </si>
  <si>
    <t>BTL-DC-1090</t>
  </si>
  <si>
    <t>BTL-DC-1024</t>
  </si>
  <si>
    <t>BTL-DC-1011</t>
  </si>
  <si>
    <t>BTL-DC-1112</t>
  </si>
  <si>
    <t>BTL-DC-1052</t>
  </si>
  <si>
    <t>BTL-DC-1096</t>
  </si>
  <si>
    <t>BTL-DC-1167</t>
  </si>
  <si>
    <t>BTL-DC-1170</t>
  </si>
  <si>
    <t>BTL-DC-1217</t>
  </si>
  <si>
    <t>BTL-DC-1214</t>
  </si>
  <si>
    <t>BTL-DC-1210</t>
  </si>
  <si>
    <t>BTL-DC-1058</t>
  </si>
  <si>
    <t>BTL-DC-1179</t>
  </si>
  <si>
    <t>BTL-DC-1162</t>
  </si>
  <si>
    <t>BTL-DC-1126</t>
  </si>
  <si>
    <t>BTL-DC-1070</t>
  </si>
  <si>
    <t>BTL-DC-1040</t>
  </si>
  <si>
    <t>BTL-DC-1176</t>
  </si>
  <si>
    <t>BTL-DC-1222</t>
  </si>
  <si>
    <t>BTL-DC-1044</t>
  </si>
  <si>
    <t>BTL-DC-1086</t>
  </si>
  <si>
    <t>BTL-DC-1002</t>
  </si>
  <si>
    <t>BTL-DC-1100</t>
  </si>
  <si>
    <t>BTL-DC-1107</t>
  </si>
  <si>
    <t>BTL-DC-1106</t>
  </si>
  <si>
    <t>BTL-DC-1110</t>
  </si>
  <si>
    <t>BTL-DC-1060</t>
  </si>
  <si>
    <t>BTL-DC-1000</t>
  </si>
  <si>
    <t>BTL-DC-1158</t>
  </si>
  <si>
    <t>BTL-DC-1012</t>
  </si>
  <si>
    <t>BTL-DC-1065</t>
  </si>
  <si>
    <t>BTL-DC-1145</t>
  </si>
  <si>
    <t>BTL-DC-1189</t>
  </si>
  <si>
    <t>BTL-DC-1017</t>
  </si>
  <si>
    <t>BTL-DC-1197</t>
  </si>
  <si>
    <t>BTL-DC-1007</t>
  </si>
  <si>
    <t>BTL-DC-1108</t>
  </si>
  <si>
    <t>BTL-DC-1022</t>
  </si>
  <si>
    <t>BTL-DC-1123</t>
  </si>
  <si>
    <t>BTL-DC-1131</t>
  </si>
  <si>
    <t>BTL-DC-1181</t>
  </si>
  <si>
    <t>BTL-DC-1064</t>
  </si>
  <si>
    <t>BTL-DC-1050</t>
  </si>
  <si>
    <t>BTL-DC-1025</t>
  </si>
  <si>
    <t>BTL-DC-1113</t>
  </si>
  <si>
    <t>BTL-DC-1160</t>
  </si>
  <si>
    <t>BTL-DC-1184</t>
  </si>
  <si>
    <t>BTL-DC-1094</t>
  </si>
  <si>
    <t>BTL-DC-1147</t>
  </si>
  <si>
    <t>BTL-DC-1103</t>
  </si>
  <si>
    <t>BTL-DC-1114</t>
  </si>
  <si>
    <t>BTL-DC-1023</t>
  </si>
  <si>
    <t>BTL-DC-1186</t>
  </si>
  <si>
    <t>BTL-DC-1124</t>
  </si>
  <si>
    <t>BTL-DC-1190</t>
  </si>
  <si>
    <t>BTL-DC-1093</t>
  </si>
  <si>
    <t>BTL-DC-1194</t>
  </si>
  <si>
    <t>BTL-DC-1156</t>
  </si>
  <si>
    <t>BTL-DC-1095</t>
  </si>
  <si>
    <t>BTL-DC-1212</t>
  </si>
  <si>
    <t>BTL-DC-1061</t>
  </si>
  <si>
    <t>BTL-DC-1079</t>
  </si>
  <si>
    <t>BTL-DC-1148</t>
  </si>
  <si>
    <t>BTL-DC-1004</t>
  </si>
  <si>
    <t>BTL-DC-1068</t>
  </si>
  <si>
    <t>BTL-DC-1059</t>
  </si>
  <si>
    <t>BTL-DC-1152</t>
  </si>
  <si>
    <t>BTL-DC-1028</t>
  </si>
  <si>
    <t>BTL-DC-1031</t>
  </si>
  <si>
    <t>BTL-DC-1166</t>
  </si>
  <si>
    <t>BTL-DC-1057</t>
  </si>
  <si>
    <t>BTL-DC-1119</t>
  </si>
  <si>
    <t>BTL-DC-1200</t>
  </si>
  <si>
    <t>BTL-DC-1018</t>
  </si>
  <si>
    <t>BTL-DC-1118</t>
  </si>
  <si>
    <t>BTL-DC-1191</t>
  </si>
  <si>
    <t>BTL-DC-1039</t>
  </si>
  <si>
    <t>BTL-DC-1067</t>
  </si>
  <si>
    <t>BTL-DC-1168</t>
  </si>
  <si>
    <t>BTL-DC-1201</t>
  </si>
  <si>
    <t>BTL-DC-1013</t>
  </si>
  <si>
    <t>BTL-DC-1003</t>
  </si>
  <si>
    <t>BTL-DC-1117</t>
  </si>
  <si>
    <t>BTL-DC-1001</t>
  </si>
  <si>
    <t>BTL-DC-1205</t>
  </si>
  <si>
    <t>BTL-DC-1218</t>
  </si>
  <si>
    <t>BTL-DC-1206</t>
  </si>
  <si>
    <t>BTL-DC-1130</t>
  </si>
  <si>
    <t>BTL-DC-1157</t>
  </si>
  <si>
    <t>BTL-DC-1224</t>
  </si>
  <si>
    <t>BTL-DC-1223</t>
  </si>
  <si>
    <t>BTL-DC-1226</t>
  </si>
  <si>
    <t>BTL-DC-1225</t>
  </si>
  <si>
    <t>BTL-DC-1227</t>
  </si>
  <si>
    <t>IDNOM</t>
  </si>
  <si>
    <t>ROL PERM</t>
  </si>
  <si>
    <t xml:space="preserve">DÍAS LAB PERM </t>
  </si>
  <si>
    <t>DIAS LAB MENSU</t>
  </si>
  <si>
    <t>Adoptado 04 23 abril al 03 Junio</t>
  </si>
  <si>
    <t>ORTEGA RAMIREZ PATRICIA</t>
  </si>
  <si>
    <t>RANGEL HERNANDEZ FREDY ROLANDO</t>
  </si>
  <si>
    <t>ORTIZ OJEDA ROSARIO LUCERO</t>
  </si>
  <si>
    <t>MORA RODRIGUEZ MARTHA LILIANA</t>
  </si>
  <si>
    <t>MELENDEZ PADILLA FLORENTINA</t>
  </si>
  <si>
    <t>ABRIL</t>
  </si>
  <si>
    <t># DC2</t>
  </si>
  <si>
    <t>ROL PERM3</t>
  </si>
  <si>
    <t>ARMAS DÍAZ FABIOLA</t>
  </si>
  <si>
    <t>CORONADO DE LA ROSA LIZETH</t>
  </si>
  <si>
    <t>PEREZ GUISA EMMA</t>
  </si>
  <si>
    <t>ROSALES LOPEZ NIDIA ERENDIRA</t>
  </si>
  <si>
    <t>BTL-FAH-50SU-ME</t>
  </si>
  <si>
    <t>BTL-FRE-S460-TM</t>
  </si>
  <si>
    <t>ME50</t>
  </si>
  <si>
    <t>ME50 50 SUR</t>
  </si>
  <si>
    <t>FRESKO MONTEJO</t>
  </si>
  <si>
    <t>VACANTE</t>
  </si>
  <si>
    <t>F Ahorro 50 Sur Mérida</t>
  </si>
  <si>
    <t>C. 50 754 Y 756, Centro, 97000 Mérida, Yuc.</t>
  </si>
  <si>
    <t>20.938452286023647, -89.61889073101648</t>
  </si>
  <si>
    <t>temporal</t>
  </si>
  <si>
    <t xml:space="preserve">FRESKO </t>
  </si>
  <si>
    <t>Adoptado hasta el 09 de Marzo 2026 / se suma adoptado del 12 de Marzo al 22 de abril / 23 de abril a 03 de Junio</t>
  </si>
  <si>
    <t>Estudia los sábados (sep 2025) - Derecho  - 4 años</t>
  </si>
  <si>
    <t>btl-dc-1233</t>
  </si>
  <si>
    <t>DOBLE CONSEJO POR ESPERA DE LIVERPOOL</t>
  </si>
  <si>
    <t>BTL-DC-1238</t>
  </si>
  <si>
    <t>GALAVIZ VALDES HILDA SANJUANA</t>
  </si>
  <si>
    <t>BTL-DC-1232</t>
  </si>
  <si>
    <t>REYES HERNANDEZ DAFNE CITLALI</t>
  </si>
  <si>
    <t>BTL-DC-1231</t>
  </si>
  <si>
    <t>BTL-DC-1228</t>
  </si>
  <si>
    <t>BTL-DC-1230</t>
  </si>
  <si>
    <t>BTL-DC-1237</t>
  </si>
  <si>
    <t>BTL-DC-1229</t>
  </si>
  <si>
    <t>BTL-DC-1235</t>
  </si>
  <si>
    <t>BTL-DC-1239</t>
  </si>
  <si>
    <t>BTL-DC-1236</t>
  </si>
  <si>
    <t>Suma de # DC2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</si>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</sst>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73" formatCode="0.0"/>
    <numFmt numFmtId="175" formatCode="_-* #,##0_-;\-* #,##0_-;_-* &quot;-&quot;??_-;_-@_-"/>
  </numFmts>
  <fonts count="2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22"/>
      <color theme="0"/>
      <name val="Calibri"/>
      <family val="2"/>
    </font>
    <font>
      <b/>
      <sz val="8"/>
      <color theme="0"/>
      <name val="Arial"/>
      <family val="2"/>
    </font>
    <font>
      <sz val="9"/>
      <color theme="1"/>
      <name val="Arial Narrow"/>
      <family val="2"/>
    </font>
    <font>
      <sz val="9"/>
      <color rgb="FF000000"/>
      <name val="Arial Narrow"/>
      <family val="2"/>
    </font>
    <font>
      <b/>
      <sz val="9"/>
      <color theme="1"/>
      <name val="Arial Narrow"/>
      <family val="2"/>
    </font>
    <font>
      <sz val="9"/>
      <color rgb="FFFF0000"/>
      <name val="Arial Narrow"/>
      <family val="2"/>
    </font>
    <font>
      <sz val="9"/>
      <color theme="1"/>
      <name val="Abadi"/>
      <family val="2"/>
    </font>
    <font>
      <b/>
      <sz val="22"/>
      <color theme="1"/>
      <name val="Calibri"/>
      <family val="2"/>
    </font>
    <font>
      <b/>
      <sz val="9"/>
      <color rgb="FFFFFFFF"/>
      <name val="Aptos Narrow"/>
      <family val="2"/>
      <scheme val="minor"/>
    </font>
    <font>
      <sz val="9"/>
      <color rgb="FF000000"/>
      <name val="Abadi"/>
      <family val="2"/>
    </font>
    <font>
      <sz val="9"/>
      <name val="Abadi"/>
      <family val="2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name val="Arial Narrow"/>
      <family val="2"/>
    </font>
    <font>
      <b/>
      <sz val="9"/>
      <color theme="1"/>
      <name val="Calibri"/>
      <family val="2"/>
    </font>
    <font>
      <b/>
      <sz val="9"/>
      <color theme="1"/>
      <name val="Abad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0000"/>
      <name val="Abadi"/>
      <family val="2"/>
    </font>
    <font>
      <b/>
      <sz val="10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6CDEE"/>
        <bgColor rgb="FF76CDEE"/>
      </patternFill>
    </fill>
    <fill>
      <patternFill patternType="solid">
        <fgColor rgb="FF0A4252"/>
        <bgColor rgb="FF0A4252"/>
      </patternFill>
    </fill>
    <fill>
      <patternFill patternType="solid">
        <fgColor rgb="FF1F4429"/>
        <bgColor rgb="FF1F4429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4" fillId="0" borderId="1"/>
    <xf numFmtId="0" fontId="4" fillId="0" borderId="1"/>
    <xf numFmtId="0" fontId="3" fillId="0" borderId="1"/>
    <xf numFmtId="165" fontId="3" fillId="0" borderId="1" applyFont="0" applyFill="0" applyBorder="0" applyAlignment="0" applyProtection="0"/>
    <xf numFmtId="164" fontId="3" fillId="0" borderId="1" applyFont="0" applyFill="0" applyBorder="0" applyAlignment="0" applyProtection="0"/>
    <xf numFmtId="164" fontId="3" fillId="0" borderId="1" applyFont="0" applyFill="0" applyBorder="0" applyAlignment="0" applyProtection="0"/>
    <xf numFmtId="164" fontId="3" fillId="0" borderId="1" applyFont="0" applyFill="0" applyBorder="0" applyAlignment="0" applyProtection="0"/>
    <xf numFmtId="0" fontId="7" fillId="0" borderId="1"/>
    <xf numFmtId="165" fontId="2" fillId="0" borderId="1" applyFont="0" applyFill="0" applyBorder="0" applyAlignment="0" applyProtection="0"/>
    <xf numFmtId="9" fontId="25" fillId="0" borderId="0" applyFont="0" applyFill="0" applyBorder="0" applyAlignment="0" applyProtection="0"/>
  </cellStyleXfs>
  <cellXfs count="149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3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/>
    <xf numFmtId="0" fontId="11" fillId="0" borderId="0" xfId="0" applyFont="1"/>
    <xf numFmtId="0" fontId="12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5" fillId="10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12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" fillId="0" borderId="0" xfId="0" applyFont="1"/>
    <xf numFmtId="0" fontId="19" fillId="0" borderId="3" xfId="0" applyFont="1" applyBorder="1" applyAlignment="1">
      <alignment horizontal="left" vertical="center"/>
    </xf>
    <xf numFmtId="0" fontId="17" fillId="8" borderId="2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14" fontId="19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1" fillId="14" borderId="0" xfId="0" applyFont="1" applyFill="1"/>
    <xf numFmtId="0" fontId="11" fillId="15" borderId="0" xfId="0" applyFont="1" applyFill="1"/>
    <xf numFmtId="0" fontId="19" fillId="5" borderId="3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0" fontId="15" fillId="12" borderId="10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14" fontId="19" fillId="0" borderId="6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9" fillId="5" borderId="3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11" fillId="2" borderId="1" xfId="0" applyFont="1" applyFill="1" applyBorder="1" applyAlignment="1">
      <alignment horizontal="center"/>
    </xf>
    <xf numFmtId="0" fontId="0" fillId="0" borderId="21" xfId="0" pivotButton="1" applyBorder="1"/>
    <xf numFmtId="0" fontId="0" fillId="0" borderId="22" xfId="0" applyBorder="1"/>
    <xf numFmtId="0" fontId="0" fillId="0" borderId="2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6" xfId="0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17" fillId="9" borderId="5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left" vertical="center"/>
    </xf>
    <xf numFmtId="1" fontId="15" fillId="0" borderId="6" xfId="0" applyNumberFormat="1" applyFont="1" applyBorder="1" applyAlignment="1">
      <alignment horizontal="center" vertical="center"/>
    </xf>
    <xf numFmtId="0" fontId="19" fillId="17" borderId="3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11" fillId="12" borderId="1" xfId="0" applyFont="1" applyFill="1" applyBorder="1"/>
    <xf numFmtId="0" fontId="11" fillId="12" borderId="0" xfId="0" applyFont="1" applyFill="1"/>
    <xf numFmtId="0" fontId="11" fillId="12" borderId="0" xfId="0" applyFont="1" applyFill="1" applyAlignment="1">
      <alignment horizontal="center"/>
    </xf>
    <xf numFmtId="0" fontId="15" fillId="0" borderId="12" xfId="0" applyFont="1" applyBorder="1" applyAlignment="1">
      <alignment horizontal="center"/>
    </xf>
    <xf numFmtId="0" fontId="13" fillId="18" borderId="5" xfId="0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left" vertical="center"/>
    </xf>
    <xf numFmtId="12" fontId="13" fillId="18" borderId="5" xfId="0" applyNumberFormat="1" applyFont="1" applyFill="1" applyBorder="1" applyAlignment="1">
      <alignment horizontal="center" vertical="center"/>
    </xf>
    <xf numFmtId="0" fontId="0" fillId="0" borderId="15" xfId="0" applyBorder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6" fillId="7" borderId="4" xfId="0" applyFont="1" applyFill="1" applyBorder="1" applyAlignment="1">
      <alignment horizontal="center" vertical="center"/>
    </xf>
    <xf numFmtId="0" fontId="19" fillId="0" borderId="3" xfId="0" applyFont="1" applyBorder="1" applyAlignment="1">
      <alignment vertical="center"/>
    </xf>
    <xf numFmtId="0" fontId="27" fillId="0" borderId="3" xfId="0" applyFont="1" applyBorder="1" applyAlignment="1">
      <alignment horizontal="left" vertical="center"/>
    </xf>
    <xf numFmtId="0" fontId="19" fillId="0" borderId="3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left" vertical="center"/>
    </xf>
    <xf numFmtId="0" fontId="19" fillId="0" borderId="3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left" vertical="center"/>
    </xf>
    <xf numFmtId="0" fontId="19" fillId="0" borderId="3" xfId="0" applyNumberFormat="1" applyFont="1" applyFill="1" applyBorder="1" applyAlignment="1">
      <alignment horizontal="center"/>
    </xf>
    <xf numFmtId="14" fontId="19" fillId="0" borderId="3" xfId="0" applyNumberFormat="1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3" xfId="0" applyNumberFormat="1" applyFont="1" applyFill="1" applyBorder="1" applyAlignment="1">
      <alignment horizontal="center" vertical="center"/>
    </xf>
    <xf numFmtId="0" fontId="15" fillId="0" borderId="3" xfId="0" applyNumberFormat="1" applyFont="1" applyBorder="1" applyAlignment="1">
      <alignment horizontal="center" vertical="center"/>
    </xf>
    <xf numFmtId="0" fontId="15" fillId="0" borderId="10" xfId="0" applyFont="1" applyFill="1" applyBorder="1" applyAlignment="1">
      <alignment horizontal="center"/>
    </xf>
    <xf numFmtId="0" fontId="15" fillId="10" borderId="6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5" fillId="19" borderId="10" xfId="0" applyFont="1" applyFill="1" applyBorder="1" applyAlignment="1">
      <alignment horizontal="center"/>
    </xf>
    <xf numFmtId="0" fontId="0" fillId="0" borderId="15" xfId="0" applyNumberFormat="1" applyBorder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9" fillId="0" borderId="9" xfId="0" applyFont="1" applyBorder="1" applyAlignment="1">
      <alignment vertical="center"/>
    </xf>
    <xf numFmtId="0" fontId="19" fillId="0" borderId="3" xfId="0" applyFont="1" applyBorder="1" applyAlignment="1"/>
    <xf numFmtId="0" fontId="19" fillId="0" borderId="11" xfId="0" applyFont="1" applyBorder="1" applyAlignment="1">
      <alignment vertical="center"/>
    </xf>
    <xf numFmtId="0" fontId="19" fillId="0" borderId="6" xfId="0" applyFont="1" applyBorder="1" applyAlignment="1"/>
    <xf numFmtId="0" fontId="19" fillId="0" borderId="6" xfId="0" applyFont="1" applyBorder="1" applyAlignment="1">
      <alignment vertical="center"/>
    </xf>
    <xf numFmtId="173" fontId="19" fillId="0" borderId="3" xfId="0" applyNumberFormat="1" applyFont="1" applyBorder="1" applyAlignment="1">
      <alignment horizontal="center"/>
    </xf>
    <xf numFmtId="0" fontId="19" fillId="5" borderId="3" xfId="0" applyFont="1" applyFill="1" applyBorder="1" applyAlignment="1">
      <alignment vertical="center"/>
    </xf>
    <xf numFmtId="0" fontId="19" fillId="17" borderId="3" xfId="0" applyFont="1" applyFill="1" applyBorder="1" applyAlignment="1"/>
    <xf numFmtId="0" fontId="19" fillId="0" borderId="3" xfId="0" applyFont="1" applyFill="1" applyBorder="1" applyAlignment="1">
      <alignment vertical="center"/>
    </xf>
    <xf numFmtId="0" fontId="19" fillId="5" borderId="3" xfId="0" applyFont="1" applyFill="1" applyBorder="1" applyAlignment="1"/>
    <xf numFmtId="0" fontId="19" fillId="13" borderId="3" xfId="0" applyFont="1" applyFill="1" applyBorder="1" applyAlignment="1"/>
    <xf numFmtId="0" fontId="19" fillId="13" borderId="3" xfId="0" applyFont="1" applyFill="1" applyBorder="1" applyAlignment="1">
      <alignment vertical="center"/>
    </xf>
    <xf numFmtId="0" fontId="19" fillId="17" borderId="3" xfId="0" applyFont="1" applyFill="1" applyBorder="1" applyAlignment="1">
      <alignment vertical="center"/>
    </xf>
    <xf numFmtId="0" fontId="13" fillId="18" borderId="5" xfId="0" applyFont="1" applyFill="1" applyBorder="1" applyAlignment="1">
      <alignment vertical="center"/>
    </xf>
    <xf numFmtId="0" fontId="24" fillId="18" borderId="7" xfId="0" applyFont="1" applyFill="1" applyBorder="1" applyAlignment="1">
      <alignment vertical="center"/>
    </xf>
    <xf numFmtId="0" fontId="19" fillId="5" borderId="9" xfId="0" applyFont="1" applyFill="1" applyBorder="1" applyAlignment="1">
      <alignment vertical="center"/>
    </xf>
    <xf numFmtId="0" fontId="18" fillId="5" borderId="9" xfId="0" applyFont="1" applyFill="1" applyBorder="1" applyAlignment="1">
      <alignment vertical="center"/>
    </xf>
    <xf numFmtId="0" fontId="19" fillId="0" borderId="9" xfId="0" applyFont="1" applyFill="1" applyBorder="1" applyAlignment="1">
      <alignment vertical="center"/>
    </xf>
    <xf numFmtId="0" fontId="19" fillId="13" borderId="9" xfId="0" applyFont="1" applyFill="1" applyBorder="1" applyAlignment="1">
      <alignment vertical="center"/>
    </xf>
    <xf numFmtId="1" fontId="23" fillId="0" borderId="0" xfId="0" applyNumberFormat="1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175" fontId="0" fillId="0" borderId="22" xfId="0" applyNumberFormat="1" applyBorder="1"/>
    <xf numFmtId="175" fontId="0" fillId="0" borderId="14" xfId="0" applyNumberFormat="1" applyBorder="1"/>
    <xf numFmtId="0" fontId="0" fillId="0" borderId="13" xfId="0" applyNumberFormat="1" applyBorder="1" applyAlignment="1">
      <alignment horizontal="center"/>
    </xf>
    <xf numFmtId="0" fontId="0" fillId="0" borderId="17" xfId="0" applyNumberForma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19" fillId="0" borderId="3" xfId="0" applyFont="1" applyFill="1" applyBorder="1" applyAlignment="1">
      <alignment horizontal="center"/>
    </xf>
    <xf numFmtId="0" fontId="0" fillId="0" borderId="15" xfId="0" pivotButton="1" applyBorder="1"/>
    <xf numFmtId="0" fontId="0" fillId="0" borderId="18" xfId="0" applyNumberFormat="1" applyBorder="1" applyAlignment="1">
      <alignment horizontal="center" vertical="center"/>
    </xf>
    <xf numFmtId="0" fontId="27" fillId="0" borderId="3" xfId="0" applyNumberFormat="1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/>
    </xf>
    <xf numFmtId="9" fontId="26" fillId="0" borderId="1" xfId="10" applyFont="1" applyBorder="1" applyAlignment="1">
      <alignment horizontal="center"/>
    </xf>
    <xf numFmtId="0" fontId="26" fillId="0" borderId="17" xfId="0" applyFont="1" applyBorder="1" applyAlignment="1">
      <alignment horizontal="left"/>
    </xf>
    <xf numFmtId="0" fontId="0" fillId="0" borderId="19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0" fillId="0" borderId="23" xfId="0" applyNumberFormat="1" applyBorder="1" applyAlignment="1">
      <alignment horizontal="center" vertical="center"/>
    </xf>
    <xf numFmtId="0" fontId="26" fillId="16" borderId="1" xfId="0" applyFont="1" applyFill="1" applyBorder="1" applyAlignment="1">
      <alignment horizontal="center"/>
    </xf>
    <xf numFmtId="1" fontId="26" fillId="16" borderId="1" xfId="0" applyNumberFormat="1" applyFont="1" applyFill="1" applyBorder="1" applyAlignment="1">
      <alignment horizontal="center"/>
    </xf>
    <xf numFmtId="9" fontId="26" fillId="16" borderId="1" xfId="10" applyFont="1" applyFill="1" applyBorder="1" applyAlignment="1">
      <alignment horizontal="center"/>
    </xf>
    <xf numFmtId="0" fontId="28" fillId="0" borderId="25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</cellXfs>
  <cellStyles count="11">
    <cellStyle name="Millares 2" xfId="4" xr:uid="{C28FC1C3-DAE5-4FAA-A2BB-22349BB80D34}"/>
    <cellStyle name="Millares 3" xfId="9" xr:uid="{9FC704E8-7037-45EA-B6EE-9EB3CBEF93FB}"/>
    <cellStyle name="Moneda 2" xfId="6" xr:uid="{75F94B2A-D79C-41BB-87E6-742B62480BFF}"/>
    <cellStyle name="Moneda 3" xfId="5" xr:uid="{D58346D7-BA14-4E14-B1E6-D3D8FF51A658}"/>
    <cellStyle name="Moneda 8" xfId="7" xr:uid="{4E5297CE-125D-4815-9B78-ED7A610BA626}"/>
    <cellStyle name="Normal" xfId="0" builtinId="0"/>
    <cellStyle name="Normal 2" xfId="2" xr:uid="{3C5B7CE4-567B-4C4A-9096-E6B8730ECDFA}"/>
    <cellStyle name="Normal 3" xfId="1" xr:uid="{2E2652B0-4065-4ADB-A53A-0E371F617914}"/>
    <cellStyle name="Normal 4" xfId="3" xr:uid="{55CB6F67-63A9-456B-91D6-F5AB1F961CB9}"/>
    <cellStyle name="Normal 5" xfId="8" xr:uid="{C71C78FC-7034-4DFE-A564-4983DF7EEAC9}"/>
    <cellStyle name="Porcentaje" xfId="10" builtinId="5"/>
  </cellStyles>
  <dxfs count="125">
    <dxf>
      <font>
        <color rgb="FF9C0006"/>
      </font>
      <fill>
        <patternFill>
          <bgColor rgb="FFFFC7CE"/>
        </patternFill>
      </fill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indexed="65"/>
        </top>
        <bottom/>
        <vertical/>
        <horizontal/>
      </border>
    </dxf>
    <dxf>
      <numFmt numFmtId="175" formatCode="_-* #,##0_-;\-* #,##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4" formatCode="_-* #,##0.0_-;\-* #,##0.0_-;_-* &quot;-&quot;??_-;_-@_-"/>
    </dxf>
    <dxf>
      <numFmt numFmtId="175" formatCode="_-* #,##0_-;\-* #,##0_-;_-* &quot;-&quot;??_-;_-@_-"/>
    </dxf>
    <dxf>
      <numFmt numFmtId="35" formatCode="_-* #,##0.00_-;\-* #,##0.00_-;_-* &quot;-&quot;??_-;_-@_-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rgb="FF999999"/>
        </left>
        <right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rgb="FF999999"/>
        </right>
        <top style="thin">
          <color indexed="65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999999"/>
        </left>
        <right/>
        <top style="thin">
          <color indexed="65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5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5"/>
        </top>
        <bottom/>
      </border>
    </dxf>
    <dxf>
      <font>
        <b/>
        <family val="2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5"/>
        </top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badi"/>
        <family val="2"/>
        <scheme val="none"/>
      </font>
    </dxf>
    <dxf>
      <font>
        <b/>
        <strike val="0"/>
        <outline val="0"/>
        <shadow val="0"/>
        <u val="none"/>
        <vertAlign val="baseline"/>
        <sz val="8"/>
        <color theme="1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Narrow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name="PDV DIC-style" pivot="0" count="5" xr9:uid="{00000000-0011-0000-FFFF-FFFF00000000}">
      <tableStyleElement type="wholeTable" size="0" dxfId="124"/>
      <tableStyleElement type="headerRow" dxfId="123"/>
      <tableStyleElement type="totalRow" dxfId="122"/>
      <tableStyleElement type="firstRowStripe" dxfId="121"/>
      <tableStyleElement type="secondRowStripe" dxfId="120"/>
    </tableStyle>
  </tableStyles>
  <colors>
    <mruColors>
      <color rgb="FFFEC6EE"/>
      <color rgb="FFDFFFCD"/>
      <color rgb="FF99FFCC"/>
      <color rgb="FFDEFEF3"/>
      <color rgb="FFFB714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3.713365740739" createdVersion="8" refreshedVersion="8" minRefreshableVersion="3" recordCount="321" xr:uid="{F9A2E018-E416-4AB5-AA19-787DE0A1500C}">
  <cacheSource type="worksheet">
    <worksheetSource name="Tabla411"/>
  </cacheSource>
  <cacheFields count="54">
    <cacheField name="BTL CVE" numFmtId="0">
      <sharedItems/>
    </cacheField>
    <cacheField name="CADENA" numFmtId="0">
      <sharedItems count="18">
        <s v="F AHORRO/DERMA"/>
        <s v="BENAVIDES"/>
        <s v="HEB"/>
        <s v="SAN PABLO"/>
        <s v="SORIANA"/>
        <s v="CITY MARKET"/>
        <s v="LA COMER"/>
        <s v="ESPECIALIZADAS"/>
        <s v="SANAPIEL"/>
        <s v="FRESKO"/>
        <s v="SANBORNS"/>
        <s v="SEARS"/>
        <s v="FLEMING"/>
        <s v="LIVERPOOL"/>
        <s v="EL PALACIO DE HIERRO"/>
        <s v="SEPHORA"/>
        <s v="FRAGUA"/>
        <s v="CHEDRAUI"/>
      </sharedItems>
    </cacheField>
    <cacheField name="ID PDV" numFmtId="0">
      <sharedItems containsBlank="1" containsMixedTypes="1" containsNumber="1" containsInteger="1" minValue="1" maxValue="6700"/>
    </cacheField>
    <cacheField name="SUCURSAL " numFmtId="0">
      <sharedItems/>
    </cacheField>
    <cacheField name="IDNOM" numFmtId="0">
      <sharedItems containsString="0" containsBlank="1" containsNumber="1" containsInteger="1" minValue="22" maxValue="594"/>
    </cacheField>
    <cacheField name="USUARIO" numFmtId="0">
      <sharedItems containsBlank="1"/>
    </cacheField>
    <cacheField name="NOMBRE DC" numFmtId="0">
      <sharedItems containsBlank="1" count="235">
        <s v="LEVARIO RAMIREZ PAULINA SHOMARA                   "/>
        <s v="ALVAREZ ZAMORES YAHAIRA BERENICE                  "/>
        <s v="BETANCOURT BERNAL KAREN MARISOL"/>
        <s v="BUSTOS MARTINEZ LAURA ANGELICA                    "/>
        <s v="CARMONA FLORES YENI                               "/>
        <s v="CISNEROS LOZANO CINTYA BERENICE"/>
        <s v="CORONADO DE LA ROSA LIZETH"/>
        <s v="CORRALES ORTIZ OLGA LETICIA                       "/>
        <s v="COVARRUBIAS HERNANDEZ KELVIN ORLANDO"/>
        <s v="CRUZ RAMON XOCHITL                                "/>
        <s v="DE JESUS HERNANDEZ JAQUELIN"/>
        <s v="ARMAS DÍAZ FABIOLA"/>
        <s v="DEL CARMEN AGUILAR KARLA GIDDIANI "/>
        <s v="AVALOS CARMONA LUCERO JAQUELINE"/>
        <s v="GARCIA GUERRERO ARGELIA                           "/>
        <s v="GONZALEZ MEJIA MARTHA PATRICIA                    "/>
        <s v="GUZMAN VAZQUEZ LAURA"/>
        <s v="HERNANDEZ ANGUIANO DULCE MARIA                    "/>
        <s v="HERNANDEZ CABRERA ALEJANDRA"/>
        <s v="HERNANDEZ GUTIERREZ NANCY GUADALUPE               "/>
        <s v="HERNANDEZ SANCHEZ ANA LUZ                         "/>
        <s v="HERNANDEZ ZAVALA CAROLINA"/>
        <s v="IBARRA RODRIGUEZ GEORGINA                         "/>
        <s v="ISLAS MORA JUDITH"/>
        <s v="JIMENEZ RODRIGUEZ BLANCA AZUCENA"/>
        <s v="LOA PALOMO VIRGINIA ALICIA"/>
        <s v="LOPEZ LOPEZ BRENDA"/>
        <s v="MANCILLA GUTIERREZ LUZ ADRIANA                    "/>
        <s v="MARTINEZ GONZALEZ LAURA ALICIA"/>
        <s v="MELENDEZ PADILLA FLORENTINA"/>
        <s v="MONDRAGON VEGA NALLELY                            "/>
        <s v="MUÑIZ SANCHEZ YARITZEL"/>
        <s v="ORTEGA RAMIREZ PATRICIA"/>
        <s v="OSORIO CASTELLANOS CARMEN AZALIA                  "/>
        <s v="PEREZ GUISA EMMA"/>
        <s v="PEREZ HERNANDEZ LETICIA"/>
        <s v="PEREZ TELLEZ DIANA MARCELA                        "/>
        <s v="PIÑA RODRIGUEZ MARIA DEL CARMEN"/>
        <s v="QUEVEDO REYNOSO MARICELA"/>
        <s v="QUIÑONES GARZA BRENDA KARINA"/>
        <s v="RANGEL HERNANDEZ FREDY ROLANDO"/>
        <s v="RANGEL PICON ADRIANA"/>
        <s v="RIVAS RAMIREZ MARGARITA                           "/>
        <s v="FLORES URIBE GUADALUPE JAZMIN                     "/>
        <s v="ROSALES LOPEZ MONICA                              "/>
        <s v="SALAMANCA MACIAS TERESA JAZMIN"/>
        <s v="SANCHEZ MARQUEZ CARMELITA"/>
        <s v="SANCHEZ RAMIREZ ZAIDA                             "/>
        <s v="SANDOVAL ESLAVA ALEJANDRA KARINA                  "/>
        <s v="SERNA DIAZ GUADALUPE"/>
        <s v="TORRES MACEDA YIREH JANAI"/>
        <s v="VEGA RAMIREZ MAYELA                               "/>
        <s v="VILLANUEVA ANGELES ANGELICA"/>
        <m/>
        <s v="ABAN CANUL ADDY GRACIELA"/>
        <s v="ACOSTA CAMACHO ANA KAREN"/>
        <s v="ACOSTA PEREZ SHARENI DAYZU"/>
        <s v="AGUILA VIEYRA CECILIA"/>
        <s v="AGUILAR ANAYA MARISOL"/>
        <s v="AGUILAR CABRERA TRINIDAD                          "/>
        <s v="AGUILAR ROMERO ROXANA                             "/>
        <s v="ALAMO VELAZQUEZ VANESSA"/>
        <s v="ALANIS ALARCON ANGEL URIEL"/>
        <s v="ALARCON MORALES ANDREA CONCEPCION                 "/>
        <s v="ALARCON SICAIROS MARIA LETICIA                    "/>
        <s v="ALARCON SICAIROS ROSA ISELA"/>
        <s v="ALCANTARA VALLE MARIA JOSE"/>
        <s v="HERNANDEZ YENI ESPINAL "/>
        <s v="ALLENDE VELASCO MARICELA"/>
        <s v="ALVAREZ LOPEZ NORMA IVONNE                        "/>
        <s v="APARICIO CONTRERAS MARLEN YOSELIN                 "/>
        <s v="AQUINO ALLENDE ITZEL"/>
        <s v="ARCIGA PADILLA SHARON MICHELLE"/>
        <s v="ARELLANO VAZQUEZ YANETH VALERIA                   "/>
        <s v="ARIAS SANCHEZ ANGELICA"/>
        <s v="ARIAS SANTOS ELIZABETH                            "/>
        <s v="AVILA BELTRAN FRANCIA ALINEY"/>
        <s v="AYALA KIMBERLY MICHELLE"/>
        <s v="AYALA SUAREZ MIRIAM"/>
        <s v="BALDERAS FLORES KRISNA WENDY"/>
        <s v="BALLESTEROS AUREOLES GABRIELA"/>
        <s v="BARAJAS PEREZ LILIA CAROLINA"/>
        <s v="BARBA NAVARRO CLAUDIA LIZETH                      "/>
        <s v="BARRERA ROMERO ADRIANA                            "/>
        <s v="BARRON RIVAS MARIA DEL CARMEN"/>
        <s v="BAUTISTA CORONA MIRIAM                            "/>
        <s v="BLANCO CANALES ARCELIA"/>
        <s v="BOLAÑOS TREJO FERNANDA ESTEFANIA"/>
        <s v="CALDERON GARCIA JESSICA                           "/>
        <s v="CALDERON GARCIA MARIA DE LOS ANGELES"/>
        <s v="CALVARIO CORONA DEYSI JOVANNA"/>
        <s v="CARAVEO RUIZ YARED"/>
        <s v="CARRANZA HERREJON JENNIFER                        "/>
        <s v="CASTILLO NAVARRO JANNETH MAGALY"/>
        <s v="CASTILLO OLVERA EVELYN"/>
        <s v="CELIS CHABLE GABRIELA ASUNCION                    "/>
        <s v="CIENFUEGOS FLORES LAURA ELENA                     "/>
        <s v="CONTRERAS CALDERON EDITH TERESA                   "/>
        <s v="CONTRERAS MORALES BIANKA ARACELI"/>
        <s v="CORONEL JUAREZ MARISOL                            "/>
        <s v="CORONILLA ALBA GUADALUPE CAROLINA"/>
        <s v="CRESPO SANTIAGO SANDRA LUZ                        "/>
        <s v="CUAHUTLE ZAMORA NORMA                             "/>
        <s v="CUEVAS SOTELO MIREYA                              "/>
        <s v="DE LA ROSA MOLINA IVETE"/>
        <s v="DE LEON CORONA ALAN MAURICIO"/>
        <s v="MERCADO SILVA MARIA LUISA"/>
        <s v="DIAZ ALCALA JOEL"/>
        <s v="DIAZ HERRERA ZAYARET"/>
        <s v="DORADO GUTIERREZ SULLIQUEY"/>
        <s v="DURAN VILLALOBOS MARIA DE JESUS                   "/>
        <s v="ESTRADA AGUIRRE LESLY ESMERALDA"/>
        <s v="FELIX CRUZ HEIDI                                  "/>
        <s v="FLORES UREÑA DEYARIDA"/>
        <s v="FLORES URIBE MARIA DEL CARMEN ELIZABETH           "/>
        <s v="FONSECA MARES YAZMIN"/>
        <s v="FRANCHINI ALVAREZ MARTHA NAYALID                  "/>
        <s v="FUENTES HERNANDEZ VIRIDIANA                       "/>
        <s v="MORALES RUIZ PERLA KARINA"/>
        <s v="GALAVIZ VALDES HILDA SANJUANA"/>
        <s v="GARCIA GONZALEZ ALMA PATRICIA                     "/>
        <s v="GARCIA GONZALEZ ANA BERTHA                        "/>
        <s v="GARCIA TOLENTINO LILIANA                          "/>
        <s v="GARCIA VIDALES YANELI"/>
        <s v="GARCIA VILLALPANDO LUIS GAEL"/>
        <s v="GOMEZ BENAVIDES SANDRA VANESSA"/>
        <s v="GOMEZ GALVAN CLAUDIA FERNANDA"/>
        <s v="GOMEZ MARTINEZ MARISOL                            "/>
        <s v="GONZALEZ BALDERAS DIANA"/>
        <s v="GONZALEZ DOMINGUEZ HILDA MARGARITA"/>
        <s v="GONZALEZ MARTINEZ MA. ASCENCION                   "/>
        <s v="GONZALEZ VILLALPANDO MHIRYAM                      "/>
        <s v="GUERRERO RAMIREZ MONICA DANIELA"/>
        <s v="GUTIERREZ PERALTA NATALIA                         "/>
        <s v="GUZMAN LIZARRAGA MARIA DE LOURDES                 "/>
        <s v="HAGMAN AGUILAR INGRID ANGELICA"/>
        <s v="HERNANDEZ BADILLO MITZY MALENI                    "/>
        <s v="HERNANDEZ BONILLA NUBIA ANGELICA"/>
        <s v="HERNANDEZ CASTILLO ANA LILIA"/>
        <s v="HERNANDEZ FLORES PATRICIA"/>
        <s v="HERNANDEZ HERNANDEZ GRECIA MONTSERRAT             "/>
        <s v="HERNANDEZ MORIN ANGELICA YANET"/>
        <s v="PEREZ LUGO CLAUDIA ISELA"/>
        <s v="JUAREZ PEREZ PAOLA NAYELI"/>
        <s v="KOFIADOU  ANASTASIA                               "/>
        <s v="LAMAS GUTIERREZ ROSA MARIA"/>
        <s v="LIMON LOPEZ MARIA DEL ROSARIO"/>
        <s v="LIZARRAGA LIZARRAGA GILBERTO"/>
        <s v="LOPEZ ABAD SAMANTHA YAEL"/>
        <s v="LOPEZ CRUZ LAURA VIVIANA                          "/>
        <s v="LOREDO POSADA REBECA ABIGAIL"/>
        <s v="LUCERO GONZALEZ ISABEL                            "/>
        <s v="LUPERCIO VALADEZ NANCY LIZETTE                    "/>
        <s v="MANZANO CABRERA JULISSA                           "/>
        <s v="MARTINEZ CRUZ ERIKA"/>
        <s v="QUINTAL MANZANILLA SILVIA PAULINA"/>
        <s v="MARTINEZ DE ANDA GIOVANNA DANIELA "/>
        <s v="MARTINEZ GUTIERREZ MARIA GUADALUPE"/>
        <s v="MENDEZ JACOBO BEATRIZ"/>
        <s v="MENDOZA MENDIOLA VANESSA"/>
        <s v="MENDOZA SILVA REBECA ISABEL                       "/>
        <s v="RAMIREZ CONTRERAS MARIBEL"/>
        <s v="RAMIREZ DEL TORO SARA LUZ"/>
        <s v="MENESES VELAZQUEZ ANA LUISA                       "/>
        <s v="MEZA FIGUEROA CLAUDIA DEL CARMEN "/>
        <s v="MOGO VAZQUEZ MONSERRAT                            "/>
        <s v="MOLINA CARMONA DIANA MARINA                       "/>
        <s v="MOLINA GARCIA VIRIDIANA MARICELA                  "/>
        <s v="MON RANGEL MARIA DE LOURDES                       "/>
        <s v="MONDRAGON LOPEZ CELIA                             "/>
        <s v="MORA RODRIGUEZ MARTHA LILIANA"/>
        <s v="MORALES REYES MARIA GABRIELA                      "/>
        <s v="MUÑOZ CASTILLO MALINAY DEL ROCIO"/>
        <s v="NUNGARAY CAMPA MARIA TERESA                       "/>
        <s v="OLVERA ACEVEDO ROCIO                              "/>
        <s v="OLVERA COLIN ANGELA"/>
        <s v="OLVERA HERNANDEZ OLGA PATRICIA"/>
        <s v="ORTEGA RAMOS WENDY MELISSA"/>
        <s v="ORTIZ BARROSO MARIA CRISTINA"/>
        <s v="ORTIZ MENDEZ ELIZABETH                            "/>
        <s v="ORTIZ OJEDA ROSARIO LUCERO"/>
        <s v="ORTIZ VILLASEÑOR DULCE MARIA                      "/>
        <s v="PAEZ LOPEZ YAZMIN"/>
        <s v="PALACIOS BAHENA ERIKA JANETH                      "/>
        <s v="PASQUALLI RODRIGUEZ DIANA CAROLINA"/>
        <s v="PEREZ DIAZ MAYRA                                  "/>
        <s v="PEREZ PIÑON JESSICA ADRIANA"/>
        <s v="PEREZ SANDOVAL MARIA"/>
        <s v="PINEDA ZUÑIGA MARIA LIZBETH                       "/>
        <s v="QUIHUIS LUGO ELIANA GUADALUPE                     "/>
        <s v="QUINTERO GARISTA ANGELICA                         "/>
        <s v="RAMIREZ BAUTISTA ANA MARIELA"/>
        <s v="RAMIREZ DIAZ MONICA ROCIO                         "/>
        <s v="RAMIREZ FERNANDEZ YASMIN"/>
        <s v="RAMIREZ FLORES IRIDIAN JANAI                      "/>
        <s v="RAMIREZ LARA CATHERINE VIVIANA"/>
        <s v="RAMIREZ RIOS DIANA                                "/>
        <s v="RANGEL VARGAS BARBARA                             "/>
        <s v="RANGEL VILLALOBOS SALLY INDIRA"/>
        <s v="REBOLLO MOTA EVELIN JACQUELINE"/>
        <s v="RESENDIZ HERRERA DOLORES                          "/>
        <s v="REYES CARVENTE MARIA DE LOS ANGELES"/>
        <s v="REYES GURRUSQUIETA YAJAIRA"/>
        <s v="REYES HERNANDEZ DAFNE CITLALI"/>
        <s v="REYES HERNANDEZ LETICIA"/>
        <s v="REYNA MORENO ELIZABETH                            "/>
        <s v="RODRIGUEZ BAILON OLGA ELIZABETH                   "/>
        <s v="RODRIGUEZ GARCIA GUADALUPE"/>
        <s v="RODRIGUEZ GARCIA MARIA DEL ROCIO"/>
        <s v="RODRIGUEZ MIRANDA TERESA                          "/>
        <s v="RODRIGUEZ SALINAS FELISA JUDITH                   "/>
        <s v="RODRIGUEZ SANCHEZ BRENDA BERENICE"/>
        <s v="RODRIGUEZ SOLORZANO MARIA FERNANDA"/>
        <s v="ROJAS CALDERON OSWALDO LUCIO"/>
        <s v="ROMERO GONZALEZ NORMA LIDIA                       "/>
        <s v="ROSALES LOPEZ NIDIA ERENDIRA"/>
        <s v="RUIZ LAGUNA ROSARIO ANGELICA"/>
        <s v="SAID CRUZ ESTELA                                  "/>
        <s v="SALAZAR ZAVALA AURORA"/>
        <s v="SANCHEZ OSORIO NANCY SUSANA"/>
        <s v="SANTIAGO GONZALEZ ROSA GABRIELA"/>
        <s v="SANTIAGO HERNANDEZ DANNA PAOLA"/>
        <s v="SOSA GARCES MARLENE"/>
        <s v="ZACARIAZ DANIEL SEBASTIANA                        "/>
        <s v="TECPA SANCHEZ ANGELICA                            "/>
        <s v="TORRES CRUZ MARIA GUADALUPE                       "/>
        <s v="TOVAR RUIZ ERIKA                                  "/>
        <s v="URIZAR MARTINEZ SUSANA"/>
        <s v="VALVERDE NUÑEZ SUSANA                             "/>
        <s v="VARGAS VARGAS CARMEN NAYELI"/>
        <s v="VAZQUEZ CAMPOS ALONDRA ARLETTE                    "/>
        <s v="VELASCO FERNANDEZ ANAYELI"/>
        <s v="VERA DORADO SARAHI"/>
        <s v="ZARAGOZA RAMIREZ EMMA                             "/>
        <s v="ZAVALA ROSALES JULIO CESAR"/>
      </sharedItems>
    </cacheField>
    <cacheField name="# DC" numFmtId="0">
      <sharedItems containsString="0" containsBlank="1" containsNumber="1" minValue="0.33333333333333331" maxValue="1"/>
    </cacheField>
    <cacheField name="ROL PERM" numFmtId="0">
      <sharedItems containsBlank="1"/>
    </cacheField>
    <cacheField name="# DC2" numFmtId="0">
      <sharedItems containsString="0" containsBlank="1" containsNumber="1" minValue="0.33333333333333298" maxValue="1"/>
    </cacheField>
    <cacheField name="ROL PERM3" numFmtId="0">
      <sharedItems/>
    </cacheField>
    <cacheField name="SUPERVISOR" numFmtId="0">
      <sharedItems/>
    </cacheField>
    <cacheField name="Ciudad" numFmtId="0">
      <sharedItems/>
    </cacheField>
    <cacheField name="HORARIO " numFmtId="0">
      <sharedItems containsBlank="1"/>
    </cacheField>
    <cacheField name="DÍAS LAB PERM " numFmtId="0">
      <sharedItems containsBlank="1"/>
    </cacheField>
    <cacheField name="DIAS LAB MENSU" numFmtId="0">
      <sharedItems/>
    </cacheField>
    <cacheField name="DESCANSO" numFmtId="0">
      <sharedItems/>
    </cacheField>
    <cacheField name="INICIO " numFmtId="14">
      <sharedItems containsSemiMixedTypes="0" containsNonDate="0" containsDate="1" containsString="0" minDate="2026-04-01T00:00:00" maxDate="2026-04-24T00:00:00"/>
    </cacheField>
    <cacheField name="FIN" numFmtId="14">
      <sharedItems containsSemiMixedTypes="0" containsNonDate="0" containsDate="1" containsString="0" minDate="2026-04-22T00:00:00" maxDate="2026-05-01T00:00:00"/>
    </cacheField>
    <cacheField name="1" numFmtId="0">
      <sharedItems containsString="0" containsBlank="1" containsNumber="1" containsInteger="1" minValue="1" maxValue="1"/>
    </cacheField>
    <cacheField name="2" numFmtId="0">
      <sharedItems containsString="0" containsBlank="1" containsNumber="1" containsInteger="1" minValue="1" maxValue="1"/>
    </cacheField>
    <cacheField name="3" numFmtId="0">
      <sharedItems containsString="0" containsBlank="1" containsNumber="1" containsInteger="1" minValue="1" maxValue="1"/>
    </cacheField>
    <cacheField name="4" numFmtId="0">
      <sharedItems containsString="0" containsBlank="1" containsNumber="1" containsInteger="1" minValue="1" maxValue="1"/>
    </cacheField>
    <cacheField name="5" numFmtId="0">
      <sharedItems containsString="0" containsBlank="1" containsNumber="1" containsInteger="1" minValue="1" maxValue="1"/>
    </cacheField>
    <cacheField name="6" numFmtId="0">
      <sharedItems containsString="0" containsBlank="1" containsNumber="1" containsInteger="1" minValue="1" maxValue="1"/>
    </cacheField>
    <cacheField name="7" numFmtId="0">
      <sharedItems containsString="0" containsBlank="1" containsNumber="1" containsInteger="1" minValue="1" maxValue="1"/>
    </cacheField>
    <cacheField name="8" numFmtId="0">
      <sharedItems containsString="0" containsBlank="1" containsNumber="1" containsInteger="1" minValue="1" maxValue="1"/>
    </cacheField>
    <cacheField name="9" numFmtId="0">
      <sharedItems containsString="0" containsBlank="1" containsNumber="1" containsInteger="1" minValue="1" maxValue="1"/>
    </cacheField>
    <cacheField name="10" numFmtId="0">
      <sharedItems containsString="0" containsBlank="1" containsNumber="1" containsInteger="1" minValue="1" maxValue="1"/>
    </cacheField>
    <cacheField name="11" numFmtId="0">
      <sharedItems containsString="0" containsBlank="1" containsNumber="1" containsInteger="1" minValue="1" maxValue="1"/>
    </cacheField>
    <cacheField name="12" numFmtId="0">
      <sharedItems containsString="0" containsBlank="1" containsNumber="1" containsInteger="1" minValue="1" maxValue="1"/>
    </cacheField>
    <cacheField name="13" numFmtId="0">
      <sharedItems containsString="0" containsBlank="1" containsNumber="1" containsInteger="1" minValue="1" maxValue="1"/>
    </cacheField>
    <cacheField name="14" numFmtId="0">
      <sharedItems containsString="0" containsBlank="1" containsNumber="1" containsInteger="1" minValue="1" maxValue="1"/>
    </cacheField>
    <cacheField name="15" numFmtId="0">
      <sharedItems containsString="0" containsBlank="1" containsNumber="1" containsInteger="1" minValue="1" maxValue="1"/>
    </cacheField>
    <cacheField name="16" numFmtId="0">
      <sharedItems containsString="0" containsBlank="1" containsNumber="1" containsInteger="1" minValue="1" maxValue="1"/>
    </cacheField>
    <cacheField name="17" numFmtId="0">
      <sharedItems containsString="0" containsBlank="1" containsNumber="1" containsInteger="1" minValue="1" maxValue="1"/>
    </cacheField>
    <cacheField name="18" numFmtId="0">
      <sharedItems containsString="0" containsBlank="1" containsNumber="1" containsInteger="1" minValue="1" maxValue="1"/>
    </cacheField>
    <cacheField name="19" numFmtId="0">
      <sharedItems containsString="0" containsBlank="1" containsNumber="1" containsInteger="1" minValue="1" maxValue="1"/>
    </cacheField>
    <cacheField name="20" numFmtId="0">
      <sharedItems containsString="0" containsBlank="1" containsNumber="1" containsInteger="1" minValue="1" maxValue="1"/>
    </cacheField>
    <cacheField name="21" numFmtId="0">
      <sharedItems containsString="0" containsBlank="1" containsNumber="1" containsInteger="1" minValue="1" maxValue="1"/>
    </cacheField>
    <cacheField name="22" numFmtId="0">
      <sharedItems containsString="0" containsBlank="1" containsNumber="1" containsInteger="1" minValue="1" maxValue="1"/>
    </cacheField>
    <cacheField name="23" numFmtId="0">
      <sharedItems containsString="0" containsBlank="1" containsNumber="1" containsInteger="1" minValue="1" maxValue="1"/>
    </cacheField>
    <cacheField name="24" numFmtId="0">
      <sharedItems containsString="0" containsBlank="1" containsNumber="1" containsInteger="1" minValue="1" maxValue="1"/>
    </cacheField>
    <cacheField name="25" numFmtId="0">
      <sharedItems containsString="0" containsBlank="1" containsNumber="1" containsInteger="1" minValue="1" maxValue="1"/>
    </cacheField>
    <cacheField name="26" numFmtId="0">
      <sharedItems containsString="0" containsBlank="1" containsNumber="1" containsInteger="1" minValue="1" maxValue="1"/>
    </cacheField>
    <cacheField name="27" numFmtId="0">
      <sharedItems containsString="0" containsBlank="1" containsNumber="1" containsInteger="1" minValue="1" maxValue="1"/>
    </cacheField>
    <cacheField name="28" numFmtId="0">
      <sharedItems containsString="0" containsBlank="1" containsNumber="1" containsInteger="1" minValue="1" maxValue="1"/>
    </cacheField>
    <cacheField name="29" numFmtId="0">
      <sharedItems containsString="0" containsBlank="1" containsNumber="1" containsInteger="1" minValue="1" maxValue="1"/>
    </cacheField>
    <cacheField name="30" numFmtId="0">
      <sharedItems containsString="0" containsBlank="1" containsNumber="1" containsInteger="1" minValue="1" maxValue="1"/>
    </cacheField>
    <cacheField name="# DÍAS" numFmtId="0">
      <sharedItems containsSemiMixedTypes="0" containsString="0" containsNumber="1" containsInteger="1" minValue="0" maxValue="26"/>
    </cacheField>
    <cacheField name="VENTA 2025" numFmtId="1">
      <sharedItems containsNonDate="0" containsString="0" containsBlank="1"/>
    </cacheField>
    <cacheField name="CREC" numFmtId="0">
      <sharedItems containsNonDate="0" containsString="0" containsBlank="1"/>
    </cacheField>
    <cacheField name="CUOTA" numFmtId="1">
      <sharedItems containsNonDate="0" containsString="0" containsBlank="1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s v="BTL-FAH-5DEM-SP"/>
    <x v="0"/>
    <s v="QRMS"/>
    <s v="QRMS 5 DE MAYO SAN JUAN DEL RIO"/>
    <n v="53"/>
    <s v="BTL-DC-1111"/>
    <x v="0"/>
    <n v="0.33333333333333331"/>
    <s v="ROTATIVA"/>
    <n v="0.33333333333333298"/>
    <s v="ROTATIVA"/>
    <s v="FLORES SALDAÑA JAVIER"/>
    <s v="QUERETARO"/>
    <s v="11:00 A 7:00"/>
    <s v="MIE-JUE"/>
    <s v="MIE-JUE"/>
    <s v="DOMINGO"/>
    <d v="2026-04-01T00:00:00"/>
    <d v="2026-04-30T00:00:00"/>
    <n v="1"/>
    <n v="1"/>
    <m/>
    <m/>
    <m/>
    <m/>
    <m/>
    <n v="1"/>
    <n v="1"/>
    <m/>
    <m/>
    <m/>
    <m/>
    <m/>
    <n v="1"/>
    <n v="1"/>
    <m/>
    <m/>
    <m/>
    <m/>
    <m/>
    <n v="1"/>
    <n v="1"/>
    <m/>
    <m/>
    <m/>
    <m/>
    <m/>
    <n v="1"/>
    <n v="1"/>
    <n v="10"/>
    <m/>
    <m/>
    <m/>
    <m/>
  </r>
  <r>
    <s v="BTL-FAH-MOCT-RQ"/>
    <x v="0"/>
    <s v="QRZS"/>
    <s v="QRZS MOCTEZUMA SAN JUAN DEL RIO"/>
    <n v="53"/>
    <s v="BTL-DC-1111"/>
    <x v="0"/>
    <n v="0.33333333333333331"/>
    <s v="ROTATIVA"/>
    <n v="0.33333333333333298"/>
    <s v="ROTATIVA"/>
    <s v="FLORES SALDAÑA JAVIER"/>
    <s v="QUERETARO"/>
    <s v="11:00 A 7:00"/>
    <s v="VIE-SAB"/>
    <s v="VIE-SAB"/>
    <s v="DOMINGO"/>
    <d v="2026-04-01T00:00:00"/>
    <d v="2026-04-30T00:00:00"/>
    <m/>
    <m/>
    <n v="1"/>
    <n v="1"/>
    <m/>
    <m/>
    <m/>
    <m/>
    <m/>
    <n v="1"/>
    <n v="1"/>
    <m/>
    <m/>
    <m/>
    <m/>
    <m/>
    <n v="1"/>
    <n v="1"/>
    <m/>
    <m/>
    <m/>
    <m/>
    <m/>
    <n v="1"/>
    <n v="1"/>
    <m/>
    <m/>
    <m/>
    <m/>
    <m/>
    <n v="8"/>
    <m/>
    <m/>
    <m/>
    <m/>
  </r>
  <r>
    <s v="BTL-FAH-RIOG-YP"/>
    <x v="0"/>
    <s v="QRRG"/>
    <s v="QRRG RIO GRANDE"/>
    <n v="53"/>
    <s v="BTL-DC-1111"/>
    <x v="0"/>
    <n v="0.33333333333333331"/>
    <s v="ROTATIVA"/>
    <n v="0.33333333333333298"/>
    <s v="ROTATIVA"/>
    <s v="FLORES SALDAÑA JAVIER"/>
    <s v="QUERETARO"/>
    <s v="11:00 A 7:00"/>
    <s v="LUN-MAR"/>
    <s v="LUN-MAR"/>
    <s v="DOMINGO"/>
    <d v="2026-04-01T00:00:00"/>
    <d v="2026-04-30T00:00:00"/>
    <m/>
    <m/>
    <m/>
    <m/>
    <m/>
    <n v="1"/>
    <n v="1"/>
    <m/>
    <m/>
    <m/>
    <m/>
    <m/>
    <n v="1"/>
    <n v="1"/>
    <m/>
    <m/>
    <m/>
    <m/>
    <m/>
    <n v="1"/>
    <n v="1"/>
    <m/>
    <m/>
    <m/>
    <m/>
    <m/>
    <n v="1"/>
    <n v="1"/>
    <m/>
    <m/>
    <n v="8"/>
    <m/>
    <m/>
    <m/>
    <m/>
  </r>
  <r>
    <s v="BTL-FAH-JERO-UT"/>
    <x v="0"/>
    <s v="MTJE"/>
    <s v="MTJE JERONIMO SILLER"/>
    <n v="229"/>
    <s v="BTL-DC-1015"/>
    <x v="1"/>
    <n v="0.5"/>
    <s v="ROTATIVA"/>
    <n v="0.5"/>
    <s v="ROTATIVA"/>
    <s v="ANIMAS SAUCEDO ANA CRISTINA "/>
    <s v="MONTERREY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ROBE-RV"/>
    <x v="0"/>
    <s v="MTRS"/>
    <s v="MTRS ROBERTO GARZA SADA"/>
    <n v="229"/>
    <s v="BTL-DC-1015"/>
    <x v="1"/>
    <n v="0.5"/>
    <s v="ROTATIVA"/>
    <n v="0.5"/>
    <s v="ROTATIVA"/>
    <s v="ANIMAS SAUCEDO ANA CRISTINA "/>
    <s v="MONTERREY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AH-LAPU-ON"/>
    <x v="0"/>
    <s v="TLLP"/>
    <s v="TLLP LA PURISIMA"/>
    <n v="310"/>
    <s v="BTL-DC-1033"/>
    <x v="2"/>
    <n v="0.5"/>
    <s v="ROTATIVA"/>
    <n v="0.5"/>
    <s v="ROTATIVA"/>
    <s v="FERNANDEZ SANCHEZ MIGUEL ANGEL "/>
    <s v="TOLUCA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METE-4A"/>
    <x v="0"/>
    <s v="TLME"/>
    <s v="TLME METEPEC"/>
    <n v="310"/>
    <s v="BTL-DC-1033"/>
    <x v="2"/>
    <n v="0.5"/>
    <s v="ROTATIVA"/>
    <n v="0.5"/>
    <s v="ROTATIVA"/>
    <s v="FERNANDEZ SANCHEZ MIGUEL ANGEL "/>
    <s v="TOLUCA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BEN-SUC.-WI"/>
    <x v="1"/>
    <s v="M143"/>
    <s v="M143-SUC. LINDA VISTA"/>
    <n v="25"/>
    <s v="BTL-DC-1036"/>
    <x v="3"/>
    <n v="0.5"/>
    <s v="ROTATIVA"/>
    <n v="0.5"/>
    <s v="ROTATIVA"/>
    <s v="ANIMAS SAUCEDO ANA CRISTINA "/>
    <s v="MONTERREY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HEB-LIND-IU"/>
    <x v="2"/>
    <n v="2961"/>
    <s v="LINDA VISTA"/>
    <n v="25"/>
    <s v="BTL-DC-1036"/>
    <x v="3"/>
    <n v="0.5"/>
    <s v="ROTATIVA"/>
    <n v="0.5"/>
    <s v="ROTATIVA"/>
    <s v="ANIMAS SAUCEDO ANA CRISTINA "/>
    <s v="MONTERREY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AN-CENT-8H"/>
    <x v="3"/>
    <n v="74"/>
    <s v="CENTENARIO"/>
    <n v="226"/>
    <s v="BTL-DC-1041"/>
    <x v="4"/>
    <n v="0.5"/>
    <s v="ROTATIVA"/>
    <n v="0.5"/>
    <s v="ROTATIVA"/>
    <s v="CHAVEZ RAMOS  JONATAN RAYMUNDO 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LASÁ-0P"/>
    <x v="3"/>
    <n v="21"/>
    <s v="LAS ÁGUILAS"/>
    <n v="226"/>
    <s v="BTL-DC-1041"/>
    <x v="4"/>
    <n v="0.5"/>
    <s v="ROTATIVA"/>
    <n v="0.5"/>
    <s v="ROTATIVA"/>
    <s v="CHAVEZ RAMOS  JONATAN RAYMUNDO 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HEB-ELUR-PK"/>
    <x v="2"/>
    <n v="2946"/>
    <s v="EL URO"/>
    <n v="579"/>
    <s v="BTL-DC-1224"/>
    <x v="5"/>
    <n v="0.5"/>
    <s v="ROTATIVA"/>
    <n v="0.5"/>
    <s v="ROTATIVA"/>
    <s v="ANIMAS SAUCEDO ANA CRISTINA "/>
    <s v="MONTERREY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OR-CONT-1Y"/>
    <x v="4"/>
    <n v="7"/>
    <s v="CONTRY"/>
    <n v="579"/>
    <s v="BTL-DC-1224"/>
    <x v="5"/>
    <n v="0.5"/>
    <s v="ROTATIVA"/>
    <n v="0.5"/>
    <s v="ROTATIVA"/>
    <s v="ANIMAS SAUCEDO ANA CRISTINA "/>
    <s v="MONTERREY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AN-CUIT-59"/>
    <x v="3"/>
    <n v="36"/>
    <s v="CUITLÁHUAC"/>
    <n v="592"/>
    <s v="BTL-DC-1237"/>
    <x v="6"/>
    <n v="0.5"/>
    <s v="ROTATIVA"/>
    <n v="0.33333333333333298"/>
    <s v="ROTATIVA"/>
    <s v="AGUIRRE CAMACHO ATZIN SUSANA 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AN-FRAY-1U"/>
    <x v="3"/>
    <n v="86"/>
    <s v="FRAY SERVANDO"/>
    <n v="592"/>
    <s v="BTL-DC-1237"/>
    <x v="6"/>
    <n v="0.5"/>
    <s v="ROTATIVA"/>
    <n v="0.33333333333333298"/>
    <s v="ROTATIVA"/>
    <s v="AGUIRRE CAMACHO ATZIN SUSANA 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AH-JOSE-KX"/>
    <x v="0"/>
    <s v="CLJL"/>
    <s v="CLJL JOSE LIMON"/>
    <n v="149"/>
    <s v="BTL-DC-1051"/>
    <x v="7"/>
    <n v="0.5"/>
    <s v="ROTATIVA"/>
    <n v="0.5"/>
    <s v="ROTATIVA"/>
    <s v="CARREÑO MONREAL MARIA TERESA "/>
    <s v="CULIACAN"/>
    <s v="10:00 A 5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AH-TRES-EM"/>
    <x v="0"/>
    <s v="CLTR"/>
    <s v="CLTR TRES RIOS"/>
    <n v="149"/>
    <s v="BTL-DC-1051"/>
    <x v="7"/>
    <n v="0.5"/>
    <s v="ROTATIVA"/>
    <n v="0.5"/>
    <s v="ROTATIVA"/>
    <s v="CARREÑO MONREAL MARIA TERESA "/>
    <s v="CULIACAN"/>
    <s v="10:00 A 5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INDE-7I"/>
    <x v="0"/>
    <s v="CLIN"/>
    <s v="CLIN INDEPENDENCIA"/>
    <n v="354"/>
    <s v="BTL-DC-1052"/>
    <x v="8"/>
    <n v="0.5"/>
    <s v="ROTATIVA"/>
    <n v="0.5"/>
    <s v="ROTATIVA"/>
    <s v="CARREÑO MONREAL MARIA TERESA "/>
    <s v="MOCHIS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LAZA-8E"/>
    <x v="0"/>
    <s v="CLLC"/>
    <s v="CLLC LAZARO CARDENAS"/>
    <n v="354"/>
    <s v="BTL-DC-1052"/>
    <x v="8"/>
    <n v="0.5"/>
    <s v="ROTATIVA"/>
    <n v="0.5"/>
    <s v="ROTATIVA"/>
    <s v="CARREÑO MONREAL MARIA TERESA "/>
    <s v="MOCHIS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CIT-SANJ-2M"/>
    <x v="5"/>
    <n v="380"/>
    <s v="CITY MARKET SAN JERONIMO"/>
    <n v="140"/>
    <s v="BTL-DC-1054"/>
    <x v="9"/>
    <n v="0.5"/>
    <s v="ROTATIVA"/>
    <n v="0.5"/>
    <s v="ROTATIVA"/>
    <s v="CHAVEZ RAMOS  JONATAN RAYMUNDO 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LAC-OLIV-UE"/>
    <x v="6"/>
    <n v="131"/>
    <s v=" LA COMER OLIVAR"/>
    <n v="140"/>
    <s v="BTL-DC-1054"/>
    <x v="9"/>
    <n v="0.5"/>
    <s v="ROTATIVA"/>
    <n v="0.5"/>
    <s v="ROTATIVA"/>
    <s v="CHAVEZ RAMOS  JONATAN RAYMUNDO 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CIT-INTE-YB"/>
    <x v="5"/>
    <n v="305"/>
    <s v="CITY MARKET INTERLOMAS"/>
    <n v="332"/>
    <s v="BTL-DC-1099"/>
    <x v="10"/>
    <n v="0.5"/>
    <s v="ROTATIVA"/>
    <n v="0.5"/>
    <s v="ROTATIVA"/>
    <s v="LOPEZ RUIZ JACQUELINE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LAC-BOSQ-Z5"/>
    <x v="6"/>
    <n v="444"/>
    <s v="444 - LA COMER BOSQUE REAL"/>
    <n v="332"/>
    <s v="BTL-DC-1099"/>
    <x v="10"/>
    <n v="0.5"/>
    <s v="ROTATIVA"/>
    <n v="0.5"/>
    <s v="ROTATIVA"/>
    <s v="LOPEZ RUIZ JACQUELINE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ESP-DIVI-F6"/>
    <x v="7"/>
    <s v="DIVISION DEL NORTE"/>
    <s v="DIVISION DEL NORTE"/>
    <n v="588"/>
    <s v="btl-dc-1233"/>
    <x v="11"/>
    <m/>
    <m/>
    <n v="1"/>
    <s v="FIJA"/>
    <s v="ESTRADA NAVA MIRIAM ROCI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DOBLE CONSEJO POR ESPERA DE LIVERPOOL"/>
  </r>
  <r>
    <s v="BTL-SAN-LOAN-AP"/>
    <x v="3"/>
    <n v="147"/>
    <s v="LOMAS DE ANGELOPOLIS"/>
    <n v="522"/>
    <s v="BTL-DC-1059"/>
    <x v="12"/>
    <n v="0.5"/>
    <s v="ROTATIVA"/>
    <n v="0.5"/>
    <s v="ROTATIVA"/>
    <s v="BAUTISTA CORONA REYNA "/>
    <s v="PUEBLA 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AH-AMER-BU"/>
    <x v="0"/>
    <s v="GDAM"/>
    <s v="GDAM AMERICAS"/>
    <n v="463"/>
    <s v="BTL-DC-1022"/>
    <x v="13"/>
    <m/>
    <m/>
    <n v="0.33333333333333298"/>
    <s v="ROTATIVA"/>
    <s v="GUTIERREZ ROMERO MARUJA BETTY "/>
    <s v="GUADALAJARA"/>
    <s v="11:00 A 7:00"/>
    <s v="JUE-VIE-SAB"/>
    <s v="JUE-VIE-SAB"/>
    <s v="DOMINGO"/>
    <d v="2026-04-01T00:00:00"/>
    <d v="2026-04-22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JUAN-4U"/>
    <x v="0"/>
    <s v="GDJU"/>
    <s v="GDJU JUAN PALOMAR"/>
    <n v="463"/>
    <s v="BTL-DC-1022"/>
    <x v="13"/>
    <m/>
    <m/>
    <n v="0.33333333333333298"/>
    <s v="ROTATIVA"/>
    <s v="GUTIERREZ ROMERO MARUJA BETTY "/>
    <s v="GUADALAJARA"/>
    <s v="11:00 A 7:00"/>
    <s v="LUN-MAR-MIE"/>
    <s v="LUN-MAR-MIE"/>
    <s v="DOMINGO"/>
    <d v="2026-04-01T00:00:00"/>
    <d v="2026-04-22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ZAVA-ZV"/>
    <x v="3"/>
    <n v="151"/>
    <s v="ZAVALETA"/>
    <n v="522"/>
    <s v="BTL-DC-1059"/>
    <x v="12"/>
    <n v="0.5"/>
    <s v="ROTATIVA"/>
    <n v="0.5"/>
    <s v="ROTATIVA"/>
    <s v="BAUTISTA CORONA REYNA "/>
    <s v="PUEBLA 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OR-CUMB-VR"/>
    <x v="4"/>
    <n v="24"/>
    <s v="CUMBRES"/>
    <n v="185"/>
    <s v="BTL-DC-1075"/>
    <x v="14"/>
    <n v="0.5"/>
    <s v="ROTATIVA"/>
    <n v="0.5"/>
    <s v="ROTATIVA"/>
    <s v="ALVAREZ GARCIA ADRIANA YULISMA"/>
    <s v="MONTERREY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OR-SANJ-MT"/>
    <x v="4"/>
    <n v="133"/>
    <s v="SAN JERONIMO MTY"/>
    <n v="185"/>
    <s v="BTL-DC-1075"/>
    <x v="14"/>
    <n v="0.5"/>
    <s v="ROTATIVA"/>
    <n v="0.5"/>
    <s v="ROTATIVA"/>
    <s v="ALVAREZ GARCIA ADRIANA YULISMA"/>
    <s v="MONTERREY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AN-BOSQ-5X"/>
    <x v="3"/>
    <n v="142"/>
    <s v="BOSQUE DE MINAS"/>
    <n v="242"/>
    <s v="BTL-DC-1084"/>
    <x v="15"/>
    <n v="0.5"/>
    <s v="ROTATIVA"/>
    <n v="0.5"/>
    <s v="ROTATIVA"/>
    <s v="LOPEZ RUIZ JACQUELINE"/>
    <s v="CIUDAD DE MÉXICO"/>
    <s v="11:00 A 7:00"/>
    <s v="LUN-MAR-MIE"/>
    <s v="LUN-MAR-MIE"/>
    <s v="DOMINGO"/>
    <d v="2026-04-01T00:00:00"/>
    <d v="2026-04-22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m/>
    <m/>
    <m/>
    <m/>
    <m/>
    <m/>
    <m/>
    <m/>
    <n v="19"/>
    <m/>
    <m/>
    <m/>
    <s v="adoptado del 12 de marzo al 22 de abril 2026"/>
  </r>
  <r>
    <s v="BTL-SAN-TECA-LK"/>
    <x v="3"/>
    <n v="40"/>
    <s v="TECAMACHALCO"/>
    <n v="242"/>
    <s v="BTL-DC-1084"/>
    <x v="15"/>
    <n v="0.5"/>
    <s v="ROTATIVA"/>
    <n v="0.5"/>
    <s v="ROTATIVA"/>
    <s v="LOPEZ RUIZ JACQUELINE"/>
    <s v="CIUDAD DE MÉXICO"/>
    <s v="11:00 A 7:00"/>
    <s v="JUE-VIE-SAB"/>
    <s v="LUN-SAB"/>
    <s v="DOMINGO"/>
    <d v="2026-04-23T00:00:00"/>
    <d v="2026-04-30T00:00:00"/>
    <m/>
    <m/>
    <m/>
    <m/>
    <m/>
    <m/>
    <m/>
    <m/>
    <m/>
    <m/>
    <m/>
    <m/>
    <m/>
    <m/>
    <m/>
    <m/>
    <m/>
    <m/>
    <m/>
    <m/>
    <m/>
    <m/>
    <n v="1"/>
    <n v="1"/>
    <n v="1"/>
    <m/>
    <n v="1"/>
    <n v="1"/>
    <n v="1"/>
    <n v="1"/>
    <n v="7"/>
    <m/>
    <m/>
    <m/>
    <s v="Adoptado 04 23 abril al 03 Junio"/>
  </r>
  <r>
    <s v="BTL-SAN-EJE1-99"/>
    <x v="3"/>
    <n v="97"/>
    <s v="EJE 10"/>
    <n v="221"/>
    <s v="BTL-DC-1089"/>
    <x v="16"/>
    <n v="0.5"/>
    <s v="ROTATIVA"/>
    <n v="0.5"/>
    <s v="ROTATIVA"/>
    <s v="ESTRADA NAVA MIRIAM ROCIO 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TAXQ-QX"/>
    <x v="3"/>
    <n v="31"/>
    <s v="TAXQUEÑA"/>
    <n v="221"/>
    <s v="BTL-DC-1089"/>
    <x v="16"/>
    <n v="0.5"/>
    <s v="ROTATIVA"/>
    <n v="0.5"/>
    <s v="ROTATIVA"/>
    <s v="ESTRADA NAVA MIRIAM ROCIO 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AN-AZCA-96"/>
    <x v="3"/>
    <n v="81"/>
    <s v="AZCAPOTZALCO"/>
    <n v="34"/>
    <s v="BTL-DC-1091"/>
    <x v="17"/>
    <n v="0.5"/>
    <s v="ROTATIVA"/>
    <n v="0.5"/>
    <s v="ROTATIVA"/>
    <s v="REYES AYBAR LILIANA "/>
    <s v="CIUDAD DE MÉXICO"/>
    <s v="11:00 A 7:00"/>
    <s v="LUN-MAR-MIE"/>
    <s v="LUN-MAR-MIE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m/>
    <m/>
    <m/>
    <m/>
    <n v="1"/>
    <n v="1"/>
    <n v="1"/>
    <m/>
    <n v="22"/>
    <m/>
    <m/>
    <m/>
    <s v="adoptado del 12 de marzo al 22 de abril 2026"/>
  </r>
  <r>
    <s v="BTL-SAN-PLAZ-29"/>
    <x v="3"/>
    <n v="63"/>
    <s v="PLAZA JARDINES"/>
    <n v="34"/>
    <s v="BTL-DC-1091"/>
    <x v="17"/>
    <n v="0.5"/>
    <s v="ROTATIVA"/>
    <n v="0.5"/>
    <s v="ROTATIVA"/>
    <s v="REYES AYBAR LILIANA "/>
    <s v="CIUDAD DE MÉXICO"/>
    <s v="11:00 A 7:00"/>
    <s v="JUE-VIE-SAB"/>
    <s v="JUE-VIE-SAB"/>
    <s v="DOMINGO"/>
    <d v="2026-04-23T00:00:00"/>
    <d v="2026-04-30T00:00:00"/>
    <m/>
    <m/>
    <m/>
    <m/>
    <m/>
    <m/>
    <m/>
    <m/>
    <m/>
    <m/>
    <m/>
    <m/>
    <m/>
    <m/>
    <m/>
    <m/>
    <m/>
    <m/>
    <m/>
    <m/>
    <m/>
    <m/>
    <n v="1"/>
    <n v="1"/>
    <n v="1"/>
    <m/>
    <m/>
    <m/>
    <m/>
    <n v="1"/>
    <n v="4"/>
    <m/>
    <m/>
    <m/>
    <m/>
  </r>
  <r>
    <s v="BTL-BEN-SUC.-6Y"/>
    <x v="1"/>
    <s v="N044"/>
    <s v="N044-SUC. LA PALOMA"/>
    <n v="484"/>
    <s v="BTL-DC-1094"/>
    <x v="18"/>
    <n v="0.5"/>
    <s v="ROTATIVA"/>
    <n v="0.5"/>
    <s v="ROTATIVA"/>
    <s v="LOPEZ GUTIERREZ LUZ EVELIA "/>
    <s v="HERMOSILL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BEN-SUC.-BE"/>
    <x v="1"/>
    <s v="M644"/>
    <s v="M644-SUC. AV 13"/>
    <n v="484"/>
    <s v="BTL-DC-1094"/>
    <x v="18"/>
    <n v="0.5"/>
    <s v="ROTATIVA"/>
    <n v="0.5"/>
    <s v="ROTATIVA"/>
    <s v="LOPEZ GUTIERREZ LUZ EVELIA "/>
    <s v="HERMOSILL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ARCO-CL"/>
    <x v="8"/>
    <n v="1"/>
    <s v="ARCOS"/>
    <n v="182"/>
    <s v="BTL-DC-1097"/>
    <x v="19"/>
    <n v="0.5"/>
    <s v="ROTATIVA"/>
    <n v="0.5"/>
    <s v="ROTATIVA"/>
    <s v="LOPEZ ESTRADA SILVIA BERENICE "/>
    <s v="GUADALAJARA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AN-OBLA-B3"/>
    <x v="8"/>
    <n v="4"/>
    <s v="OBLATOS"/>
    <n v="182"/>
    <s v="BTL-DC-1097"/>
    <x v="19"/>
    <n v="0.5"/>
    <s v="ROTATIVA"/>
    <n v="0.5"/>
    <s v="ROTATIVA"/>
    <s v="LOPEZ ESTRADA SILVIA BERENICE "/>
    <s v="GUADALAJARA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CHIL-1G"/>
    <x v="3"/>
    <n v="37"/>
    <s v="CHILUCA"/>
    <n v="63"/>
    <s v="BTL-DC-1101"/>
    <x v="20"/>
    <n v="0.5"/>
    <s v="ROTATIVA"/>
    <n v="0.5"/>
    <s v="ROTATIVA"/>
    <s v="CARRILLO XOCHIHUA XOCHITL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AN-TLAL-JN"/>
    <x v="3"/>
    <n v="22"/>
    <s v="TLALNEPANTLA"/>
    <n v="63"/>
    <s v="BTL-DC-1101"/>
    <x v="20"/>
    <n v="0.5"/>
    <s v="ROTATIVA"/>
    <n v="0.5"/>
    <s v="ROTATIVA"/>
    <s v="CARRILLO XOCHIHUA XOCHITL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AH-FLOR-FE"/>
    <x v="0"/>
    <s v="MXFA"/>
    <s v="MXFA FLORENCIA"/>
    <n v="487"/>
    <s v="BTL-DC-1103"/>
    <x v="21"/>
    <n v="0.5"/>
    <s v="ROTATIVA"/>
    <n v="0.5"/>
    <s v="ROTATIVA"/>
    <s v="MONTAGNER OLIVARES MIGUEL ANGEL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VALL-7K"/>
    <x v="0"/>
    <s v="MXVU"/>
    <s v="MXVU VALLE SUR"/>
    <n v="487"/>
    <s v="BTL-DC-1103"/>
    <x v="21"/>
    <n v="0.5"/>
    <s v="ROTATIVA"/>
    <n v="0.5"/>
    <s v="ROTATIVA"/>
    <s v="MONTAGNER OLIVARES MIGUEL ANGEL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CIT-LILA-1U"/>
    <x v="5"/>
    <n v="449"/>
    <s v="CITY MARKET LILAS"/>
    <n v="91"/>
    <s v="BTL-DC-1105"/>
    <x v="22"/>
    <n v="0.5"/>
    <s v="ROTATIVA"/>
    <n v="0.5"/>
    <s v="ROTATIVA"/>
    <s v="LOPEZ RUIZ JACQUELINE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RE-LAHE-OY"/>
    <x v="9"/>
    <n v="435"/>
    <s v="FRESKO LA HERRADURA"/>
    <n v="91"/>
    <s v="BTL-DC-1105"/>
    <x v="22"/>
    <n v="0.5"/>
    <s v="ROTATIVA"/>
    <n v="0.5"/>
    <s v="ROTATIVA"/>
    <s v="LOPEZ RUIZ JACQUELINE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AH-AMER-BU"/>
    <x v="0"/>
    <s v="GDAM"/>
    <s v="GDAM AMERICAS"/>
    <n v="463"/>
    <s v="BTL-DC-1022"/>
    <x v="23"/>
    <n v="0.5"/>
    <s v="ROTATIVA"/>
    <n v="0.33333333333333298"/>
    <s v="ROTATIVA"/>
    <s v="GUTIERREZ ROMERO MARUJA BETTY "/>
    <s v="GUADALAJARA"/>
    <s v="11:00 A 7:00"/>
    <s v="JUE-VIE-SAB"/>
    <s v="JUE-VIE-SAB"/>
    <s v="DOMINGO"/>
    <d v="2026-04-23T00:00:00"/>
    <d v="2026-04-30T00:00:00"/>
    <m/>
    <m/>
    <m/>
    <m/>
    <m/>
    <m/>
    <m/>
    <m/>
    <m/>
    <m/>
    <m/>
    <m/>
    <m/>
    <m/>
    <m/>
    <m/>
    <m/>
    <m/>
    <m/>
    <m/>
    <m/>
    <m/>
    <n v="1"/>
    <n v="1"/>
    <n v="1"/>
    <m/>
    <m/>
    <m/>
    <m/>
    <n v="1"/>
    <n v="4"/>
    <m/>
    <m/>
    <m/>
    <m/>
  </r>
  <r>
    <s v="BTL-FAH-JUAN-4U"/>
    <x v="0"/>
    <s v="GDJU"/>
    <s v="GDJU JUAN PALOMAR"/>
    <n v="463"/>
    <s v="BTL-DC-1022"/>
    <x v="23"/>
    <n v="0.5"/>
    <s v="ROTATIVA"/>
    <n v="0.33333333333333298"/>
    <s v="ROTATIVA"/>
    <s v="GUTIERREZ ROMERO MARUJA BETTY "/>
    <s v="GUADALAJARA"/>
    <s v="11:00 A 7:00"/>
    <s v="LUN-MAR-MIE"/>
    <s v="LUN-MAR-MIE"/>
    <s v="DOMINGO"/>
    <d v="2026-04-23T00:00:00"/>
    <d v="2026-04-30T00:00:00"/>
    <m/>
    <m/>
    <m/>
    <m/>
    <m/>
    <m/>
    <m/>
    <m/>
    <m/>
    <m/>
    <m/>
    <m/>
    <m/>
    <m/>
    <m/>
    <m/>
    <m/>
    <m/>
    <m/>
    <m/>
    <m/>
    <m/>
    <m/>
    <m/>
    <m/>
    <m/>
    <n v="1"/>
    <n v="1"/>
    <n v="1"/>
    <m/>
    <n v="3"/>
    <m/>
    <m/>
    <m/>
    <m/>
  </r>
  <r>
    <s v="BTL-SAN-AJUS-BC"/>
    <x v="3"/>
    <n v="35"/>
    <s v="AJUSCO"/>
    <n v="429"/>
    <s v="BTL-DC-1107"/>
    <x v="24"/>
    <n v="0.5"/>
    <s v="ROTATIVA"/>
    <n v="0.5"/>
    <s v="ROTATIVA"/>
    <s v="CHAVEZ RAMOS  JONATAN RAYMUNDO "/>
    <s v="CIUDAD DE MÉXICO"/>
    <s v="11:00 A 7:00"/>
    <s v="JUE-VIE-SAB"/>
    <s v="JUE-VIE-SAB"/>
    <s v="DOMINGO"/>
    <d v="2026-04-23T00:00:00"/>
    <d v="2026-04-30T00:00:00"/>
    <m/>
    <m/>
    <m/>
    <m/>
    <m/>
    <m/>
    <m/>
    <m/>
    <m/>
    <m/>
    <m/>
    <m/>
    <m/>
    <m/>
    <m/>
    <m/>
    <m/>
    <m/>
    <m/>
    <m/>
    <m/>
    <m/>
    <n v="1"/>
    <n v="1"/>
    <n v="1"/>
    <m/>
    <m/>
    <m/>
    <m/>
    <n v="1"/>
    <n v="4"/>
    <m/>
    <m/>
    <m/>
    <m/>
  </r>
  <r>
    <s v="BTL-SAN-SANT-JQ"/>
    <x v="3"/>
    <n v="54"/>
    <s v="SANTA TERESA"/>
    <n v="429"/>
    <s v="BTL-DC-1107"/>
    <x v="24"/>
    <n v="0.5"/>
    <s v="ROTATIVA"/>
    <n v="0.5"/>
    <s v="ROTATIVA"/>
    <s v="CHAVEZ RAMOS  JONATAN RAYMUNDO "/>
    <s v="CIUDAD DE MÉXICO"/>
    <s v="11:00 A 7:00"/>
    <s v="LUN-MAR-MIE"/>
    <s v="LUN-MAR-MIE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m/>
    <m/>
    <m/>
    <m/>
    <n v="1"/>
    <n v="1"/>
    <n v="1"/>
    <m/>
    <n v="22"/>
    <m/>
    <m/>
    <m/>
    <s v="adoptado del 12 de marzo al 22 de abril 2026"/>
  </r>
  <r>
    <s v="BTL-HEB-SANN-3B"/>
    <x v="2"/>
    <n v="2952"/>
    <s v="SAN NICOLAS"/>
    <n v="489"/>
    <s v="BTL-DC-1114"/>
    <x v="25"/>
    <n v="0.5"/>
    <s v="ROTATIVA"/>
    <n v="0.5"/>
    <s v="ROTATIVA"/>
    <s v="ALVAREZ GARCIA ADRIANA YULISMA"/>
    <s v="MONTERREY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HEB-SEND-8G"/>
    <x v="2"/>
    <n v="2979"/>
    <s v="SENDERO"/>
    <n v="489"/>
    <s v="BTL-DC-1114"/>
    <x v="25"/>
    <n v="0.5"/>
    <s v="ROTATIVA"/>
    <n v="0.5"/>
    <s v="ROTATIVA"/>
    <s v="ALVAREZ GARCIA ADRIANA YULISMA"/>
    <s v="MONTERREY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ESTR-3G"/>
    <x v="0"/>
    <s v="MXEK"/>
    <s v="MXEK ESTRELLA ERRANTE"/>
    <n v="554"/>
    <s v="BTL-DC-1117"/>
    <x v="26"/>
    <n v="0.5"/>
    <s v="ROTATIVA"/>
    <n v="0.5"/>
    <s v="ROTATIVA"/>
    <s v="AGUIRRE CAMACHO ATZIN SUSANA 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PERI-K1"/>
    <x v="0"/>
    <s v="MXPF"/>
    <s v="MXPF PERIFERICO ORIENTE"/>
    <n v="554"/>
    <s v="BTL-DC-1117"/>
    <x v="26"/>
    <n v="0.5"/>
    <s v="ROTATIVA"/>
    <n v="0.5"/>
    <s v="ROTATIVA"/>
    <s v="AGUIRRE CAMACHO ATZIN SUSANA 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HEB-CERR-DM"/>
    <x v="2"/>
    <n v="2937"/>
    <s v="CERRO GORDO"/>
    <n v="186"/>
    <s v="BTL-DC-1121"/>
    <x v="27"/>
    <n v="0.5"/>
    <s v="ROTATIVA"/>
    <n v="0.5"/>
    <s v="ROTATIVA"/>
    <s v="VACANTE"/>
    <s v="LEON"/>
    <s v="11:00 A 7:00"/>
    <s v="MAR-JUE-SAB"/>
    <s v="MAR-JUE-SAB"/>
    <s v="DOMINGO"/>
    <d v="2026-04-01T00:00:00"/>
    <d v="2026-04-30T00:00:00"/>
    <m/>
    <n v="1"/>
    <m/>
    <n v="1"/>
    <m/>
    <m/>
    <n v="1"/>
    <m/>
    <n v="1"/>
    <m/>
    <n v="1"/>
    <m/>
    <m/>
    <n v="1"/>
    <m/>
    <n v="1"/>
    <m/>
    <n v="1"/>
    <m/>
    <m/>
    <n v="1"/>
    <m/>
    <n v="1"/>
    <m/>
    <n v="1"/>
    <m/>
    <m/>
    <n v="1"/>
    <m/>
    <n v="1"/>
    <n v="13"/>
    <m/>
    <m/>
    <m/>
    <m/>
  </r>
  <r>
    <s v="BTL-HEB-LOPE-R6"/>
    <x v="2"/>
    <n v="2984"/>
    <s v="LOPEZ MATEOS"/>
    <n v="186"/>
    <s v="BTL-DC-1121"/>
    <x v="27"/>
    <n v="0.5"/>
    <s v="ROTATIVA"/>
    <n v="0.5"/>
    <s v="ROTATIVA"/>
    <s v="VACANTE"/>
    <s v="LEON"/>
    <s v="11:00 A 7:00"/>
    <s v="LUN-MIER-VIER"/>
    <s v="LUN-MIER-VIER"/>
    <s v="DOMINGO"/>
    <d v="2026-04-01T00:00:00"/>
    <d v="2026-04-30T00:00:00"/>
    <n v="1"/>
    <m/>
    <n v="1"/>
    <m/>
    <m/>
    <n v="1"/>
    <m/>
    <n v="1"/>
    <m/>
    <n v="1"/>
    <m/>
    <m/>
    <n v="1"/>
    <m/>
    <n v="1"/>
    <m/>
    <n v="1"/>
    <m/>
    <m/>
    <n v="1"/>
    <m/>
    <n v="1"/>
    <m/>
    <n v="1"/>
    <m/>
    <m/>
    <n v="1"/>
    <m/>
    <n v="1"/>
    <m/>
    <n v="13"/>
    <m/>
    <m/>
    <m/>
    <m/>
  </r>
  <r>
    <s v="BTL-SAN-AVIL-1R"/>
    <x v="3"/>
    <n v="178"/>
    <s v="AVILA CAMACHO"/>
    <n v="499"/>
    <s v="BTL-DC-1124"/>
    <x v="28"/>
    <n v="0.5"/>
    <s v="ROTATIVA"/>
    <n v="0.33333333333333298"/>
    <s v="ROTATIVA"/>
    <s v="GUTIERREZ ROMERO MARUJA BETTY "/>
    <s v="GUADALAJARA"/>
    <s v="11:00 A 7:00"/>
    <s v="LUN-MAR-MIE"/>
    <s v="LUN-MAR-MIE"/>
    <s v="DOMINGO"/>
    <d v="2026-04-23T00:00:00"/>
    <d v="2026-04-30T00:00:00"/>
    <m/>
    <m/>
    <m/>
    <m/>
    <m/>
    <m/>
    <m/>
    <m/>
    <m/>
    <m/>
    <m/>
    <m/>
    <m/>
    <m/>
    <m/>
    <m/>
    <m/>
    <m/>
    <m/>
    <m/>
    <m/>
    <m/>
    <m/>
    <m/>
    <m/>
    <m/>
    <n v="1"/>
    <n v="1"/>
    <n v="1"/>
    <m/>
    <n v="3"/>
    <m/>
    <m/>
    <m/>
    <m/>
  </r>
  <r>
    <s v="BTL-SAN-PUNT-YL"/>
    <x v="3"/>
    <n v="192"/>
    <s v="PUNTO SUR"/>
    <n v="499"/>
    <s v="BTL-DC-1124"/>
    <x v="28"/>
    <n v="0.5"/>
    <s v="ROTATIVA"/>
    <n v="0.33333333333333298"/>
    <s v="ROTATIVA"/>
    <s v="GUTIERREZ ROMERO MARUJA BETTY "/>
    <s v="GUADALAJARA"/>
    <s v="11:00 A 7:00"/>
    <s v="JUE-VIE-SAB"/>
    <s v="JUE-VIE-SAB"/>
    <s v="DOMINGO"/>
    <d v="2026-04-23T00:00:00"/>
    <d v="2026-04-30T00:00:00"/>
    <m/>
    <m/>
    <m/>
    <m/>
    <m/>
    <m/>
    <m/>
    <m/>
    <m/>
    <m/>
    <m/>
    <m/>
    <m/>
    <m/>
    <m/>
    <m/>
    <m/>
    <m/>
    <m/>
    <m/>
    <m/>
    <m/>
    <n v="1"/>
    <n v="1"/>
    <n v="1"/>
    <m/>
    <m/>
    <m/>
    <m/>
    <n v="1"/>
    <n v="4"/>
    <m/>
    <m/>
    <m/>
    <m/>
  </r>
  <r>
    <s v="BTL-BEN-CENT-2G"/>
    <x v="1"/>
    <s v="M131"/>
    <s v="CENTRO DE MTY"/>
    <n v="585"/>
    <s v="BTL-DC-1230"/>
    <x v="29"/>
    <n v="0.5"/>
    <s v="ROTATIVA"/>
    <n v="0.5"/>
    <s v="ROTATIVA"/>
    <s v="ANIMAS SAUCEDO ANA CRISTINA "/>
    <s v="MONTERREY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OR-SANP-L9"/>
    <x v="4"/>
    <n v="14"/>
    <s v="SAN PEDRO"/>
    <n v="585"/>
    <s v="BTL-DC-1230"/>
    <x v="29"/>
    <n v="0.5"/>
    <s v="ROTATIVA"/>
    <n v="0.5"/>
    <s v="ROTATIVA"/>
    <s v="ANIMAS SAUCEDO ANA CRISTINA "/>
    <s v="MONTERREY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FTES-EG"/>
    <x v="3"/>
    <n v="129"/>
    <s v="FTES. DE SATÉLITE"/>
    <n v="202"/>
    <s v="BTL-DC-1164"/>
    <x v="30"/>
    <n v="0.5"/>
    <s v="ROTATIVA"/>
    <n v="0.33333333333333298"/>
    <s v="ROTATIVA"/>
    <s v="CARRILLO XOCHIHUA XOCHITL"/>
    <s v="CIUDAD DE MÉXICO"/>
    <s v="11:00 A 7:00"/>
    <s v="JUE-VIE-SAB"/>
    <s v="JUE-VIE-SAB"/>
    <s v="DOMINGO"/>
    <d v="2026-04-23T00:00:00"/>
    <d v="2026-04-30T00:00:00"/>
    <m/>
    <m/>
    <m/>
    <m/>
    <m/>
    <m/>
    <m/>
    <m/>
    <m/>
    <m/>
    <m/>
    <m/>
    <m/>
    <m/>
    <m/>
    <m/>
    <m/>
    <m/>
    <m/>
    <m/>
    <m/>
    <m/>
    <n v="1"/>
    <n v="1"/>
    <n v="1"/>
    <m/>
    <m/>
    <m/>
    <m/>
    <n v="1"/>
    <n v="4"/>
    <m/>
    <m/>
    <m/>
    <m/>
  </r>
  <r>
    <s v="BTL-SAN-LOMA-0N"/>
    <x v="3"/>
    <n v="90"/>
    <s v="LOMAS VERDES"/>
    <n v="449"/>
    <s v="BTL-DC-1065"/>
    <x v="30"/>
    <n v="0.5"/>
    <s v="ROTATIVA"/>
    <n v="0.33333333333333298"/>
    <s v="ROTATIVA"/>
    <s v="CARRILLO XOCHIHUA XOCHITL"/>
    <s v="CIUDAD DE MÉXICO"/>
    <s v="11:00 A 7:00"/>
    <s v="LUN-MAR-MIE"/>
    <s v="LUN-MAR-MIE"/>
    <s v="DOMINGO"/>
    <d v="2026-04-23T00:00:00"/>
    <d v="2026-04-30T00:00:00"/>
    <m/>
    <m/>
    <m/>
    <m/>
    <m/>
    <m/>
    <m/>
    <m/>
    <m/>
    <m/>
    <m/>
    <m/>
    <m/>
    <m/>
    <m/>
    <m/>
    <m/>
    <m/>
    <m/>
    <m/>
    <m/>
    <m/>
    <m/>
    <m/>
    <m/>
    <m/>
    <n v="1"/>
    <n v="1"/>
    <n v="1"/>
    <m/>
    <n v="3"/>
    <m/>
    <m/>
    <m/>
    <m/>
  </r>
  <r>
    <s v="BTL-FAH-CANS-R8"/>
    <x v="0"/>
    <s v="MACS"/>
    <s v="MACS CANSECO"/>
    <n v="293"/>
    <s v="BTL-DC-1141"/>
    <x v="31"/>
    <n v="0.5"/>
    <s v="ROTATIVA"/>
    <n v="0.5"/>
    <s v="ROTATIVA"/>
    <s v="AVILA BELTRAN GLORIA MARIBEL "/>
    <s v="MAZATLAN"/>
    <s v="10:00 A 6:00"/>
    <s v="LUN-MAR-MIE"/>
    <s v="LUN-MAR-MIE"/>
    <s v="SÁBAD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s v="Estudia los sábados (sep 2025) - Derecho  - 4 años"/>
  </r>
  <r>
    <s v="BTL-FAH-MEDI-C1"/>
    <x v="0"/>
    <s v="MAME"/>
    <s v="MAME MEDITERRANEO"/>
    <n v="293"/>
    <s v="BTL-DC-1141"/>
    <x v="31"/>
    <n v="0.5"/>
    <s v="ROTATIVA"/>
    <n v="0.5"/>
    <s v="ROTATIVA"/>
    <s v="AVILA BELTRAN GLORIA MARIBEL "/>
    <s v="MAZATLAN"/>
    <s v="10:00 A 6:00"/>
    <s v="JUE-VIE-DOM"/>
    <s v="JUE-VIE-DOM"/>
    <s v="SÁBADO"/>
    <d v="2026-04-01T00:00:00"/>
    <d v="2026-04-30T00:00:00"/>
    <m/>
    <n v="1"/>
    <n v="1"/>
    <m/>
    <n v="1"/>
    <m/>
    <m/>
    <m/>
    <n v="1"/>
    <n v="1"/>
    <m/>
    <n v="1"/>
    <m/>
    <m/>
    <m/>
    <n v="1"/>
    <n v="1"/>
    <m/>
    <n v="1"/>
    <m/>
    <m/>
    <m/>
    <n v="1"/>
    <n v="1"/>
    <m/>
    <n v="1"/>
    <m/>
    <m/>
    <m/>
    <n v="1"/>
    <n v="13"/>
    <m/>
    <m/>
    <m/>
    <s v="Estudia los sábados (sep 2025) - Derecho  - 4 años"/>
  </r>
  <r>
    <s v="BTL-FAH-CALZ-KJ"/>
    <x v="0"/>
    <s v="MTCA"/>
    <s v="MTCA CALZADA"/>
    <n v="594"/>
    <s v="BTL-DC-1239"/>
    <x v="32"/>
    <n v="0.5"/>
    <s v="ROTATIVA"/>
    <n v="0.5"/>
    <s v="ROTATIVA"/>
    <s v="ALVAREZ GARCIA ADRIANA YULISMA"/>
    <s v="MONTERREY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PLUS-IT"/>
    <x v="0"/>
    <s v="MTBV"/>
    <s v="MTBV PLUS SUCHIATE"/>
    <n v="594"/>
    <s v="BTL-DC-1239"/>
    <x v="32"/>
    <n v="0.5"/>
    <s v="ROTATIVA"/>
    <n v="0.5"/>
    <s v="ROTATIVA"/>
    <s v="ALVAREZ GARCIA ADRIANA YULISMA"/>
    <s v="MONTERREY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ANGE-GZ"/>
    <x v="10"/>
    <n v="1113"/>
    <s v="PLAZA ANGELOPOLIS"/>
    <n v="199"/>
    <s v="BTL-DC-1151"/>
    <x v="33"/>
    <n v="0.5"/>
    <s v="ROTATIVA"/>
    <n v="0.5"/>
    <s v="ROTATIVA"/>
    <s v="BAUTISTA CORONA REYNA "/>
    <s v="PUEBLA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EA-ANGE-4X"/>
    <x v="11"/>
    <n v="111"/>
    <s v="ANGELOPOLIS"/>
    <n v="199"/>
    <s v="BTL-DC-1151"/>
    <x v="33"/>
    <n v="0.5"/>
    <s v="ROTATIVA"/>
    <n v="0.5"/>
    <s v="ROTATIVA"/>
    <s v="BAUTISTA CORONA REYNA "/>
    <s v="PUEBLA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OR-GRAN-PU"/>
    <x v="4"/>
    <n v="272"/>
    <s v="GRAN TERRAZA COAPA"/>
    <n v="368"/>
    <s v="BTL-DC-1228"/>
    <x v="34"/>
    <n v="0.5"/>
    <s v="ROTATIVA"/>
    <n v="0.5"/>
    <s v="ROTATIVA"/>
    <s v="AGUIRRE CAMACHO ATZIN SUSANA 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OR-PILA-37"/>
    <x v="4"/>
    <n v="692"/>
    <s v="PILARES"/>
    <n v="368"/>
    <s v="BTL-DC-1228"/>
    <x v="34"/>
    <n v="0.5"/>
    <s v="ROTATIVA"/>
    <n v="0.5"/>
    <s v="ROTATIVA"/>
    <s v="AGUIRRE CAMACHO ATZIN SUSANA 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MANA-HF"/>
    <x v="8"/>
    <n v="6"/>
    <s v="MANANTIAL"/>
    <n v="503"/>
    <s v="BTL-DC-1156"/>
    <x v="35"/>
    <n v="0.5"/>
    <s v="ROTATIVA"/>
    <n v="0.5"/>
    <s v="ROTATIVA"/>
    <s v="GUTIERREZ ROMERO MARUJA BETTY "/>
    <s v="GUADALAJARA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AN-NUEV-9E"/>
    <x v="8"/>
    <m/>
    <s v="NUEVA GALICIA"/>
    <n v="503"/>
    <s v="BTL-DC-1156"/>
    <x v="35"/>
    <n v="0.5"/>
    <s v="ROTATIVA"/>
    <n v="0.5"/>
    <s v="ROTATIVA"/>
    <s v="GUTIERREZ ROMERO MARUJA BETTY "/>
    <s v="GUADALAJARA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C.LA-MJ"/>
    <x v="3"/>
    <n v="117"/>
    <s v="C. LAS TROJES"/>
    <n v="184"/>
    <s v="BTL-DC-1159"/>
    <x v="36"/>
    <n v="0.5"/>
    <s v="ROTATIVA"/>
    <n v="0.5"/>
    <s v="ROTATIVA"/>
    <s v="REYES AYBAR LILIANA "/>
    <s v="CIUDAD DE MÉXICO"/>
    <s v="11:00 A 7:00"/>
    <s v="LUN-MAR-MIE"/>
    <s v="LUN-MAR-MIE"/>
    <s v="DOMINGO"/>
    <d v="2026-04-01T00:00:00"/>
    <d v="2026-04-22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m/>
    <m/>
    <m/>
    <m/>
    <n v="10"/>
    <m/>
    <m/>
    <m/>
    <m/>
  </r>
  <r>
    <s v="BTL-SAN-SATE-H8"/>
    <x v="3"/>
    <n v="103"/>
    <s v="SATELITE"/>
    <n v="184"/>
    <s v="BTL-DC-1159"/>
    <x v="36"/>
    <n v="0.5"/>
    <s v="ROTATIVA"/>
    <n v="0.5"/>
    <s v="ROTATIVA"/>
    <s v="REYES AYBAR LILIANA "/>
    <s v="CIUDAD DE MÉXICO"/>
    <s v="11:00 A 7:00"/>
    <s v="JUE-VIE-SAB"/>
    <s v="LUN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"/>
    <n v="1"/>
    <n v="1"/>
    <n v="1"/>
    <n v="16"/>
    <m/>
    <m/>
    <m/>
    <s v="Adoptado 04 23 abril al 03 Junio"/>
  </r>
  <r>
    <s v="BTL-SAN-CAST-H9"/>
    <x v="3"/>
    <n v="144"/>
    <s v="CASTORENA"/>
    <n v="278"/>
    <s v="BTL-DC-1161"/>
    <x v="37"/>
    <n v="0.5"/>
    <s v="ROTATIVA"/>
    <n v="0.5"/>
    <s v="ROTATIVA"/>
    <s v="LOPEZ RUIZ JACQUELINE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STIM-27"/>
    <x v="3"/>
    <n v="119"/>
    <s v="STIM"/>
    <n v="278"/>
    <s v="BTL-DC-1161"/>
    <x v="37"/>
    <n v="0.5"/>
    <s v="ROTATIVA"/>
    <n v="0.5"/>
    <s v="ROTATIVA"/>
    <s v="LOPEZ RUIZ JACQUELINE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AN-ANDA-55"/>
    <x v="8"/>
    <n v="3"/>
    <s v="ANDARES GRAN PATIO"/>
    <n v="396"/>
    <s v="BTL-DC-1162"/>
    <x v="38"/>
    <n v="0.5"/>
    <s v="ROTATIVA"/>
    <n v="0.5"/>
    <s v="ROTATIVA"/>
    <s v="GUTIERREZ ROMERO MARUJA BETTY "/>
    <s v="GUADALAJARA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GRAN-X9"/>
    <x v="8"/>
    <n v="2"/>
    <s v="GRAN PLAZA"/>
    <n v="396"/>
    <s v="BTL-DC-1162"/>
    <x v="38"/>
    <n v="0.5"/>
    <s v="ROTATIVA"/>
    <n v="0.5"/>
    <s v="ROTATIVA"/>
    <s v="GUTIERREZ ROMERO MARUJA BETTY "/>
    <s v="GUADALAJARA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CORP-Z6"/>
    <x v="0"/>
    <s v="MTCW"/>
    <s v="MTCW CORPORATIVO"/>
    <n v="535"/>
    <s v="BTL-DC-1166"/>
    <x v="39"/>
    <n v="0.5"/>
    <s v="ROTATIVA"/>
    <n v="0.5"/>
    <s v="ROTATIVA"/>
    <s v="ALVAREZ GARCIA ADRIANA YULISMA"/>
    <s v="MONTERREY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AH-GLOR-HW"/>
    <x v="0"/>
    <s v="MTGT"/>
    <s v="MTGT GLORIETA CALZADA"/>
    <n v="535"/>
    <s v="BTL-DC-1166"/>
    <x v="39"/>
    <n v="0.5"/>
    <s v="ROTATIVA"/>
    <n v="0.5"/>
    <s v="ROTATIVA"/>
    <s v="ALVAREZ GARCIA ADRIANA YULISMA"/>
    <s v="MONTERREY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HEB-LOMA-IW"/>
    <x v="2"/>
    <n v="2912"/>
    <s v="LOMAS"/>
    <n v="586"/>
    <s v="BTL-DC-1231"/>
    <x v="40"/>
    <n v="0.5"/>
    <s v="ROTATIVA"/>
    <n v="0.5"/>
    <s v="ROTATIVA"/>
    <s v="ALVAREZ GARCIA ADRIANA YULISMA"/>
    <s v="MONTERREY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HEB-PUER-HG"/>
    <x v="2"/>
    <n v="2926"/>
    <s v="PUERTA DE HIERRO"/>
    <n v="586"/>
    <s v="BTL-DC-1231"/>
    <x v="40"/>
    <n v="0.5"/>
    <s v="ROTATIVA"/>
    <n v="0.5"/>
    <s v="ROTATIVA"/>
    <s v="ALVAREZ GARCIA ADRIANA YULISMA"/>
    <s v="MONTERREY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APOD-EG"/>
    <x v="0"/>
    <s v="MTAO"/>
    <s v="MTAO APODACA"/>
    <n v="237"/>
    <s v="BTL-DC-1174"/>
    <x v="41"/>
    <n v="0.5"/>
    <s v="ROTATIVA"/>
    <n v="0.5"/>
    <s v="ROTATIVA"/>
    <s v="ANIMAS SAUCEDO ANA CRISTINA "/>
    <s v="MONTERREY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AH-HUIN-29"/>
    <x v="0"/>
    <s v="MTHU"/>
    <s v="MTHU HUINALA"/>
    <n v="237"/>
    <s v="BTL-DC-1174"/>
    <x v="41"/>
    <n v="0.5"/>
    <s v="ROTATIVA"/>
    <n v="0.5"/>
    <s v="ROTATIVA"/>
    <s v="ANIMAS SAUCEDO ANA CRISTINA "/>
    <s v="MONTERREY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MONT-9B"/>
    <x v="0"/>
    <s v="GDMV"/>
    <s v="GDMV MONTEVIDEO"/>
    <n v="48"/>
    <s v="BTL-DC-1183"/>
    <x v="42"/>
    <n v="0.5"/>
    <s v="ROTATIVA"/>
    <n v="0.5"/>
    <s v="ROTATIVA"/>
    <s v="LOPEZ ESTRADA SILVIA BERENICE "/>
    <s v="GUADALAJARA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SIGL-6A"/>
    <x v="0"/>
    <s v="MXSI"/>
    <s v="MXSI SIGLO XXI"/>
    <n v="112"/>
    <s v="BTL-DC-1137"/>
    <x v="43"/>
    <m/>
    <m/>
    <n v="1"/>
    <s v="FIJA"/>
    <s v="MONTAGNER OLIVARES MIGUEL ANGEL"/>
    <s v="CIUDAD DE MÉXICO"/>
    <m/>
    <m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DOBLE CONSEJO POR ESPERA DE LIVERPOOL"/>
  </r>
  <r>
    <s v="BTL-FAH-NARA-G4"/>
    <x v="0"/>
    <s v="GDNA"/>
    <s v="GDNA NARANJITOS"/>
    <n v="48"/>
    <s v="BTL-DC-1183"/>
    <x v="42"/>
    <n v="0.5"/>
    <s v="ROTATIVA"/>
    <n v="0.5"/>
    <s v="ROTATIVA"/>
    <s v="LOPEZ ESTRADA SILVIA BERENICE "/>
    <s v="GUADALAJARA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AH-CHAL-SU"/>
    <x v="0"/>
    <s v="MXCA"/>
    <s v="MXCA CHALCO CUAUHTEMOC"/>
    <n v="109"/>
    <s v="BTL-DC-1193"/>
    <x v="44"/>
    <n v="0.5"/>
    <s v="ROTATIVA"/>
    <n v="0.5"/>
    <s v="ROTATIVA"/>
    <s v="AGUIRRE CAMACHO ATZIN SUSANA 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AH-STAM-6B"/>
    <x v="0"/>
    <s v="MXAH"/>
    <s v="MXAH SANTA MARIA AZTAHUACAN"/>
    <n v="109"/>
    <s v="BTL-DC-1193"/>
    <x v="44"/>
    <n v="0.5"/>
    <s v="ROTATIVA"/>
    <n v="0.5"/>
    <s v="ROTATIVA"/>
    <s v="AGUIRRE CAMACHO ATZIN SUSANA 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AVIA-02"/>
    <x v="0"/>
    <s v="GDAV"/>
    <s v="GDAV AVIACION VALLE REAL"/>
    <n v="457"/>
    <s v="BTL-DC-1197"/>
    <x v="45"/>
    <n v="0.5"/>
    <s v="ROTATIVA"/>
    <n v="0.5"/>
    <s v="ROTATIVA"/>
    <s v="GUTIERREZ ROMERO MARUJA BETTY "/>
    <s v="GUADALAJARA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REAL-ND"/>
    <x v="0"/>
    <s v="GDRL"/>
    <s v="GDRL REAL CENTER"/>
    <n v="457"/>
    <s v="BTL-DC-1197"/>
    <x v="45"/>
    <n v="0.5"/>
    <s v="ROTATIVA"/>
    <n v="0.5"/>
    <s v="ROTATIVA"/>
    <s v="GUTIERREZ ROMERO MARUJA BETTY "/>
    <s v="GUADALAJARA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ESP-ABCO-7C"/>
    <x v="7"/>
    <s v="ABC OBSERVATORIO"/>
    <s v="ABC OBSERVATORIO"/>
    <n v="542"/>
    <s v="BTL-DC-1200"/>
    <x v="46"/>
    <n v="0.5"/>
    <s v="ROTATIVA"/>
    <n v="0.5"/>
    <s v="ROTATIVA"/>
    <s v="MONROY GONZALEZ MARIA ZENAIDA 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ESP-ABCS-ST"/>
    <x v="7"/>
    <s v="ABC SANTA FE"/>
    <s v="ABC SANTA FE"/>
    <n v="542"/>
    <s v="BTL-DC-1200"/>
    <x v="46"/>
    <n v="0.5"/>
    <s v="ROTATIVA"/>
    <n v="0.5"/>
    <s v="ROTATIVA"/>
    <s v="MONROY GONZALEZ MARIA ZENAIDA 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AN-CAFE-G5"/>
    <x v="3"/>
    <n v="87"/>
    <s v="CAFETALES"/>
    <n v="215"/>
    <s v="BTL-DC-1202"/>
    <x v="47"/>
    <n v="0.5"/>
    <s v="ROTATIVA"/>
    <n v="0.5"/>
    <s v="ROTATIVA"/>
    <s v="REYES AYBAR LILIANA 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MUZQ-C6"/>
    <x v="3"/>
    <n v="75"/>
    <s v="MUZQUIZ"/>
    <n v="215"/>
    <s v="BTL-DC-1202"/>
    <x v="47"/>
    <n v="0.5"/>
    <s v="ROTATIVA"/>
    <n v="0.5"/>
    <s v="ROTATIVA"/>
    <s v="REYES AYBAR LILIANA 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AN-CAND-DB"/>
    <x v="3"/>
    <n v="122"/>
    <s v="CANDELARIA"/>
    <n v="77"/>
    <s v="BTL-DC-1203"/>
    <x v="48"/>
    <n v="0.5"/>
    <s v="ROTATIVA"/>
    <n v="0.5"/>
    <s v="ROTATIVA"/>
    <s v="ESTRADA NAVA MIRIAM ROCIO 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XOCH-RI"/>
    <x v="3"/>
    <n v="72"/>
    <s v="XOCHIMILCO"/>
    <n v="77"/>
    <s v="BTL-DC-1203"/>
    <x v="48"/>
    <n v="0.5"/>
    <s v="ROTATIVA"/>
    <n v="0.5"/>
    <s v="ROTATIVA"/>
    <s v="ESTRADA NAVA MIRIAM ROCIO 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HEB-CONT-UY"/>
    <x v="2"/>
    <n v="2951"/>
    <s v="CONTRY"/>
    <n v="560"/>
    <s v="BTL-DC-1206"/>
    <x v="49"/>
    <n v="0.5"/>
    <s v="ROTATIVA"/>
    <n v="0.5"/>
    <s v="ROTATIVA"/>
    <s v="ANIMAS SAUCEDO ANA CRISTINA "/>
    <s v="MONTERREY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HEB-TEC-O6"/>
    <x v="2"/>
    <n v="2924"/>
    <s v="TEC"/>
    <n v="560"/>
    <s v="BTL-DC-1206"/>
    <x v="49"/>
    <n v="0.5"/>
    <s v="ROTATIVA"/>
    <n v="0.5"/>
    <s v="ROTATIVA"/>
    <s v="ANIMAS SAUCEDO ANA CRISTINA "/>
    <s v="MONTERREY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LE-BENI-93"/>
    <x v="12"/>
    <s v="BENITO"/>
    <s v="BENITO"/>
    <n v="375"/>
    <s v="BTL-DC-1210"/>
    <x v="50"/>
    <n v="0.5"/>
    <s v="ROTATIVA"/>
    <n v="0.5"/>
    <s v="ROTATIVA"/>
    <s v="BAUTISTA CORONA REYNA "/>
    <s v="PUEBLA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LE-MATR-Q6"/>
    <x v="12"/>
    <s v="MATRIZ"/>
    <s v="MATRIZ"/>
    <n v="375"/>
    <s v="BTL-DC-1210"/>
    <x v="50"/>
    <n v="0.5"/>
    <s v="ROTATIVA"/>
    <n v="0.5"/>
    <s v="ROTATIVA"/>
    <s v="BAUTISTA CORONA REYNA "/>
    <s v="PUEBLA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HEB-CUMB-N3"/>
    <x v="2"/>
    <n v="2978"/>
    <s v="CUMBRES"/>
    <n v="74"/>
    <s v="BTL-DC-1216"/>
    <x v="51"/>
    <n v="0.5"/>
    <s v="ROTATIVA"/>
    <n v="0.5"/>
    <s v="ROTATIVA"/>
    <s v="ALVAREZ GARCIA ADRIANA YULISMA"/>
    <s v="MONTERREY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HEB-GONZ-U6"/>
    <x v="2"/>
    <n v="2959"/>
    <s v="GONZALITOS"/>
    <n v="74"/>
    <s v="BTL-DC-1216"/>
    <x v="51"/>
    <n v="0.5"/>
    <s v="ROTATIVA"/>
    <n v="0.5"/>
    <s v="ROTATIVA"/>
    <s v="ALVAREZ GARCIA ADRIANA YULISMA"/>
    <s v="MONTERREY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DIVI-QT"/>
    <x v="3"/>
    <n v="34"/>
    <s v="DIVISIÓN DEL NORTE"/>
    <n v="327"/>
    <s v="BTL-DC-1219"/>
    <x v="52"/>
    <n v="0.5"/>
    <s v="ROTATIVA"/>
    <n v="0.5"/>
    <s v="ROTATIVA"/>
    <s v="ESTRADA NAVA MIRIAM ROCIO 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SAN-VERT-T5"/>
    <x v="3"/>
    <n v="43"/>
    <s v="VERTIZ"/>
    <n v="327"/>
    <s v="BTL-DC-1219"/>
    <x v="52"/>
    <n v="0.5"/>
    <s v="ROTATIVA"/>
    <n v="0.5"/>
    <s v="ROTATIVA"/>
    <s v="ESTRADA NAVA MIRIAM ROCIO 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SAN-CHAL-S2"/>
    <x v="3"/>
    <n v="156"/>
    <s v="CHALCO CENTRO"/>
    <m/>
    <m/>
    <x v="53"/>
    <n v="1"/>
    <s v="FIJA"/>
    <n v="1"/>
    <s v="FIJA"/>
    <s v="AGUIRRE CAMACHO ATZIN SUS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CUMB-WN"/>
    <x v="0"/>
    <s v="MTCM"/>
    <s v="MTCM CUMBRES DE LOS ALPES"/>
    <m/>
    <m/>
    <x v="53"/>
    <n v="0.5"/>
    <s v="ROTATIVA"/>
    <n v="0.5"/>
    <s v="ROTATIVA"/>
    <s v="ALVAREZ GARCIA ADRIANA YULISMA"/>
    <s v="MONTERREY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AH-PLAZ-S5"/>
    <x v="0"/>
    <s v="MTJN"/>
    <s v="MTJN PLAZA SAN JERONIMO"/>
    <m/>
    <m/>
    <x v="53"/>
    <n v="0.5"/>
    <s v="ROTATIVA"/>
    <n v="0.5"/>
    <s v="ROTATIVA"/>
    <s v="ALVAREZ GARCIA ADRIANA YULISMA"/>
    <s v="MONTERREY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RIOR-AF"/>
    <x v="0"/>
    <s v="MTRH"/>
    <s v="MTRH RIO RHIN"/>
    <m/>
    <m/>
    <x v="53"/>
    <n v="0.5"/>
    <s v="ROTATIVA"/>
    <n v="0.5"/>
    <s v="ROTATIVA"/>
    <s v="ALVAREZ GARCIA ADRIANA YULISMA"/>
    <s v="MONTERREY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AH-SANP-J4"/>
    <x v="0"/>
    <s v="MTSP"/>
    <s v="MTSP SAN PEDRO"/>
    <m/>
    <m/>
    <x v="53"/>
    <n v="0.5"/>
    <s v="ROTATIVA"/>
    <n v="0.5"/>
    <s v="ROTATIVA"/>
    <s v="ALVAREZ GARCIA ADRIANA YULISMA"/>
    <s v="MONTERREY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HEB-VALL-XP"/>
    <x v="2"/>
    <n v="2996"/>
    <s v="VALLE ORIENTE"/>
    <m/>
    <m/>
    <x v="53"/>
    <n v="1"/>
    <s v="FIJA"/>
    <n v="1"/>
    <s v="FIJA"/>
    <s v="ANIMAS SAUCEDO ANA CRISTINA "/>
    <s v="MONTERREY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IV-MONT-CC"/>
    <x v="13"/>
    <n v="189"/>
    <s v="L MONTERREY LA FE"/>
    <m/>
    <m/>
    <x v="53"/>
    <n v="1"/>
    <s v="FIJA"/>
    <n v="1"/>
    <s v="FIJA"/>
    <s v="ANIMAS SAUCEDO ANA CRISTINA "/>
    <s v="MONTERREY"/>
    <s v="11:00 A 7:00"/>
    <s v="JUE-MAR"/>
    <s v="JUE-MAR"/>
    <s v="MIÉRCOLES"/>
    <d v="2026-04-01T00:00:00"/>
    <d v="2026-04-30T00:00:00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25"/>
    <m/>
    <m/>
    <m/>
    <m/>
  </r>
  <r>
    <s v="BTL-SAN-MONT-CT"/>
    <x v="10"/>
    <n v="1230"/>
    <s v="MONTERREY NUEVO SUR"/>
    <m/>
    <m/>
    <x v="53"/>
    <n v="1"/>
    <s v="FIJA"/>
    <n v="1"/>
    <s v="FIJA"/>
    <s v="ANIMAS SAUCEDO ANA CRISTINA "/>
    <s v="MONTERREY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CENT-1B"/>
    <x v="0"/>
    <s v="CLCT"/>
    <s v="CLCT CENTENARIO"/>
    <m/>
    <m/>
    <x v="53"/>
    <n v="1"/>
    <s v="FIJA"/>
    <n v="1"/>
    <s v="FIJA"/>
    <s v="CARREÑO MONREAL MARIA TERESA "/>
    <s v="MOCHIS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IV-SATE-TE"/>
    <x v="13"/>
    <n v="4"/>
    <s v="L SATELITE"/>
    <m/>
    <m/>
    <x v="53"/>
    <n v="1"/>
    <s v="FIJA"/>
    <n v="1"/>
    <s v="FIJA"/>
    <s v="CARRILLO XOCHIHUA XOCHITL"/>
    <s v="CIUDAD DE MÉXICO"/>
    <s v="11:00 A 7:00"/>
    <s v="JUE-MAR"/>
    <s v="JUE-MAR"/>
    <s v="MIÉRCOLES"/>
    <d v="2026-04-01T00:00:00"/>
    <d v="2026-04-30T00:00:00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25"/>
    <m/>
    <m/>
    <m/>
    <m/>
  </r>
  <r>
    <s v="BTL-FAH-GARC-M7"/>
    <x v="0"/>
    <s v="MEGA"/>
    <s v="MEGA GARCIA LAVIN"/>
    <n v="439"/>
    <s v="BTL-DC-1000"/>
    <x v="54"/>
    <n v="1"/>
    <s v="FIJA"/>
    <n v="1"/>
    <s v="FIJA"/>
    <s v="FLORES SALDAÑA JAVIER"/>
    <s v="MERID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CIT-PLAZ-YI"/>
    <x v="5"/>
    <n v="409"/>
    <s v="CITY MARKET PLAZA PATRIA"/>
    <n v="555"/>
    <s v="BTL-DC-1001"/>
    <x v="55"/>
    <n v="1"/>
    <s v="FIJA"/>
    <n v="1"/>
    <s v="FIJA"/>
    <s v="GUTIERREZ ROMERO MARUJA BETTY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SANT-JW"/>
    <x v="10"/>
    <n v="1076"/>
    <s v="CENTRO COMERCIAL SANTA F"/>
    <n v="420"/>
    <s v="BTL-DC-1002"/>
    <x v="56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OJOD-R4"/>
    <x v="0"/>
    <s v="MXOG"/>
    <s v="OJO DE AGUA"/>
    <n v="551"/>
    <s v="BTL-DC-1003"/>
    <x v="57"/>
    <n v="1"/>
    <s v="FIJA"/>
    <n v="1"/>
    <s v="FIJA"/>
    <s v="REYES AYBAR LILI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PLAZ-2B"/>
    <x v="10"/>
    <n v="1131"/>
    <s v="PLAZA CARSO"/>
    <n v="511"/>
    <s v="BTL-DC-1004"/>
    <x v="58"/>
    <n v="1"/>
    <s v="FIJA"/>
    <n v="1"/>
    <s v="FIJ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PARQ-1T"/>
    <x v="10"/>
    <n v="1190"/>
    <s v="PARQUE TEZONTLE"/>
    <n v="204"/>
    <s v="BTL-DC-1005"/>
    <x v="59"/>
    <n v="1"/>
    <s v="FIJA"/>
    <n v="1"/>
    <s v="FIJA"/>
    <s v="AGUIRRE CAMACHO ATZIN SUS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PERI-4Z"/>
    <x v="10"/>
    <n v="1021"/>
    <s v="PERISUR"/>
    <n v="75"/>
    <s v="BTL-DC-1006"/>
    <x v="60"/>
    <n v="1"/>
    <s v="FIJA"/>
    <n v="1"/>
    <s v="FIJA"/>
    <s v="CHAVEZ RAMOS  JONATAN RAYMUND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HEB-LASF-HC"/>
    <x v="2"/>
    <n v="2987"/>
    <s v="LAS FUENTES"/>
    <n v="459"/>
    <s v="BTL-DC-1007"/>
    <x v="61"/>
    <n v="1"/>
    <s v="FIJA"/>
    <n v="1"/>
    <s v="FIJA"/>
    <s v="FLORES SALDAÑA JAVIER"/>
    <s v="REYNOS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ARAG-YM"/>
    <x v="0"/>
    <s v="MXAG"/>
    <s v="MXAG ARAGON"/>
    <n v="337"/>
    <s v="BTL-DC-1008"/>
    <x v="62"/>
    <n v="1"/>
    <s v="FIJA"/>
    <n v="1"/>
    <s v="FIJA"/>
    <s v="REYES AYBAR LILI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SCOP-4Y"/>
    <x v="3"/>
    <n v="24"/>
    <s v="SCOP"/>
    <n v="124"/>
    <s v="BTL-DC-1009"/>
    <x v="63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del 12 de marzo al 22 de abril 2026"/>
  </r>
  <r>
    <s v="BTL-SEA-CULI-KP"/>
    <x v="11"/>
    <n v="225"/>
    <s v="CULIACAN FORUM"/>
    <n v="304"/>
    <s v="BTL-DC-1010"/>
    <x v="64"/>
    <n v="1"/>
    <s v="FIJA"/>
    <n v="1"/>
    <s v="FIJA"/>
    <s v="CARREÑO MONREAL MARIA TERESA "/>
    <s v="CULIACAN"/>
    <s v="10:00 A 5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CULI-KE"/>
    <x v="10"/>
    <n v="1145"/>
    <s v="CULIACAN FORUM"/>
    <n v="348"/>
    <s v="BTL-DC-1011"/>
    <x v="65"/>
    <n v="1"/>
    <s v="FIJA"/>
    <n v="1"/>
    <s v="FIJA"/>
    <s v="CARREÑO MONREAL MARIA TERESA "/>
    <s v="CULIACAN"/>
    <s v="10:00 A 5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AC-METE-29"/>
    <x v="6"/>
    <n v="432"/>
    <s v=" LA COMER METEPEC TECNOLOGICO"/>
    <n v="445"/>
    <s v="BTL-DC-1012"/>
    <x v="66"/>
    <n v="1"/>
    <s v="FIJA"/>
    <n v="1"/>
    <s v="FIJA"/>
    <s v="FERNANDEZ SANCHEZ MIGUEL ANGEL "/>
    <s v="TOLUC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FLOR-FE"/>
    <x v="0"/>
    <s v="MXFA"/>
    <s v="MXFA FLORENCIA"/>
    <n v="156"/>
    <s v="BTL-DC-1146"/>
    <x v="67"/>
    <m/>
    <m/>
    <n v="1"/>
    <s v="FIJA"/>
    <s v="MONTAGNER OLIVARES MIGUEL ANGEL"/>
    <s v="CIUDAD DE MÉXICO"/>
    <m/>
    <m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DOBLE CONSEJO POR ESPERA DE LIVERPOOL"/>
  </r>
  <r>
    <s v="BTL-BEN-MASA-YO"/>
    <x v="1"/>
    <s v="N727"/>
    <s v="MASARYK Y SENECA"/>
    <n v="550"/>
    <s v="BTL-DC-1013"/>
    <x v="68"/>
    <n v="1"/>
    <s v="FIJA"/>
    <n v="1"/>
    <s v="FIJ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HOME-4Y"/>
    <x v="3"/>
    <n v="33"/>
    <s v="HOMERO"/>
    <n v="33"/>
    <s v="BTL-DC-1014"/>
    <x v="69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TEZO-AO"/>
    <x v="3"/>
    <n v="71"/>
    <s v="TEZONTLE"/>
    <n v="197"/>
    <s v="BTL-DC-1016"/>
    <x v="70"/>
    <n v="1"/>
    <s v="FIJA"/>
    <n v="1"/>
    <s v="FIJA"/>
    <s v="AGUIRRE CAMACHO ATZIN SUS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PAL-ACX-EV"/>
    <x v="14"/>
    <m/>
    <s v="TIENDA ACOXPA"/>
    <n v="456"/>
    <s v="BTL-DC-1017"/>
    <x v="71"/>
    <n v="1"/>
    <s v="FIJA"/>
    <n v="1"/>
    <s v="FIJA"/>
    <s v="AGUIRRE CAMACHO ATZIN SUSANA "/>
    <s v="CIUDAD DE MÉXICO"/>
    <s v="11:00 A 7:00"/>
    <s v="JUE-MAR"/>
    <s v="JUE-MAR"/>
    <s v="MIÉRCOLES"/>
    <d v="2026-04-01T00:00:00"/>
    <d v="2026-04-30T00:00:00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25"/>
    <m/>
    <m/>
    <m/>
    <s v="CUBRE DESDE 21 ENERO AL 15 DE MARZO 2026"/>
  </r>
  <r>
    <s v="BTL-PAL-MITI-KH"/>
    <x v="14"/>
    <n v="6"/>
    <s v="MITIKAH"/>
    <n v="543"/>
    <s v="BTL-DC-1018"/>
    <x v="72"/>
    <n v="1"/>
    <s v="FIJA"/>
    <n v="1"/>
    <s v="FIJA"/>
    <s v="ESTRADA NAVA MIRIAM ROCI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MXQT-D6"/>
    <x v="3"/>
    <n v="206"/>
    <s v="MEZQUITAN"/>
    <n v="433"/>
    <s v="BTL-DC-1106"/>
    <x v="23"/>
    <m/>
    <m/>
    <n v="0.33333333333333298"/>
    <s v="ROTATIVA"/>
    <s v="GUTIERREZ ROMERO MARUJA BETTY "/>
    <s v="GUADALAJARA"/>
    <s v="11:00 A 7:00"/>
    <s v="LUN-SAB"/>
    <s v="LUN-SAB"/>
    <s v="DOMINGO"/>
    <d v="2026-04-01T00:00:00"/>
    <d v="2026-04-22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m/>
    <m/>
    <m/>
    <m/>
    <m/>
    <m/>
    <m/>
    <m/>
    <n v="19"/>
    <m/>
    <m/>
    <m/>
    <s v="adoptado hasta el 09 de Marzo 2026 / se suma adoptado del 12 de Marzo al 22 de abril"/>
  </r>
  <r>
    <s v="BTL-SEP-SANT-O1"/>
    <x v="15"/>
    <n v="1813"/>
    <s v="1813 SEPHORA SANTA FE"/>
    <n v="125"/>
    <s v="BTL-DC-1019"/>
    <x v="73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BEN-SUC.-2Y"/>
    <x v="1"/>
    <s v="N076"/>
    <s v="N076-SUC. LA RIOJA"/>
    <n v="295"/>
    <s v="BTL-DC-1020"/>
    <x v="74"/>
    <n v="1"/>
    <s v="FIJA"/>
    <n v="1"/>
    <s v="FIJA"/>
    <s v="LOPEZ GUTIERREZ LUZ EVELIA "/>
    <s v="HERMOSILL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AC-LASA-EI"/>
    <x v="6"/>
    <n v="441"/>
    <s v=" LA COMER LAS ANIMAS"/>
    <n v="42"/>
    <s v="BTL-DC-1021"/>
    <x v="75"/>
    <n v="1"/>
    <s v="FIJA"/>
    <n v="1"/>
    <s v="FIJA"/>
    <s v="BAUTISTA CORONA REYNA "/>
    <s v="PUEBL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IV-COYO-MI"/>
    <x v="13"/>
    <n v="176"/>
    <s v="L COYOACAN MITIKAH"/>
    <n v="588"/>
    <m/>
    <x v="11"/>
    <n v="1"/>
    <s v="FIJA"/>
    <m/>
    <s v="ROTATIVA"/>
    <s v="ESTRADA NAVA MIRIAM ROCIO "/>
    <s v="CIUDAD DE MÉXICO"/>
    <s v="13:00 a 21:00"/>
    <s v="JUE-MAR"/>
    <s v="JUE-MAR"/>
    <s v="MIÉRCOLES"/>
    <d v="2026-04-01T00:00:00"/>
    <d v="2026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DOBLE CONSEJO POR ESPERA DE LIVERPOOL"/>
  </r>
  <r>
    <s v="BTL-LIV-CENT-CL"/>
    <x v="13"/>
    <n v="1"/>
    <s v="L CENTRO"/>
    <n v="585"/>
    <s v="BTL-DC-1230"/>
    <x v="76"/>
    <n v="1"/>
    <s v="FIJA"/>
    <n v="1"/>
    <s v="FIJA"/>
    <s v="AVILA BELTRAN GLORIA MARIBEL "/>
    <s v="MAZATLAN"/>
    <s v="11:00 A 6:00"/>
    <s v="JUE-MAR"/>
    <s v="JUE-MAR"/>
    <s v="MIÉRCOLES"/>
    <d v="2026-04-01T00:00:00"/>
    <d v="2026-04-30T00:00:00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25"/>
    <m/>
    <m/>
    <m/>
    <m/>
  </r>
  <r>
    <s v="BTL-LIV-MONT-RY"/>
    <x v="13"/>
    <n v="31"/>
    <s v="L MONTERREY"/>
    <n v="480"/>
    <s v="BTL-DC-1113"/>
    <x v="77"/>
    <n v="1"/>
    <s v="FIJA"/>
    <n v="1"/>
    <s v="FIJA"/>
    <s v="ALVAREZ GARCIA ADRIANA YULISMA"/>
    <s v="MONTERREY"/>
    <s v="11:00 A 7:00"/>
    <s v="JUE-MAR"/>
    <s v="JUE-MAR"/>
    <s v="MIÉRCOLES"/>
    <d v="2026-04-01T00:00:00"/>
    <d v="2026-04-30T00:00:00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25"/>
    <m/>
    <m/>
    <m/>
    <m/>
  </r>
  <r>
    <s v="BTL-SEP-DELT-HY"/>
    <x v="15"/>
    <n v="1954"/>
    <s v="1954 SEPHORA DELTA"/>
    <n v="479"/>
    <s v="BTL-DC-1025"/>
    <x v="78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VILL-Q0"/>
    <x v="3"/>
    <n v="112"/>
    <s v="VILLALONGÍN"/>
    <n v="83"/>
    <s v="BTL-DC-1026"/>
    <x v="79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04 23 abril al 03 Junio"/>
  </r>
  <r>
    <s v="BTL-SEA-UNIV-IA"/>
    <x v="11"/>
    <n v="103"/>
    <s v="UNIVERSIDAD"/>
    <n v="285"/>
    <s v="BTL-DC-1027"/>
    <x v="80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JUVE-LN"/>
    <x v="0"/>
    <s v="LGJR"/>
    <s v="LGJR JUVENTINO ROSAS"/>
    <n v="532"/>
    <s v="BTL-DC-1028"/>
    <x v="81"/>
    <n v="1"/>
    <s v="FIJA"/>
    <n v="1"/>
    <s v="FIJA"/>
    <s v="VACANTE"/>
    <s v="SAN FRANCISCO DEL RINCON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OSCA-4A"/>
    <x v="0"/>
    <s v="MAOP"/>
    <s v="MAOP OSCAR PEREZ"/>
    <n v="150"/>
    <s v="BTL-DC-1029"/>
    <x v="82"/>
    <n v="1"/>
    <s v="FIJA"/>
    <n v="1"/>
    <s v="FIJA"/>
    <s v="AVILA BELTRAN GLORIA MARIBEL "/>
    <s v="MAZATLAN"/>
    <s v="10:00 A 6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SANT-PX"/>
    <x v="3"/>
    <n v="41"/>
    <s v="SANTA FE"/>
    <n v="227"/>
    <s v="BTL-DC-1030"/>
    <x v="83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hasta el 09 de Marzo 2026 / se suma adoptado del 12 de Marzo al 22 de abril"/>
  </r>
  <r>
    <s v="BTL-FRE-PLAZ-JN"/>
    <x v="9"/>
    <n v="404"/>
    <s v=" FRESKO PLAZA MAYOR LEON"/>
    <n v="533"/>
    <s v="BTL-DC-1031"/>
    <x v="84"/>
    <n v="1"/>
    <s v="FIJA"/>
    <n v="1"/>
    <s v="FIJA"/>
    <s v="VACANTE"/>
    <s v="LEON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PLAZ-7K"/>
    <x v="0"/>
    <s v="PEPL"/>
    <s v="PEPL PLAZA BOSQUES"/>
    <n v="61"/>
    <s v="BTL-DC-1032"/>
    <x v="85"/>
    <n v="1"/>
    <s v="FIJA"/>
    <n v="1"/>
    <s v="FIJA"/>
    <s v="BAUTISTA CORONA REYNA "/>
    <s v="PUEBL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BEN-SUC.-DF"/>
    <x v="1"/>
    <s v="M152"/>
    <s v="M152-SUC. VASCONCELOS"/>
    <n v="59"/>
    <s v="BTL-DC-1034"/>
    <x v="86"/>
    <n v="1"/>
    <s v="FIJA"/>
    <n v="1"/>
    <s v="FIJA"/>
    <s v="ALVAREZ GARCIA ADRIANA YULISMA"/>
    <s v="MONTERREY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PAL-SANT-FZ"/>
    <x v="14"/>
    <n v="1008"/>
    <s v="TIENDA SANTA FE"/>
    <n v="492"/>
    <s v="BTL-DC-1023"/>
    <x v="87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RA-SANJ-KW"/>
    <x v="16"/>
    <n v="1062"/>
    <s v="SAN JOSE DEL. BENITO JUAREZ DF."/>
    <n v="213"/>
    <s v="BTL-DC-1037"/>
    <x v="88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HORARIO DEL SABADO ES DE 9 A 5"/>
  </r>
  <r>
    <s v="BTL-PAL-PERI-SR"/>
    <x v="14"/>
    <n v="80"/>
    <s v="PERISUR"/>
    <n v="347"/>
    <s v="BTL-DC-1024"/>
    <x v="89"/>
    <n v="1"/>
    <s v="FIJA"/>
    <n v="1"/>
    <s v="FIJA"/>
    <s v="CHAVEZ RAMOS  JONATAN RAYMUND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SATE-HQ"/>
    <x v="10"/>
    <n v="1013"/>
    <s v="SATELITE "/>
    <n v="546"/>
    <s v="BTL-DC-1039"/>
    <x v="90"/>
    <n v="1"/>
    <s v="FIJA"/>
    <n v="1"/>
    <s v="FIJ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EA-LOSM-P2"/>
    <x v="11"/>
    <n v="249"/>
    <s v="LOS MOCHIS"/>
    <n v="410"/>
    <s v="BTL-DC-1040"/>
    <x v="91"/>
    <n v="1"/>
    <s v="FIJA"/>
    <n v="1"/>
    <s v="FIJA"/>
    <s v="CARREÑO MONREAL MARIA TERESA "/>
    <s v="MOCHIS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PAL-LEON-VZ"/>
    <x v="14"/>
    <n v="1014"/>
    <s v="TIENDA LEON"/>
    <n v="262"/>
    <s v="BTL-DC-1035"/>
    <x v="92"/>
    <n v="1"/>
    <s v="FIJA"/>
    <n v="1"/>
    <s v="FIJA"/>
    <s v="VACANTE"/>
    <s v="LEON"/>
    <s v="11:00 A 7:00"/>
    <s v="JUE-MAR"/>
    <s v="JUE-MAR"/>
    <s v="MIÉRCOLES"/>
    <d v="2026-04-01T00:00:00"/>
    <d v="2026-04-30T00:00:00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25"/>
    <m/>
    <m/>
    <m/>
    <m/>
  </r>
  <r>
    <s v="BTL-FAH-50SU-ME"/>
    <x v="0"/>
    <s v="ME50"/>
    <s v="ME50 50 SUR"/>
    <n v="537"/>
    <s v="BTL-DC-1119"/>
    <x v="93"/>
    <n v="1"/>
    <s v="FIJA"/>
    <n v="0.5"/>
    <s v="ROTATIVA"/>
    <s v="FLORES SALDAÑA JAVIER"/>
    <s v="MERID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IV-MERI-Q6"/>
    <x v="13"/>
    <n v="76"/>
    <s v="L MERIDA"/>
    <n v="537"/>
    <m/>
    <x v="93"/>
    <n v="1"/>
    <s v="FIJA"/>
    <m/>
    <s v="ROTATIVA"/>
    <s v="FLORES SALDAÑA JAVIER"/>
    <s v="MERIDA"/>
    <s v="11:00 A 7:00"/>
    <s v="JUE-MAR"/>
    <s v="JUE-MAR"/>
    <s v="MIÉRCOLES"/>
    <d v="2026-04-01T00:00:00"/>
    <d v="2026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DOBLE CONSEJO POR ESPERA DE LIVERPOOL"/>
  </r>
  <r>
    <s v="BTL-HEB-JURI-X1"/>
    <x v="2"/>
    <n v="2982"/>
    <s v="JURIQUILLA"/>
    <n v="417"/>
    <s v="BTL-DC-1044"/>
    <x v="94"/>
    <n v="1"/>
    <s v="FIJA"/>
    <n v="1"/>
    <s v="FIJA"/>
    <s v="FLORES SALDAÑA JAVIER"/>
    <s v="QUERETAR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EA-MERI-AS"/>
    <x v="11"/>
    <n v="215"/>
    <s v="MERIDA PLAZA"/>
    <n v="161"/>
    <s v="BTL-DC-1045"/>
    <x v="95"/>
    <n v="1"/>
    <s v="FIJA"/>
    <n v="1"/>
    <s v="FIJA"/>
    <s v="FLORES SALDAÑA JAVIER"/>
    <s v="MERID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HEB-CHIP-51"/>
    <x v="2"/>
    <n v="2950"/>
    <s v="CHIPINQUE"/>
    <n v="22"/>
    <s v="BTL-DC-1046"/>
    <x v="96"/>
    <n v="1"/>
    <s v="FIJA"/>
    <n v="1"/>
    <s v="FIJA"/>
    <s v="ANIMAS SAUCEDO ANA CRISTINA "/>
    <s v="MONTERREY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CRZS-01"/>
    <x v="3"/>
    <m/>
    <s v="CRUZ DEL SUR"/>
    <n v="499"/>
    <s v="BTL-DC-1124"/>
    <x v="28"/>
    <m/>
    <m/>
    <n v="0.33333333333333298"/>
    <s v="ROTATIVA"/>
    <s v="LOPEZ ESTRADA SILVIA BERENICE "/>
    <s v="GUADALAJARA"/>
    <s v="11:00 A 7:00"/>
    <s v="LUN-SAB"/>
    <s v="LUN-SAB"/>
    <s v="DOMINGO"/>
    <d v="2026-04-01T00:00:00"/>
    <d v="2026-04-22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m/>
    <m/>
    <m/>
    <m/>
    <m/>
    <m/>
    <m/>
    <m/>
    <n v="19"/>
    <m/>
    <m/>
    <m/>
    <s v="adoptado del 12 de marzo al 22 de abril 2026"/>
  </r>
  <r>
    <s v="BTL-FAH-JESU-ZA"/>
    <x v="0"/>
    <s v="MXJM"/>
    <s v="MXJM JESUS DEL MONTE"/>
    <n v="103"/>
    <s v="BTL-DC-1047"/>
    <x v="97"/>
    <n v="1"/>
    <s v="FIJA"/>
    <n v="1"/>
    <s v="FIJA"/>
    <s v="LOPEZ RUIZ JACQUELINE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ZPLA-ZP"/>
    <x v="3"/>
    <n v="179"/>
    <s v="ZONA PLATEADA"/>
    <n v="162"/>
    <s v="BTL-DC-1048"/>
    <x v="98"/>
    <n v="1"/>
    <s v="FIJA"/>
    <n v="1"/>
    <s v="FIJA"/>
    <s v="FLORES SALDAÑA JAVIER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CHE-SELE-LD"/>
    <x v="17"/>
    <n v="6700"/>
    <s v="06700 CHEDRAUI SELECTO PUEBLA ANGELOPOLIS 09-15"/>
    <n v="66"/>
    <s v="BTL-DC-1049"/>
    <x v="99"/>
    <n v="1"/>
    <s v="FIJA"/>
    <n v="1"/>
    <s v="FIJA"/>
    <s v="BAUTISTA CORONA REYNA "/>
    <s v="PUEBL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EJE5-JM"/>
    <x v="3"/>
    <n v="45"/>
    <s v="EJE 5"/>
    <n v="478"/>
    <s v="BTL-DC-1050"/>
    <x v="100"/>
    <n v="1"/>
    <s v="FIJA"/>
    <n v="1"/>
    <s v="FIJA"/>
    <s v="AGUIRRE CAMACHO ATZIN SUS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hasta el 09 de Marzo 2026 / se suma adoptado del 12 de Marzo al 22 de abril"/>
  </r>
  <r>
    <s v="BTL-FAH-ARBO-05"/>
    <x v="0"/>
    <s v="MXAB"/>
    <s v="MXAB ARBOLEDAS"/>
    <n v="286"/>
    <s v="BTL-DC-1053"/>
    <x v="101"/>
    <n v="1"/>
    <s v="FIJA"/>
    <n v="1"/>
    <s v="FIJA"/>
    <s v="REYES AYBAR LILI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NEZA-2J"/>
    <x v="3"/>
    <n v="50"/>
    <s v="NEZA"/>
    <n v="60"/>
    <s v="BTL-DC-1055"/>
    <x v="102"/>
    <n v="1"/>
    <s v="FIJA"/>
    <n v="1"/>
    <s v="FIJA"/>
    <s v="AGUIRRE CAMACHO ATZIN SUS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CHE-SELE-SU"/>
    <x v="17"/>
    <n v="400"/>
    <s v="00400 CHEDRAUI SELECTO MEXICO POLANCO 05-05"/>
    <n v="78"/>
    <s v="BTL-DC-1056"/>
    <x v="103"/>
    <n v="1"/>
    <s v="FIJA"/>
    <n v="1"/>
    <s v="FIJ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UNIV-N8"/>
    <x v="0"/>
    <s v="OXUN"/>
    <s v="OXUN UNIVERSIDAD"/>
    <n v="536"/>
    <s v="BTL-DC-1057"/>
    <x v="104"/>
    <n v="1"/>
    <s v="FIJA"/>
    <n v="1"/>
    <s v="FIJA"/>
    <s v="FLORES SALDAÑA JAVIER"/>
    <s v="OAXAC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ISAB-BK"/>
    <x v="3"/>
    <n v="114"/>
    <s v="ISABEL LA CATÓLICA"/>
    <n v="388"/>
    <s v="BTL-DC-1058"/>
    <x v="105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hasta el 09 de Marzo 2026 / se suma adoptado del 12 de Marzo al 22 de abril"/>
  </r>
  <r>
    <s v="BTL-SAN-PATR-UP"/>
    <x v="3"/>
    <n v="184"/>
    <s v="PATRIA GUADALUPE"/>
    <n v="573"/>
    <s v="BTL-DC-1130"/>
    <x v="106"/>
    <m/>
    <m/>
    <n v="0.5"/>
    <s v="ROTATIVA"/>
    <s v="GUTIERREZ ROMERO MARUJA BETTY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m/>
    <m/>
    <m/>
    <m/>
    <m/>
    <m/>
    <m/>
    <m/>
    <n v="19"/>
    <m/>
    <m/>
    <m/>
    <s v="adoptado hasta el 09 de Marzo 2026 / se suma adoptado del 12 de Marzo al 22 de abril"/>
  </r>
  <r>
    <s v="BTL-SAN-REVO-NY"/>
    <x v="3"/>
    <n v="6"/>
    <s v="REVOLUCIÓN"/>
    <n v="435"/>
    <s v="BTL-DC-1060"/>
    <x v="107"/>
    <n v="1"/>
    <s v="FIJA"/>
    <n v="1"/>
    <s v="ROTATIV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04 23 abril al 03 Junio"/>
  </r>
  <r>
    <s v="BTL-SEA-PERI-66"/>
    <x v="11"/>
    <n v="105"/>
    <s v="PERISUR"/>
    <n v="506"/>
    <s v="BTL-DC-1061"/>
    <x v="108"/>
    <n v="1"/>
    <s v="FIJA"/>
    <n v="1"/>
    <s v="FIJA"/>
    <s v="CHAVEZ RAMOS  JONATAN RAYMUND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BEN-SUC.-KW"/>
    <x v="1"/>
    <s v="M818"/>
    <s v="M818-SUC. PLAZA BOSQUES"/>
    <n v="580"/>
    <s v="BTL-DC-1223"/>
    <x v="109"/>
    <n v="1"/>
    <s v="FIJA"/>
    <n v="1"/>
    <s v="FIJA"/>
    <s v="LOPEZ RUIZ JACQUELINE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MONT-CF"/>
    <x v="3"/>
    <n v="15"/>
    <s v="MONTEVIDEO"/>
    <n v="32"/>
    <s v="BTL-DC-1062"/>
    <x v="110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CASM-XB"/>
    <x v="3"/>
    <n v="11"/>
    <s v="CASMA"/>
    <n v="471"/>
    <s v="BTL-DC-1064"/>
    <x v="111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INTE-AY"/>
    <x v="3"/>
    <n v="19"/>
    <s v="INTERLOMAS"/>
    <n v="58"/>
    <s v="BTL-DC-1066"/>
    <x v="112"/>
    <n v="1"/>
    <s v="FIJA"/>
    <n v="1"/>
    <s v="FIJA"/>
    <s v="LOPEZ RUIZ JACQUELINE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hasta el 09 de Marzo 2026 / se suma adoptado del 12 de Marzo al 22 de abril"/>
  </r>
  <r>
    <s v="BTL-LAC-LOMA-AN"/>
    <x v="6"/>
    <n v="14"/>
    <s v=" LA COMER LOMAS ANAHUAC"/>
    <n v="547"/>
    <s v="BTL-DC-1067"/>
    <x v="113"/>
    <n v="1"/>
    <s v="FIJA"/>
    <n v="1"/>
    <s v="FIJA"/>
    <s v="LOPEZ RUIZ JACQUELINE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FTES-EG"/>
    <x v="3"/>
    <n v="129"/>
    <s v="FTES. DE SATÉLITE"/>
    <n v="202"/>
    <s v="BTL-DC-1164"/>
    <x v="30"/>
    <m/>
    <m/>
    <n v="0.33333333333333298"/>
    <s v="ROTATIV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m/>
    <m/>
    <m/>
    <m/>
    <m/>
    <m/>
    <m/>
    <m/>
    <n v="19"/>
    <m/>
    <m/>
    <m/>
    <s v="adoptado hasta el 09 de Marzo 2026 / se suma adoptado del 12 de Marzo al 22 de abril"/>
  </r>
  <r>
    <s v="BTL-LIV-PARQ-DE"/>
    <x v="13"/>
    <n v="81"/>
    <s v="L PARQUE DELTA"/>
    <n v="112"/>
    <m/>
    <x v="43"/>
    <n v="1"/>
    <s v="FIJA"/>
    <m/>
    <s v="ROTATIVA"/>
    <s v="MONTAGNER OLIVARES MIGUEL ANGEL"/>
    <s v="CIUDAD DE MÉXICO"/>
    <s v="11:00 A 7:00"/>
    <s v="JUE-MAR"/>
    <s v="JUE-MAR"/>
    <s v="MIÉRCOLES"/>
    <d v="2026-04-01T00:00:00"/>
    <d v="2026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DOBLE CONSEJO POR ESPERA DE LIVERPOOL"/>
  </r>
  <r>
    <s v="BTL-FAH-SIGL-6A"/>
    <x v="0"/>
    <s v="MXSI"/>
    <s v="MXSI SIGLO XXI"/>
    <n v="94"/>
    <s v="BTL-DC-1069"/>
    <x v="114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SANJ-6M"/>
    <x v="3"/>
    <n v="100"/>
    <s v="SAN JERÓNIMO"/>
    <n v="402"/>
    <s v="BTL-DC-1070"/>
    <x v="115"/>
    <n v="1"/>
    <s v="FIJA"/>
    <n v="1"/>
    <s v="FIJA"/>
    <s v="CHAVEZ RAMOS  JONATAN RAYMUND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04 23 abril al 03 Junio"/>
  </r>
  <r>
    <s v="BTL-SAN-ARBO-XI"/>
    <x v="3"/>
    <n v="20"/>
    <s v="ARBOLEDAS"/>
    <n v="172"/>
    <s v="BTL-DC-1071"/>
    <x v="116"/>
    <n v="1"/>
    <s v="FIJA"/>
    <n v="1"/>
    <s v="FIJA"/>
    <s v="REYES AYBAR LILI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del 12 de marzo al 22 de abril 2026"/>
  </r>
  <r>
    <s v="BTL-SAN-COAC-OP"/>
    <x v="3"/>
    <n v="52"/>
    <s v="COACALCO"/>
    <n v="29"/>
    <s v="BTL-DC-1072"/>
    <x v="117"/>
    <n v="1"/>
    <s v="FIJA"/>
    <n v="1"/>
    <s v="FIJA"/>
    <s v="REYES AYBAR LILI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PERI-4Z"/>
    <x v="10"/>
    <n v="1021"/>
    <s v="PERISUR"/>
    <n v="548"/>
    <s v="BTL-DC-1168"/>
    <x v="118"/>
    <m/>
    <m/>
    <n v="1"/>
    <s v="FIJA"/>
    <s v="CHAVEZ RAMOS  JONATAN RAYMUNDO "/>
    <s v="CIUDAD DE MÉXICO"/>
    <m/>
    <m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DOBLE CONSEJO POR ESPERA DE LIVERPOOL"/>
  </r>
  <r>
    <s v="BTL-HEB-VALL-YM"/>
    <x v="2"/>
    <n v="2981"/>
    <s v="VALLE ALTO"/>
    <n v="593"/>
    <s v="BTL-DC-1238"/>
    <x v="119"/>
    <n v="1"/>
    <s v="FIJA"/>
    <n v="1"/>
    <s v="FIJA"/>
    <s v="ANIMAS SAUCEDO ANA CRISTINA "/>
    <s v="MONTERREY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RA-LAME-S2"/>
    <x v="16"/>
    <n v="24"/>
    <s v="LA MERCED"/>
    <n v="585"/>
    <s v="BTL-DC-1230"/>
    <x v="120"/>
    <n v="1"/>
    <s v="FIJA"/>
    <n v="1"/>
    <s v="FIJA"/>
    <s v="LOPEZ ESTRADA SILVIA BERENICE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MUND-5Z"/>
    <x v="3"/>
    <n v="176"/>
    <s v="MUNDO E"/>
    <n v="105"/>
    <s v="BTL-DC-1074"/>
    <x v="121"/>
    <n v="1"/>
    <s v="FIJA"/>
    <n v="1"/>
    <s v="FIJA"/>
    <s v="REYES AYBAR LILI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CENT-C3"/>
    <x v="3"/>
    <n v="1"/>
    <s v="CENTRO"/>
    <n v="46"/>
    <s v="BTL-DC-1076"/>
    <x v="122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HUER-FR"/>
    <x v="0"/>
    <s v="MXHS"/>
    <s v="MXHS HUERTAS"/>
    <n v="339"/>
    <s v="BTL-DC-1077"/>
    <x v="123"/>
    <n v="1"/>
    <s v="FIJA"/>
    <n v="1"/>
    <s v="FIJA"/>
    <s v="REYES AYBAR LILI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CLOU-G3"/>
    <x v="0"/>
    <s v="LGCL"/>
    <s v="LGCL CLOUTHIER"/>
    <n v="583"/>
    <s v="BTL-DC-1226"/>
    <x v="124"/>
    <n v="1"/>
    <s v="FIJA"/>
    <n v="1"/>
    <s v="FIJA"/>
    <s v="VACANTE"/>
    <s v="LEON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RE-FRES-N9"/>
    <x v="9"/>
    <n v="423"/>
    <s v="FRESKO MIGUEL ANGEL"/>
    <n v="110"/>
    <s v="BTL-DC-1078"/>
    <x v="125"/>
    <n v="1"/>
    <s v="FIJA"/>
    <n v="1"/>
    <s v="FIJA"/>
    <s v="ESTRADA NAVA MIRIAM ROCI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CHIM-O3"/>
    <x v="3"/>
    <n v="70"/>
    <s v="CHIMALHUACÁN"/>
    <n v="508"/>
    <s v="BTL-DC-1079"/>
    <x v="126"/>
    <n v="1"/>
    <s v="FIJA"/>
    <n v="1"/>
    <s v="FIJA"/>
    <s v="AGUIRRE CAMACHO ATZIN SUS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IV-LIND-I8"/>
    <x v="13"/>
    <n v="83"/>
    <s v="L LINDAVISTA"/>
    <n v="120"/>
    <s v="BTL-DC-1140"/>
    <x v="127"/>
    <n v="1"/>
    <s v="FIJA"/>
    <n v="1"/>
    <s v="FIJA"/>
    <s v="MONROY GONZALEZ MARIA ZENAIDA "/>
    <s v="CIUDAD DE MÉXICO"/>
    <s v="11:00 A 7:00"/>
    <s v="JUE-MAR"/>
    <s v="JUE-MAR"/>
    <s v="MIÉRCOLES"/>
    <d v="2026-04-01T00:00:00"/>
    <d v="2026-04-30T00:00:00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25"/>
    <m/>
    <m/>
    <m/>
    <m/>
  </r>
  <r>
    <s v="BTL-CIT-PLAZ-8Q"/>
    <x v="5"/>
    <n v="403"/>
    <s v="PLAZA CARSO"/>
    <n v="67"/>
    <s v="BTL-DC-1081"/>
    <x v="128"/>
    <n v="1"/>
    <s v="FIJA"/>
    <n v="1"/>
    <s v="FIJ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BEN-SUC.-GO"/>
    <x v="1"/>
    <s v="M496"/>
    <s v="M496-SUC. PITIC"/>
    <n v="297"/>
    <s v="BTL-DC-1082"/>
    <x v="129"/>
    <n v="1"/>
    <s v="FIJA"/>
    <n v="1"/>
    <s v="FIJA"/>
    <s v="LOPEZ GUTIERREZ LUZ EVELIA "/>
    <s v="HERMOSILL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PALM-6H"/>
    <x v="0"/>
    <m/>
    <s v="PALMAS "/>
    <n v="219"/>
    <s v="BTL-DC-1083"/>
    <x v="130"/>
    <n v="1"/>
    <s v="FIJA"/>
    <n v="1"/>
    <s v="FIJ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OR-SANJ-TV"/>
    <x v="3"/>
    <n v="133"/>
    <s v="TECNOLÓGICO DE METEPEC"/>
    <n v="30"/>
    <s v="BTL-DC-1085"/>
    <x v="131"/>
    <n v="1"/>
    <s v="FIJA"/>
    <n v="1"/>
    <s v="FIJA"/>
    <s v="FERNANDEZ SANCHEZ MIGUEL ANGEL "/>
    <s v="TOLUC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del 12 de marzo al 22 de abril 2026"/>
  </r>
  <r>
    <s v="BTL-HEB-SANP-QP"/>
    <x v="2"/>
    <n v="2975"/>
    <s v="SAN PEDRO"/>
    <n v="419"/>
    <s v="BTL-DC-1086"/>
    <x v="132"/>
    <n v="1"/>
    <s v="FIJA"/>
    <n v="1"/>
    <s v="FIJA"/>
    <s v="ALVAREZ GARCIA ADRIANA YULISMA"/>
    <s v="MONTERREY"/>
    <s v="9:00 A 5:00 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TOLU-8C"/>
    <x v="3"/>
    <n v="104"/>
    <s v="TOLUCA CENTRO"/>
    <n v="142"/>
    <s v="BTL-DC-1087"/>
    <x v="133"/>
    <n v="1"/>
    <s v="FIJA"/>
    <n v="1"/>
    <s v="FIJA"/>
    <s v="FERNANDEZ SANCHEZ MIGUEL ANGEL "/>
    <s v="TOLUC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EA-MAZA-6O"/>
    <x v="11"/>
    <n v="247"/>
    <s v="MAZATLÁN"/>
    <n v="288"/>
    <s v="BTL-DC-1088"/>
    <x v="134"/>
    <n v="1"/>
    <s v="FIJA"/>
    <n v="1"/>
    <s v="FIJA"/>
    <s v="AVILA BELTRAN GLORIA MARIBEL "/>
    <s v="MAZATLAN"/>
    <s v="11:00 A 6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MARI-AX"/>
    <x v="3"/>
    <n v="116"/>
    <s v="MARIO COLIN"/>
    <n v="346"/>
    <s v="BTL-DC-1090"/>
    <x v="135"/>
    <n v="1"/>
    <s v="FIJA"/>
    <n v="1"/>
    <s v="FIJ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04 23 abril al 03 Junio"/>
  </r>
  <r>
    <s v="BTL-CHE-SELE-ID"/>
    <x v="17"/>
    <n v="300"/>
    <s v="00300 CHEDRAUI SELECTO MEXICO PEDREGAL 11-18"/>
    <n v="70"/>
    <s v="BTL-DC-1092"/>
    <x v="136"/>
    <n v="1"/>
    <s v="FIJA"/>
    <n v="1"/>
    <s v="FIJA"/>
    <s v="CHAVEZ RAMOS  JONATAN RAYMUND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EP-OASI-GU"/>
    <x v="15"/>
    <n v="1986"/>
    <s v="1986 SEPHORA OASIS COYOACAN"/>
    <n v="501"/>
    <s v="BTL-DC-1093"/>
    <x v="137"/>
    <n v="1"/>
    <s v="FIJA"/>
    <n v="1"/>
    <s v="FIJA"/>
    <s v="ESTRADA NAVA MIRIAM ROCI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CAMA-MI"/>
    <x v="3"/>
    <n v="60"/>
    <s v="CAMARONES"/>
    <n v="504"/>
    <s v="BTL-DC-1095"/>
    <x v="138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LUIS-N4"/>
    <x v="3"/>
    <n v="30"/>
    <s v="LUIS CABRERA"/>
    <n v="360"/>
    <s v="BTL-DC-1096"/>
    <x v="139"/>
    <n v="1"/>
    <s v="FIJA"/>
    <n v="1"/>
    <s v="FIJA"/>
    <s v="CHAVEZ RAMOS  JONATAN RAYMUND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hasta el 09 de Marzo 2026 / se suma adoptado del 12 de Marzo al 22 de abril"/>
  </r>
  <r>
    <s v="BTL-HEB-EJER-GA"/>
    <x v="2"/>
    <n v="2964"/>
    <s v="EJERCITO"/>
    <n v="147"/>
    <s v="BTL-DC-1098"/>
    <x v="140"/>
    <n v="1"/>
    <s v="FIJA"/>
    <n v="1"/>
    <s v="FIJA"/>
    <s v="FLORES SALDAÑA JAVIER"/>
    <s v="TAMP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MTCS-SP"/>
    <x v="0"/>
    <s v="MTCS"/>
    <s v="MTCS CALZADA SAN PEDRO"/>
    <n v="427"/>
    <s v="BTL-DC-1100"/>
    <x v="141"/>
    <n v="1"/>
    <s v="FIJA"/>
    <n v="1"/>
    <s v="FIJA"/>
    <s v="ALVAREZ GARCIA ADRIANA YULISMA"/>
    <s v="MONTERREY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IV-INSU-GE"/>
    <x v="13"/>
    <n v="2"/>
    <s v="L INSURGENTES"/>
    <n v="156"/>
    <m/>
    <x v="67"/>
    <n v="1"/>
    <s v="FIJA"/>
    <m/>
    <s v="ROTATIVA"/>
    <s v="MONTAGNER OLIVARES MIGUEL ANGEL"/>
    <s v="CIUDAD DE MÉXICO"/>
    <s v="11:00 A 7:00"/>
    <s v="JUE-MAR"/>
    <s v="JUE-MAR"/>
    <s v="MIÉRCOLES"/>
    <d v="2026-04-01T00:00:00"/>
    <d v="2026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DOBLE CONSEJO POR ESPERA DE LIVERPOOL"/>
  </r>
  <r>
    <s v="BTL-SAN-BPIS-20"/>
    <x v="3"/>
    <m/>
    <s v="BLVD PASEO INTERLOMAS"/>
    <n v="114"/>
    <s v="BTL-DC-1227"/>
    <x v="142"/>
    <m/>
    <m/>
    <n v="0.5"/>
    <s v="ROTATIVA"/>
    <s v="LOPEZ RUIZ JACQUELINE"/>
    <s v="CIUDAD DE MÉXICO"/>
    <s v="11:00 A 7:00"/>
    <s v="LUN-SAB"/>
    <s v="LUN-SAB"/>
    <s v="DOMINGO"/>
    <d v="2026-04-01T00:00:00"/>
    <d v="2026-04-22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m/>
    <m/>
    <m/>
    <m/>
    <m/>
    <m/>
    <m/>
    <m/>
    <n v="19"/>
    <m/>
    <m/>
    <m/>
    <s v="adoptado del 12 de marzo al 22 de abril 2026"/>
  </r>
  <r>
    <s v="BTL-BEN-SUC.-CO"/>
    <x v="1"/>
    <s v="N015"/>
    <s v="N015-SUC. LAGO ALBERTO"/>
    <n v="461"/>
    <s v="BTL-DC-1108"/>
    <x v="143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ALTA-OE"/>
    <x v="3"/>
    <n v="137"/>
    <s v="ALTAVISTA"/>
    <n v="273"/>
    <s v="BTL-DC-1109"/>
    <x v="144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del 12 de marzo al 22 de abril 2026"/>
  </r>
  <r>
    <s v="BTL-SAN-ELTA-FY"/>
    <x v="8"/>
    <n v="8"/>
    <s v="EL TAJO"/>
    <n v="434"/>
    <s v="BTL-DC-1110"/>
    <x v="145"/>
    <n v="1"/>
    <s v="FIJA"/>
    <n v="1"/>
    <s v="FIJA"/>
    <s v="LOPEZ ESTRADA SILVIA BERENICE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JARD-8O"/>
    <x v="3"/>
    <n v="59"/>
    <s v="JARDINES DE MORELOS"/>
    <n v="349"/>
    <s v="BTL-DC-1112"/>
    <x v="146"/>
    <n v="1"/>
    <s v="FIJA"/>
    <n v="1"/>
    <s v="FIJA"/>
    <s v="REYES AYBAR LILI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IV-MAZA-TL"/>
    <x v="13"/>
    <n v="117"/>
    <s v="L MAZATLAN"/>
    <n v="481"/>
    <s v="BTL-DC-1160"/>
    <x v="147"/>
    <n v="1"/>
    <s v="FIJA"/>
    <n v="1"/>
    <s v="FIJA"/>
    <s v="AVILA BELTRAN GLORIA MARIBEL "/>
    <s v="MAZATLAN"/>
    <s v="11:00 A 6:00"/>
    <s v="JUE-MAR"/>
    <s v="JUE-MAR"/>
    <s v="MIÉRCOLES"/>
    <d v="2026-04-01T00:00:00"/>
    <d v="2026-04-30T00:00:00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25"/>
    <m/>
    <m/>
    <m/>
    <m/>
  </r>
  <r>
    <s v="BTL-SEP-ANTA-16"/>
    <x v="15"/>
    <n v="1804"/>
    <s v="1804 SEPHORA ANTARA"/>
    <n v="313"/>
    <s v="BTL-DC-1115"/>
    <x v="148"/>
    <n v="1"/>
    <s v="FIJA"/>
    <n v="1"/>
    <s v="FIJ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INTE-K2"/>
    <x v="0"/>
    <m/>
    <s v="INTERLOMAS"/>
    <n v="244"/>
    <s v="BTL-DC-1116"/>
    <x v="149"/>
    <n v="1"/>
    <s v="FIJA"/>
    <n v="1"/>
    <s v="FIJA"/>
    <s v="LOPEZ RUIZ JACQUELINE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EA-LIND-9I"/>
    <x v="11"/>
    <n v="106"/>
    <s v="LINDAVISTA"/>
    <n v="544"/>
    <s v="BTL-DC-1118"/>
    <x v="150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PAL-POLA-MF"/>
    <x v="14"/>
    <n v="1006"/>
    <s v="TIENDA POLANCO"/>
    <n v="177"/>
    <s v="BTL-DC-1038"/>
    <x v="151"/>
    <n v="1"/>
    <s v="FIJA"/>
    <n v="1"/>
    <s v="FIJA"/>
    <s v="CARRILLO XOCHIHUA XOCHITL"/>
    <s v="CIUDAD DE MÉXICO"/>
    <s v="11:00 A 7:00"/>
    <s v="JUE-MAR"/>
    <s v="JUE-MAR"/>
    <s v="MIÉRCOLES"/>
    <d v="2026-04-01T00:00:00"/>
    <d v="2026-04-30T00:00:00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25"/>
    <m/>
    <m/>
    <m/>
    <m/>
  </r>
  <r>
    <s v="BTL-SAN-DERM-1P"/>
    <x v="8"/>
    <n v="5"/>
    <s v="DERMATOLOGICO"/>
    <n v="69"/>
    <s v="BTL-DC-1120"/>
    <x v="152"/>
    <n v="1"/>
    <s v="FIJA"/>
    <n v="1"/>
    <s v="FIJA"/>
    <s v="LOPEZ ESTRADA SILVIA BERENICE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CIT-SOLE-55"/>
    <x v="5"/>
    <n v="414"/>
    <s v="CITY MARKET SOLESTA"/>
    <n v="240"/>
    <s v="BTL-DC-1122"/>
    <x v="153"/>
    <n v="1"/>
    <s v="FIJA"/>
    <n v="1"/>
    <s v="FIJA"/>
    <s v="BAUTISTA CORONA REYNA "/>
    <s v="PUEBL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MIRA-VS"/>
    <x v="3"/>
    <n v="18"/>
    <s v="MIRAMONTES"/>
    <n v="465"/>
    <s v="BTL-DC-1123"/>
    <x v="154"/>
    <n v="1"/>
    <s v="FIJA"/>
    <n v="1"/>
    <s v="FIJA"/>
    <s v="AGUIRRE CAMACHO ATZIN SUS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del 12 de marzo al 22 de abril 2026"/>
  </r>
  <r>
    <s v="BTL-FRE-S460-TM"/>
    <x v="9"/>
    <n v="460"/>
    <s v="FRESKO MONTEJO"/>
    <n v="280"/>
    <s v="BTL-DC-1185"/>
    <x v="155"/>
    <m/>
    <m/>
    <n v="0.5"/>
    <s v="ROTATIVA"/>
    <s v="FLORES SALDAÑA JAVIER"/>
    <s v="MERID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CORD-9X"/>
    <x v="8"/>
    <n v="7"/>
    <s v="CORDILLERAS"/>
    <n v="581"/>
    <s v="BTL-DC-1225"/>
    <x v="156"/>
    <n v="1"/>
    <s v="FIJA"/>
    <n v="1"/>
    <s v="FIJA"/>
    <s v="GUTIERREZ ROMERO MARUJA BETTY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MERI-7M"/>
    <x v="10"/>
    <n v="1188"/>
    <s v="MERIDA ALTABRISA"/>
    <n v="336"/>
    <s v="BTL-DC-1125"/>
    <x v="157"/>
    <n v="1"/>
    <s v="FIJA"/>
    <n v="1"/>
    <s v="FIJA"/>
    <s v="FLORES SALDAÑA JAVIER"/>
    <s v="MERID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PRAD-Q0"/>
    <x v="3"/>
    <n v="95"/>
    <s v="PRADO NORTE"/>
    <n v="401"/>
    <s v="BTL-DC-1126"/>
    <x v="158"/>
    <n v="1"/>
    <s v="FIJA"/>
    <n v="1"/>
    <s v="FIJ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PATR-RD"/>
    <x v="8"/>
    <n v="9"/>
    <s v="PATRIA UNIVERSIDAD"/>
    <n v="233"/>
    <s v="BTL-DC-1127"/>
    <x v="159"/>
    <n v="1"/>
    <s v="FIJA"/>
    <n v="1"/>
    <s v="FIJA"/>
    <s v="LOPEZ ESTRADA SILVIA BERENICE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PATR-HG"/>
    <x v="3"/>
    <n v="42"/>
    <s v="PATRIOTISMO"/>
    <n v="287"/>
    <s v="BTL-DC-1128"/>
    <x v="160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hasta el 09 de Marzo 2026 / se suma adoptado del 12 de Marzo al 22 de abril / 23 de abril a 03 de Junio"/>
  </r>
  <r>
    <s v="BTL-ESP-ABCO-7C"/>
    <x v="7"/>
    <s v="ABC OBSERVATORIO"/>
    <s v="ABC OBSERVATORIO"/>
    <n v="494"/>
    <s v="BTL-DC-1186"/>
    <x v="161"/>
    <m/>
    <m/>
    <n v="1"/>
    <s v="FIJA"/>
    <s v="MONROY GONZALEZ MARIA ZENAIDA "/>
    <s v="CIUDAD DE MÉXICO"/>
    <m/>
    <m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DOBLE CONSEJO POR ESPERA DE LIVERPOOL"/>
  </r>
  <r>
    <s v="BTL-SAN-TLAQ-10"/>
    <x v="3"/>
    <n v="164"/>
    <s v="TLAQUEPAQUE"/>
    <n v="382"/>
    <s v="BTL-DC-1229"/>
    <x v="162"/>
    <m/>
    <m/>
    <n v="1"/>
    <s v="FIJA"/>
    <s v="LOPEZ ESTRADA SILVIA BERENICE "/>
    <s v="GUADALAJARA"/>
    <s v="11:00 A 7:00"/>
    <s v="LUN-SAB"/>
    <s v="LUN-SAB"/>
    <s v="DOMINGO"/>
    <d v="2026-04-01T00:00:00"/>
    <d v="2026-04-22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m/>
    <m/>
    <m/>
    <m/>
    <m/>
    <m/>
    <m/>
    <m/>
    <n v="19"/>
    <m/>
    <m/>
    <m/>
    <s v="adoptado del 12 de marzo al 22 de abril 2026"/>
  </r>
  <r>
    <s v="BTL-SAN-AZTE-KI"/>
    <x v="3"/>
    <n v="55"/>
    <s v="AZTECAS"/>
    <n v="165"/>
    <s v="BTL-DC-1129"/>
    <x v="163"/>
    <n v="1"/>
    <s v="FIJA"/>
    <n v="1"/>
    <s v="FIJA"/>
    <s v="REYES AYBAR LILI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GUAD-EC"/>
    <x v="10"/>
    <n v="1156"/>
    <s v="GUADALAJARA GALERIAS"/>
    <n v="573"/>
    <s v="BTL-DC-1130"/>
    <x v="106"/>
    <n v="1"/>
    <s v="FIJA"/>
    <n v="0.5"/>
    <s v="ROTATIVA"/>
    <s v="GUTIERREZ ROMERO MARUJA BETTY "/>
    <s v="GUADALAJARA"/>
    <s v="11:00 A 7:00"/>
    <s v="LUN-SAB"/>
    <s v="LUN-SAB"/>
    <s v="DOMINGO"/>
    <d v="2026-04-23T00:00:00"/>
    <d v="2026-04-30T00:00:00"/>
    <m/>
    <m/>
    <m/>
    <m/>
    <m/>
    <m/>
    <m/>
    <m/>
    <m/>
    <m/>
    <m/>
    <m/>
    <m/>
    <m/>
    <m/>
    <m/>
    <m/>
    <m/>
    <m/>
    <m/>
    <m/>
    <m/>
    <n v="1"/>
    <n v="1"/>
    <n v="1"/>
    <m/>
    <n v="1"/>
    <n v="1"/>
    <n v="1"/>
    <n v="1"/>
    <n v="7"/>
    <m/>
    <m/>
    <m/>
    <m/>
  </r>
  <r>
    <s v="BTL-FRA-LAPI-J7"/>
    <x v="16"/>
    <n v="23"/>
    <s v="LAPIZLAZULI"/>
    <n v="469"/>
    <s v="BTL-DC-1131"/>
    <x v="164"/>
    <n v="1"/>
    <s v="FIJA"/>
    <n v="1"/>
    <s v="FIJA"/>
    <s v="LOPEZ ESTRADA SILVIA BERENICE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CHE-SELE-KJ"/>
    <x v="17"/>
    <n v="700"/>
    <s v="00700 CHEDRAUI SELECTO MEXICO UNIVERSIDAD 04-05"/>
    <n v="123"/>
    <s v="BTL-DC-1132"/>
    <x v="165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METE-LQ"/>
    <x v="3"/>
    <n v="39"/>
    <s v="METEPEC"/>
    <n v="82"/>
    <s v="BTL-DC-1133"/>
    <x v="166"/>
    <n v="1"/>
    <s v="FIJA"/>
    <n v="1"/>
    <s v="FIJA"/>
    <s v="FERNANDEZ SANCHEZ MIGUEL ANGEL "/>
    <s v="TOLUC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CEDR-M5"/>
    <x v="0"/>
    <s v="CLCD"/>
    <s v="CLCD CEDROS"/>
    <n v="180"/>
    <s v="BTL-DC-1134"/>
    <x v="167"/>
    <n v="1"/>
    <s v="FIJA"/>
    <n v="1"/>
    <s v="FIJA"/>
    <s v="CARREÑO MONREAL MARIA TERESA "/>
    <s v="CULIACAN"/>
    <s v="10:00 A 5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SANT-HB"/>
    <x v="0"/>
    <s v="MXTE"/>
    <s v="MXTE SANTA TERESA"/>
    <n v="248"/>
    <s v="BTL-DC-1135"/>
    <x v="168"/>
    <n v="1"/>
    <s v="FIJA"/>
    <n v="1"/>
    <s v="FIJA"/>
    <s v="CHAVEZ RAMOS  JONATAN RAYMUND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RÍOM-6V"/>
    <x v="3"/>
    <n v="173"/>
    <s v="RÍO MAYO"/>
    <n v="144"/>
    <s v="BTL-DC-1136"/>
    <x v="169"/>
    <n v="1"/>
    <s v="FIJA"/>
    <n v="1"/>
    <s v="FIJA"/>
    <s v="FLORES SALDAÑA JAVIER"/>
    <s v="CUERNAVAC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GHEN-SX"/>
    <x v="8"/>
    <n v="11"/>
    <s v="GHENZA"/>
    <n v="590"/>
    <s v="BTL-DC-1235"/>
    <x v="170"/>
    <n v="1"/>
    <s v="FIJA"/>
    <n v="1"/>
    <s v="FIJA"/>
    <s v="LOPEZ ESTRADA SILVIA BERENICE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RE-PABE-BO"/>
    <x v="9"/>
    <n v="137"/>
    <s v=" FRESKO PABELLON BOSQUES"/>
    <n v="235"/>
    <s v="BTL-DC-1139"/>
    <x v="171"/>
    <n v="1"/>
    <s v="FIJA"/>
    <n v="1"/>
    <s v="FIJA"/>
    <s v="LOPEZ RUIZ JACQUELINE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IV-PERI-SR"/>
    <x v="13"/>
    <n v="5"/>
    <s v="L PERISUR"/>
    <n v="548"/>
    <m/>
    <x v="118"/>
    <n v="1"/>
    <s v="FIJA"/>
    <m/>
    <s v="ROTATIVA"/>
    <s v="CHAVEZ RAMOS  JONATAN RAYMUNDO "/>
    <s v="CIUDAD DE MÉXICO"/>
    <s v="11:00 A 7:00"/>
    <s v="JUE-MAR"/>
    <s v="JUE-MAR"/>
    <s v="MIÉRCOLES"/>
    <d v="2026-04-01T00:00:00"/>
    <d v="2026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DOBLE CONSEJO POR ESPERA DE LIVERPOOL"/>
  </r>
  <r>
    <s v="BTL-FAH-RICA-G6"/>
    <x v="0"/>
    <s v="MTAI"/>
    <s v="MTAI RICARDO MARGAIN"/>
    <n v="345"/>
    <s v="BTL-DC-1142"/>
    <x v="172"/>
    <n v="1"/>
    <s v="FIJA"/>
    <n v="1"/>
    <s v="FIJA"/>
    <s v="ANIMAS SAUCEDO ANA CRISTINA "/>
    <s v="MONTERREY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RA-PLAZ-OS"/>
    <x v="16"/>
    <n v="20"/>
    <s v="PLAZA REVOLUCIÓN"/>
    <n v="93"/>
    <s v="BTL-DC-1143"/>
    <x v="173"/>
    <n v="1"/>
    <s v="FIJA"/>
    <n v="1"/>
    <s v="FIJA"/>
    <s v="GUTIERREZ ROMERO MARUJA BETTY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BERN-X6"/>
    <x v="3"/>
    <n v="126"/>
    <s v="BERNARDO QUINTANA"/>
    <n v="252"/>
    <s v="BTL-DC-1144"/>
    <x v="174"/>
    <n v="1"/>
    <s v="FIJA"/>
    <n v="1"/>
    <s v="FIJA"/>
    <s v="FLORES SALDAÑA JAVIER"/>
    <s v="QUERETAR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REFO-UI"/>
    <x v="10"/>
    <n v="1187"/>
    <s v="REFORMA 222"/>
    <n v="452"/>
    <s v="BTL-DC-1145"/>
    <x v="175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IV-POLA-NC"/>
    <x v="13"/>
    <n v="3"/>
    <s v="L POLANCO"/>
    <n v="482"/>
    <s v="BTL-DC-1184"/>
    <x v="176"/>
    <n v="1"/>
    <s v="FIJA"/>
    <n v="1"/>
    <s v="FIJA"/>
    <s v="MONROY GONZALEZ MARIA ZENAIDA "/>
    <s v="CIUDAD DE MÉXICO"/>
    <s v="11:00 A 7:00"/>
    <s v="JUE-MAR"/>
    <s v="JUE-MAR"/>
    <s v="MIÉRCOLES"/>
    <d v="2026-04-01T00:00:00"/>
    <d v="2026-04-30T00:00:00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25"/>
    <m/>
    <m/>
    <m/>
    <m/>
  </r>
  <r>
    <s v="BTL-SAN-PLAZ-ZY"/>
    <x v="10"/>
    <n v="1060"/>
    <s v="PLAZA RIO"/>
    <n v="485"/>
    <s v="BTL-DC-1147"/>
    <x v="177"/>
    <n v="1"/>
    <s v="FIJA"/>
    <n v="1"/>
    <s v="FIJA"/>
    <s v="LOPEZ GUTIERREZ LUZ EVELIA "/>
    <s v="TIJUAN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PARQ-9U"/>
    <x v="10"/>
    <n v="1169"/>
    <s v="PARQUE DELTA"/>
    <n v="509"/>
    <s v="BTL-DC-1148"/>
    <x v="178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NO COBRA PRIMA DOMINICAL"/>
  </r>
  <r>
    <s v="BTL-SAN-ALBI-5R"/>
    <x v="3"/>
    <n v="121"/>
    <s v="ALBINO CORZO"/>
    <n v="121"/>
    <s v="BTL-DC-1149"/>
    <x v="179"/>
    <n v="1"/>
    <s v="FIJA"/>
    <n v="1"/>
    <s v="FIJA"/>
    <s v="REYES AYBAR LILI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04 23 abril al 03 Junio"/>
  </r>
  <r>
    <s v="BTL-FAH-INGL-YE"/>
    <x v="0"/>
    <s v="MXII"/>
    <s v="MXII INGLATERRA"/>
    <n v="591"/>
    <s v="BTL-DC-1236"/>
    <x v="180"/>
    <n v="1"/>
    <s v="FIJA"/>
    <n v="1"/>
    <s v="FIJA"/>
    <s v="ESTRADA NAVA MIRIAM ROCI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AC-DELV-RM"/>
    <x v="6"/>
    <n v="431"/>
    <s v="431 - LA COMER DEL VALLE"/>
    <n v="76"/>
    <s v="BTL-DC-1150"/>
    <x v="181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UDLA-VS"/>
    <x v="0"/>
    <s v="PEUD"/>
    <s v="PEUD UDLA 5 DE MAYO"/>
    <n v="523"/>
    <s v="BTL-DC-1152"/>
    <x v="182"/>
    <n v="1"/>
    <s v="FIJA"/>
    <n v="1"/>
    <s v="FIJA"/>
    <s v="BAUTISTA CORONA REYNA "/>
    <s v="PUEBL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DOMI-VR"/>
    <x v="3"/>
    <n v="172"/>
    <s v="DOMINGO DIEZ"/>
    <n v="143"/>
    <s v="BTL-DC-1153"/>
    <x v="183"/>
    <n v="1"/>
    <s v="FIJA"/>
    <n v="1"/>
    <s v="FIJA"/>
    <s v="FLORES SALDAÑA JAVIER"/>
    <s v="CUERNAVAC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CUAU-AK"/>
    <x v="3"/>
    <n v="9"/>
    <s v="CUAUTITLAN IZCALLI"/>
    <n v="316"/>
    <s v="BTL-DC-1154"/>
    <x v="184"/>
    <n v="1"/>
    <s v="FIJA"/>
    <n v="1"/>
    <s v="FIJA"/>
    <s v="REYES AYBAR LILI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MEXI-4H"/>
    <x v="3"/>
    <n v="85"/>
    <s v="MEXICO TACUBA"/>
    <n v="138"/>
    <s v="BTL-DC-1155"/>
    <x v="185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04 23 abril al 03 Junio"/>
  </r>
  <r>
    <s v="BTL-SAN-JESU-BC"/>
    <x v="3"/>
    <n v="130"/>
    <s v="JESUS DEL MONTE"/>
    <n v="114"/>
    <s v="BTL-DC-1227"/>
    <x v="142"/>
    <n v="1"/>
    <s v="FIJA"/>
    <n v="0.5"/>
    <s v="ROTATIVA"/>
    <s v="LOPEZ RUIZ JACQUELINE"/>
    <s v="CIUDAD DE MÉXICO"/>
    <s v="11:00 A 7:00"/>
    <s v="LUN-SAB"/>
    <s v="LUN-SAB"/>
    <s v="DOMINGO"/>
    <d v="2026-04-23T00:00:00"/>
    <d v="2026-04-30T00:00:00"/>
    <m/>
    <m/>
    <m/>
    <m/>
    <m/>
    <m/>
    <m/>
    <m/>
    <m/>
    <m/>
    <m/>
    <m/>
    <m/>
    <m/>
    <m/>
    <m/>
    <m/>
    <m/>
    <m/>
    <m/>
    <m/>
    <m/>
    <n v="1"/>
    <n v="1"/>
    <n v="1"/>
    <m/>
    <n v="1"/>
    <n v="1"/>
    <n v="1"/>
    <n v="1"/>
    <n v="7"/>
    <m/>
    <m/>
    <m/>
    <m/>
  </r>
  <r>
    <s v="BTL-LAC-BOSQ-W3"/>
    <x v="6"/>
    <n v="375"/>
    <s v="LA COMER BOSQUE ESMERALDA"/>
    <n v="575"/>
    <s v="BTL-DC-1157"/>
    <x v="186"/>
    <n v="1"/>
    <s v="FIJA"/>
    <n v="1"/>
    <s v="FIJ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ELRE-B5"/>
    <x v="3"/>
    <n v="135"/>
    <s v="EL REFUGIO"/>
    <n v="441"/>
    <s v="BTL-DC-1158"/>
    <x v="187"/>
    <n v="1"/>
    <s v="FIJA"/>
    <n v="1"/>
    <s v="FIJA"/>
    <s v="FLORES SALDAÑA JAVIER"/>
    <s v="QUERETAR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del 12 de marzo al 22 de abril 2026"/>
  </r>
  <r>
    <s v="BTL-PAL-SATE-0F"/>
    <x v="14"/>
    <m/>
    <s v="SATELITE"/>
    <n v="196"/>
    <s v="BTL-DC-1042"/>
    <x v="188"/>
    <n v="1"/>
    <s v="FIJA"/>
    <n v="1"/>
    <s v="FIJ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MARI-2P"/>
    <x v="0"/>
    <s v="HRMA"/>
    <s v="HRMA MARIA MORELOS"/>
    <n v="131"/>
    <s v="BTL-DC-1163"/>
    <x v="189"/>
    <n v="1"/>
    <s v="FIJA"/>
    <n v="1"/>
    <s v="FIJA"/>
    <s v="LOPEZ GUTIERREZ LUZ EVELIA "/>
    <s v="HERMOSILL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IV-MERI-OO"/>
    <x v="13"/>
    <n v="458"/>
    <s v="L MERIDA CABO NORTE"/>
    <n v="280"/>
    <m/>
    <x v="155"/>
    <n v="1"/>
    <s v="FIJA"/>
    <m/>
    <s v="ROTATIVA"/>
    <s v="FLORES SALDAÑA JAVIER"/>
    <s v="MERIDA"/>
    <s v="11:00 A 7:00"/>
    <s v="JUE-MAR"/>
    <s v="JUE-MAR"/>
    <s v="MIÉRCOLES"/>
    <d v="2026-04-01T00:00:00"/>
    <d v="2026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DOBLE CONSEJO POR ESPERA DE LIVERPOOL"/>
  </r>
  <r>
    <s v="BTL-FAH-JARD-QA"/>
    <x v="0"/>
    <s v="PEJS"/>
    <s v="PEJS JARDINES DE SAN MANUEL"/>
    <n v="87"/>
    <s v="BTL-DC-1165"/>
    <x v="190"/>
    <n v="1"/>
    <s v="FIJA"/>
    <n v="1"/>
    <s v="FIJA"/>
    <s v="BAUTISTA CORONA REYNA "/>
    <s v="PUEBL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JURI-2H"/>
    <x v="3"/>
    <n v="140"/>
    <s v="JURIQUILLA"/>
    <n v="364"/>
    <s v="BTL-DC-1167"/>
    <x v="191"/>
    <n v="1"/>
    <s v="FIJA"/>
    <n v="1"/>
    <s v="FIJA"/>
    <s v="FLORES SALDAÑA JAVIER"/>
    <s v="QUERETARO"/>
    <s v="11:00 A 7:00"/>
    <s v="LUN-SAB"/>
    <s v="LUN-SAB"/>
    <s v="DOMINGO"/>
    <d v="2026-04-01T00:00:00"/>
    <d v="2026-04-22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del 12 de marzo al 22 de abril 2026"/>
  </r>
  <r>
    <s v="BTL-LIV-SANT-FE"/>
    <x v="13"/>
    <n v="7"/>
    <s v="L  SANTA FE"/>
    <n v="494"/>
    <m/>
    <x v="161"/>
    <n v="1"/>
    <s v="FIJA"/>
    <m/>
    <s v="ROTATIVA"/>
    <s v="MONROY GONZALEZ MARIA ZENAIDA "/>
    <s v="CIUDAD DE MÉXICO"/>
    <s v="11:00 A 7:00"/>
    <s v="JUE-MAR"/>
    <s v="JUE-MAR"/>
    <s v="MIÉRCOLES"/>
    <d v="2026-04-01T00:00:00"/>
    <d v="2026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DOBLE CONSEJO POR ESPERA DE LIVERPOOL"/>
  </r>
  <r>
    <s v="BTL-FAH-BUGA-4S"/>
    <x v="0"/>
    <s v="GDBU"/>
    <s v="GDBU BUGAMBILIAS LOS PINOS"/>
    <n v="153"/>
    <s v="BTL-DC-1169"/>
    <x v="192"/>
    <n v="1"/>
    <s v="FIJA"/>
    <n v="1"/>
    <s v="FIJA"/>
    <s v="LOPEZ ESTRADA SILVIA BERENICE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SANB-V2"/>
    <x v="0"/>
    <s v="MXSB"/>
    <s v="MXSB SAN BORJA"/>
    <n v="365"/>
    <s v="BTL-DC-1170"/>
    <x v="193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POLA-XC"/>
    <x v="3"/>
    <n v="12"/>
    <s v="POLANCO"/>
    <n v="166"/>
    <s v="BTL-DC-1171"/>
    <x v="194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BEN-PLAZ-D7"/>
    <x v="1"/>
    <s v="N266"/>
    <s v="PLAZA OASIS"/>
    <n v="73"/>
    <s v="BTL-DC-1172"/>
    <x v="195"/>
    <n v="1"/>
    <s v="FIJA"/>
    <n v="1"/>
    <s v="FIJA"/>
    <s v="ESTRADA NAVA MIRIAM ROCI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BEN-FELI-76"/>
    <x v="1"/>
    <s v="M821"/>
    <s v="FELIX CUEVAS"/>
    <n v="195"/>
    <s v="BTL-DC-1173"/>
    <x v="196"/>
    <n v="1"/>
    <s v="FIJA"/>
    <n v="1"/>
    <s v="FIJA"/>
    <s v="ESTRADA NAVA MIRIAM ROCI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CUAU-0E"/>
    <x v="0"/>
    <s v="MXCU"/>
    <s v="MXCU CUAUTITLAN"/>
    <n v="99"/>
    <s v="BTL-DC-1175"/>
    <x v="197"/>
    <n v="1"/>
    <s v="FIJA"/>
    <n v="1"/>
    <s v="FIJA"/>
    <s v="REYES AYBAR LILI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RA-DIV.-T8"/>
    <x v="16"/>
    <n v="18"/>
    <s v="DIV. NORTE"/>
    <n v="413"/>
    <s v="BTL-DC-1176"/>
    <x v="198"/>
    <n v="1"/>
    <s v="FIJA"/>
    <n v="1"/>
    <s v="FIJA"/>
    <s v="LOPEZ ESTRADA SILVIA BERENICE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AC-VILL-K2"/>
    <x v="6"/>
    <n v="55"/>
    <s v="LA COMER VILLA COAPA"/>
    <n v="126"/>
    <s v="BTL-DC-1177"/>
    <x v="199"/>
    <n v="1"/>
    <s v="FIJA"/>
    <n v="1"/>
    <s v="FIJA"/>
    <s v="ESTRADA NAVA MIRIAM ROCI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BEN-SUC.-9D"/>
    <x v="1"/>
    <s v="N718"/>
    <s v="N718-SUC. MASARYK T1"/>
    <n v="173"/>
    <s v="BTL-DC-1178"/>
    <x v="200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AC-ANGE-GY"/>
    <x v="6"/>
    <n v="422"/>
    <s v=" LA COMER ANGELOPOLIS"/>
    <n v="394"/>
    <s v="BTL-DC-1179"/>
    <x v="201"/>
    <n v="1"/>
    <s v="FIJA"/>
    <n v="1"/>
    <s v="FIJA"/>
    <s v="BAUTISTA CORONA REYNA "/>
    <s v="PUEBL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ALAM-44"/>
    <x v="3"/>
    <n v="28"/>
    <s v="ALAMEDAS"/>
    <n v="307"/>
    <s v="BTL-DC-1180"/>
    <x v="202"/>
    <n v="1"/>
    <s v="FIJA"/>
    <n v="1"/>
    <s v="FIJ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CHE-INTE-DL"/>
    <x v="17"/>
    <n v="200"/>
    <s v="00200 CHEDRAUI SELECTO MEXICO INTERLOMAS 04-05"/>
    <n v="587"/>
    <s v="BTL-DC-1232"/>
    <x v="203"/>
    <n v="1"/>
    <s v="FIJA"/>
    <n v="1"/>
    <s v="FIJA"/>
    <s v="LOPEZ RUIZ JACQUELINE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PLAZ-J4"/>
    <x v="8"/>
    <n v="10"/>
    <s v="PLAZA DEL SOL"/>
    <n v="470"/>
    <s v="BTL-DC-1181"/>
    <x v="204"/>
    <n v="1"/>
    <s v="FIJA"/>
    <n v="1"/>
    <s v="FIJA"/>
    <s v="LOPEZ ESTRADA SILVIA BERENICE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MISS-YT"/>
    <x v="0"/>
    <s v="MTMR"/>
    <s v="MTMR MISSOURI"/>
    <n v="135"/>
    <s v="BTL-DC-1182"/>
    <x v="205"/>
    <n v="1"/>
    <s v="FIJA"/>
    <n v="1"/>
    <s v="FIJA"/>
    <s v="ANIMAS SAUCEDO ANA CRISTINA "/>
    <s v="MONTERREY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PAL-POLA-MF"/>
    <x v="14"/>
    <n v="1006"/>
    <s v="TIENDA POLANCO"/>
    <n v="116"/>
    <s v="BTL-DC-1043"/>
    <x v="206"/>
    <n v="1"/>
    <s v="FIJA"/>
    <n v="1"/>
    <s v="FIJ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PAL-CANC-GP"/>
    <x v="14"/>
    <m/>
    <s v="CANCUN"/>
    <n v="517"/>
    <s v="BTL-DC-1068"/>
    <x v="207"/>
    <n v="1"/>
    <s v="FIJA"/>
    <n v="1"/>
    <s v="FIJA"/>
    <s v="FLORES SALDAÑA JAVIER"/>
    <s v="CANCUN"/>
    <s v="11:00 A 7:00"/>
    <s v="JUE-MAR"/>
    <s v="JUE-MAR"/>
    <s v="MIÉRCOLES"/>
    <d v="2026-04-01T00:00:00"/>
    <d v="2026-04-30T00:00:00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25"/>
    <m/>
    <m/>
    <m/>
    <m/>
  </r>
  <r>
    <s v="BTL-PAL-SANT-FZ"/>
    <x v="14"/>
    <n v="1008"/>
    <s v="TIENDA SANTA FE"/>
    <n v="155"/>
    <s v="BTL-DC-1080"/>
    <x v="208"/>
    <n v="1"/>
    <s v="FIJA"/>
    <n v="1"/>
    <s v="FIJA"/>
    <s v="MONROY GONZALEZ MARIA ZENAIDA "/>
    <s v="CIUDAD DE MÉXICO"/>
    <s v="11:00 A 7:00"/>
    <s v="JUE-MAR"/>
    <s v="JUE-MAR"/>
    <s v="MIÉRCOLES"/>
    <d v="2026-04-01T00:00:00"/>
    <d v="2026-04-30T00:00:00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25"/>
    <m/>
    <m/>
    <m/>
    <m/>
  </r>
  <r>
    <s v="BTL-ESP-DIVI-F6"/>
    <x v="7"/>
    <s v="DIVISION DEL NORTE"/>
    <s v="DIVISION DEL NORTE"/>
    <n v="65"/>
    <s v="BTL-DC-1187"/>
    <x v="209"/>
    <n v="1"/>
    <s v="FIJA"/>
    <n v="1"/>
    <s v="FIJA"/>
    <s v="ESTRADA NAVA MIRIAM ROCI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IV-TOLU-CA"/>
    <x v="13"/>
    <n v="140"/>
    <s v="L TOLUCA"/>
    <n v="241"/>
    <s v="BTL-DC-1188"/>
    <x v="210"/>
    <n v="1"/>
    <s v="FIJA"/>
    <n v="1"/>
    <s v="FIJA"/>
    <s v="FERNANDEZ SANCHEZ MIGUEL ANGEL "/>
    <s v="TOLUCA"/>
    <s v="11:00 A 7:00"/>
    <s v="JUE-MAR"/>
    <s v="JUE-MAR"/>
    <s v="MIÉRCOLES"/>
    <d v="2026-04-01T00:00:00"/>
    <d v="2026-04-30T00:00:00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25"/>
    <m/>
    <m/>
    <m/>
    <m/>
  </r>
  <r>
    <s v="BTL-HEB-SANP-S1"/>
    <x v="2"/>
    <n v="2993"/>
    <s v="SAN PATRICIO"/>
    <n v="455"/>
    <s v="BTL-DC-1189"/>
    <x v="211"/>
    <n v="1"/>
    <s v="FIJA"/>
    <n v="1"/>
    <s v="FIJA"/>
    <s v="FLORES SALDAÑA JAVIER"/>
    <s v="COAHUIL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RA-PLAZ-TB"/>
    <x v="16"/>
    <n v="16"/>
    <s v="PLAZA PATRIA F"/>
    <n v="500"/>
    <s v="BTL-DC-1190"/>
    <x v="212"/>
    <n v="1"/>
    <s v="FIJA"/>
    <n v="1"/>
    <s v="FIJA"/>
    <s v="LOPEZ ESTRADA SILVIA BERENICE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EJER-EN"/>
    <x v="3"/>
    <n v="53"/>
    <s v="EJERCITO NACIONAL"/>
    <n v="545"/>
    <s v="BTL-DC-1191"/>
    <x v="213"/>
    <n v="1"/>
    <s v="FIJA"/>
    <n v="1"/>
    <s v="FIJA"/>
    <s v="CARRILLO XOCHIHUA XOCHIT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AC-JURI-HK"/>
    <x v="6"/>
    <n v="445"/>
    <s v="445 - LA COMER JURIQUILLA"/>
    <n v="85"/>
    <s v="BTL-DC-1192"/>
    <x v="214"/>
    <n v="1"/>
    <s v="FIJA"/>
    <n v="1"/>
    <s v="FIJA"/>
    <s v="FLORES SALDAÑA JAVIER"/>
    <s v="QUERETAR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VIAV-ME"/>
    <x v="10"/>
    <n v="1226"/>
    <s v="VIA VALLEJO"/>
    <n v="502"/>
    <s v="BTL-DC-1194"/>
    <x v="215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AC-INSU-YU"/>
    <x v="6"/>
    <n v="420"/>
    <s v="420 - LA COMER INSURGENTES"/>
    <n v="306"/>
    <s v="BTL-DC-1195"/>
    <x v="216"/>
    <n v="1"/>
    <s v="FIJA"/>
    <n v="1"/>
    <s v="FIJA"/>
    <s v="MONTAGNER OLIVARES MIGUEL ANGEL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TOLU-VV"/>
    <x v="3"/>
    <n v="38"/>
    <s v="TOLUCA"/>
    <n v="31"/>
    <s v="BTL-DC-1196"/>
    <x v="217"/>
    <n v="1"/>
    <s v="FIJA"/>
    <n v="1"/>
    <s v="FIJA"/>
    <s v="FERNANDEZ SANCHEZ MIGUEL ANGEL "/>
    <s v="TOLUC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RIOP-LP"/>
    <x v="0"/>
    <s v="MTRP"/>
    <s v="MTRP RIO DE LA PLATA"/>
    <n v="264"/>
    <s v="BTL-DC-1198"/>
    <x v="218"/>
    <n v="1"/>
    <s v="FIJA"/>
    <n v="1"/>
    <s v="FIJA"/>
    <s v="ANIMAS SAUCEDO ANA CRISTINA "/>
    <s v="MONTERREY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SANF-OV"/>
    <x v="3"/>
    <n v="4"/>
    <s v="SAN FERNANDO"/>
    <n v="549"/>
    <s v="BTL-DC-1201"/>
    <x v="219"/>
    <n v="1"/>
    <s v="FIJA"/>
    <n v="1"/>
    <s v="FIJA"/>
    <s v="CHAVEZ RAMOS  JONATAN RAYMUND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FAH-BASI-K2"/>
    <x v="0"/>
    <s v="MXBS"/>
    <s v="MXBS BASILICA"/>
    <n v="335"/>
    <s v="BTL-DC-1204"/>
    <x v="220"/>
    <n v="1"/>
    <s v="FIJA"/>
    <n v="1"/>
    <s v="FIJA"/>
    <s v="REYES AYBAR LILI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BEN-SUC.-A0"/>
    <x v="1"/>
    <s v="N564"/>
    <s v="N564-SUC. DARWIN"/>
    <n v="557"/>
    <s v="BTL-DC-1205"/>
    <x v="221"/>
    <n v="1"/>
    <s v="FIJA"/>
    <n v="1"/>
    <s v="FIJA"/>
    <s v="MONROY GONZALEZ MARIA ZENAIDA "/>
    <s v="CIUDAD DE MÉXICO"/>
    <s v="12:00 A 8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AC-COYO-1J"/>
    <x v="6"/>
    <n v="287"/>
    <s v=" LA COMER COYOACAN"/>
    <n v="303"/>
    <s v="BTL-DC-1207"/>
    <x v="222"/>
    <n v="1"/>
    <s v="FIJA"/>
    <n v="1"/>
    <s v="FIJA"/>
    <s v="ESTRADA NAVA MIRIAM ROCI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EA-ANGE-4X"/>
    <x v="11"/>
    <n v="111"/>
    <s v="ANGELOPOLIS"/>
    <n v="208"/>
    <s v="BTL-DC-1220"/>
    <x v="223"/>
    <m/>
    <m/>
    <n v="1"/>
    <s v="FIJA"/>
    <s v="BAUTISTA CORONA REYNA "/>
    <s v="PUEBLA"/>
    <s v="11:00 A 7:00"/>
    <s v="LUN-MAR-MIE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DOBLE CONSEJO POR ESPERA DE LIVERPOOL"/>
  </r>
  <r>
    <s v="BTL-SAN-TLAL-CX"/>
    <x v="3"/>
    <n v="56"/>
    <s v="TLALPAN"/>
    <n v="137"/>
    <s v="BTL-DC-1208"/>
    <x v="224"/>
    <n v="1"/>
    <s v="FIJA"/>
    <n v="1"/>
    <s v="FIJA"/>
    <s v="CHAVEZ RAMOS  JONATAN RAYMUND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LAVI-LM"/>
    <x v="3"/>
    <n v="51"/>
    <s v="LA VIGA"/>
    <n v="117"/>
    <s v="BTL-DC-1209"/>
    <x v="225"/>
    <n v="1"/>
    <s v="FIJA"/>
    <n v="1"/>
    <s v="FIJA"/>
    <s v="AGUIRRE CAMACHO ATZIN SUS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BEN-SUC.-G8"/>
    <x v="1"/>
    <s v="N748"/>
    <s v="N748-SUC. GALERÍAS MONTERREY"/>
    <n v="26"/>
    <s v="BTL-DC-1211"/>
    <x v="226"/>
    <n v="1"/>
    <s v="FIJA"/>
    <n v="1"/>
    <s v="FIJA"/>
    <s v="ALVAREZ GARCIA ADRIANA YULISMA"/>
    <s v="MONTERREY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BEN-SUC.-X3"/>
    <x v="1"/>
    <s v="N019"/>
    <s v="N019-SUC. TAINE"/>
    <n v="505"/>
    <s v="BTL-DC-1212"/>
    <x v="227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IMAN-7X"/>
    <x v="3"/>
    <n v="32"/>
    <s v="IMAN"/>
    <n v="243"/>
    <s v="BTL-DC-1213"/>
    <x v="228"/>
    <n v="1"/>
    <s v="FIJA"/>
    <n v="1"/>
    <s v="FIJA"/>
    <s v="CHAVEZ RAMOS  JONATAN RAYMUND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04 23 abril al 03 Junio"/>
  </r>
  <r>
    <s v="BTL-LAC-CUER-QM"/>
    <x v="6"/>
    <n v="163"/>
    <s v="163 - LA COMER CUERNAVACA DIANA"/>
    <n v="374"/>
    <s v="BTL-DC-1214"/>
    <x v="229"/>
    <n v="1"/>
    <s v="FIJA"/>
    <n v="1"/>
    <s v="FIJA"/>
    <s v="FLORES SALDAÑA JAVIER"/>
    <s v="CUERNAVAC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HEB-AGUA-3X"/>
    <x v="2"/>
    <n v="2985"/>
    <s v="AGUASCALIENTES"/>
    <n v="146"/>
    <s v="BTL-DC-1215"/>
    <x v="230"/>
    <n v="1"/>
    <s v="FIJA"/>
    <n v="1"/>
    <s v="FIJA"/>
    <s v="FLORES SALDAÑA JAVIER"/>
    <s v="AGUASCALIENTES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EA-RIO-R1"/>
    <x v="11"/>
    <n v="51"/>
    <s v="RIO"/>
    <n v="371"/>
    <s v="BTL-DC-1217"/>
    <x v="231"/>
    <n v="1"/>
    <s v="FIJA"/>
    <n v="1"/>
    <s v="FIJA"/>
    <s v="LOPEZ GUTIERREZ LUZ EVELIA "/>
    <s v="TIJUAN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CHE-SAMA-JW"/>
    <x v="17"/>
    <n v="2600"/>
    <s v="02600 SUPER CHEDRAUI SELECTO MEX. SAMARA 11-11"/>
    <n v="558"/>
    <s v="BTL-DC-1218"/>
    <x v="232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IV-PUEB-LA"/>
    <x v="13"/>
    <n v="72"/>
    <s v="L PUEBLA"/>
    <n v="208"/>
    <m/>
    <x v="223"/>
    <n v="1"/>
    <s v="FIJA"/>
    <m/>
    <s v="ROTATIVA"/>
    <s v="BAUTISTA CORONA REYNA "/>
    <s v="PUEBLA"/>
    <s v="11:00 A 7:00"/>
    <s v="JUE-MAR"/>
    <s v="JUE-MAR"/>
    <s v="MIÉRCOLES"/>
    <d v="2026-04-01T00:00:00"/>
    <d v="2026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DOBLE CONSEJO POR ESPERA DE LIVERPOOL"/>
  </r>
  <r>
    <s v="BTL-SAN-AVTO-2V"/>
    <x v="3"/>
    <n v="99"/>
    <s v="AV TOLUCA"/>
    <n v="98"/>
    <s v="BTL-DC-1221"/>
    <x v="233"/>
    <n v="1"/>
    <s v="FIJA"/>
    <n v="1"/>
    <s v="FIJA"/>
    <s v="CHAVEZ RAMOS  JONATAN RAYMUNDO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s v="adoptado del 12 de marzo al 22 de abril 2026"/>
  </r>
  <r>
    <s v="BTL-SAN-ARAG-2W"/>
    <x v="3"/>
    <n v="27"/>
    <s v="ARAGON"/>
    <n v="414"/>
    <s v="BTL-DC-1222"/>
    <x v="234"/>
    <n v="1"/>
    <s v="FIJA"/>
    <n v="1"/>
    <s v="FIJA"/>
    <s v="REYES AYBAR LILIAN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AN-CONS-WD"/>
    <x v="3"/>
    <n v="127"/>
    <s v="PLAZA CONSTITUYENTES"/>
    <m/>
    <m/>
    <x v="53"/>
    <n v="1"/>
    <s v="FIJA"/>
    <n v="0.5"/>
    <s v="ROTATIVA"/>
    <s v="FLORES SALDAÑA JAVIER"/>
    <s v="QUERETARO"/>
    <s v="11:00 A 7:00"/>
    <s v="LUN-SAB"/>
    <s v="LUN-SAB"/>
    <s v="DOMINGO"/>
    <d v="2026-04-23T00:00:00"/>
    <d v="2026-04-30T00:00:00"/>
    <m/>
    <m/>
    <m/>
    <m/>
    <m/>
    <m/>
    <m/>
    <m/>
    <m/>
    <m/>
    <m/>
    <m/>
    <m/>
    <m/>
    <m/>
    <m/>
    <m/>
    <m/>
    <m/>
    <m/>
    <m/>
    <m/>
    <n v="1"/>
    <n v="1"/>
    <n v="1"/>
    <m/>
    <n v="1"/>
    <n v="1"/>
    <n v="1"/>
    <n v="1"/>
    <n v="7"/>
    <m/>
    <m/>
    <m/>
    <m/>
  </r>
  <r>
    <s v="BTL-LIV-GUAD-7E"/>
    <x v="13"/>
    <n v="78"/>
    <s v="L GUADALAJARA"/>
    <m/>
    <m/>
    <x v="53"/>
    <n v="0.5"/>
    <s v="ROTATIVA"/>
    <n v="0.5"/>
    <s v="ROTATIVA"/>
    <s v="GUTIERREZ ROMERO MARUJA BETTY "/>
    <s v="GUADALAJARA"/>
    <s v="11:00 A 7:00"/>
    <s v="JUE-VIE-SAB"/>
    <s v="JUE-VIE-SAB"/>
    <s v="MIÉRCOLES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LIV-LZAP-J5"/>
    <x v="13"/>
    <n v="135"/>
    <s v="L ZAPOPAN"/>
    <m/>
    <m/>
    <x v="53"/>
    <n v="0.5"/>
    <s v="ROTATIVA"/>
    <n v="0.5"/>
    <s v="ROTATIVA"/>
    <s v="GUTIERREZ ROMERO MARUJA BETTY "/>
    <s v="GUADALAJARA"/>
    <s v="11:00 A 7:00"/>
    <s v="DOM-LUN-MAR"/>
    <s v="DOM-LUN-MAR"/>
    <s v="MIÉRCOLES"/>
    <d v="2026-04-01T00:00:00"/>
    <d v="2026-04-30T00:00:00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n v="12"/>
    <m/>
    <m/>
    <m/>
    <m/>
  </r>
  <r>
    <s v="BTL-FRA-JARD-H3"/>
    <x v="16"/>
    <n v="390"/>
    <s v="JARDIN REAL"/>
    <m/>
    <m/>
    <x v="53"/>
    <n v="1"/>
    <s v="FIJA"/>
    <n v="1"/>
    <s v="FIJA"/>
    <s v="GUTIERREZ ROMERO MARUJA BETTY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SEA-GUAD-ZV"/>
    <x v="11"/>
    <n v="226"/>
    <s v="GUADALAJARA GALERIAS"/>
    <m/>
    <m/>
    <x v="53"/>
    <n v="1"/>
    <s v="FIJA"/>
    <n v="1"/>
    <s v="FIJA"/>
    <s v="GUTIERREZ ROMERO MARUJA BETTY "/>
    <s v="GUADALAJARA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IV-TLAQ-3W"/>
    <x v="13"/>
    <n v="70"/>
    <s v="L TLAQUEPAQUE"/>
    <m/>
    <m/>
    <x v="53"/>
    <n v="0.5"/>
    <s v="ROTATIVA"/>
    <n v="0.5"/>
    <s v="ROTATIVA"/>
    <s v="LOPEZ ESTRADA SILVIA BERENICE "/>
    <s v="GUADALAJARA"/>
    <s v="11:00 A 7:00"/>
    <s v="DOM-LUN-MAR"/>
    <s v="DOM-LUN-MAR"/>
    <s v="MIÉRCOLES"/>
    <d v="2026-04-01T00:00:00"/>
    <d v="2026-04-30T00:00:00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n v="12"/>
    <m/>
    <m/>
    <m/>
    <m/>
  </r>
  <r>
    <s v="BTL-LIV-ZAPO-DM"/>
    <x v="13"/>
    <n v="135"/>
    <s v="L GUADALAJARA OBLATOS"/>
    <m/>
    <m/>
    <x v="53"/>
    <n v="0.5"/>
    <s v="ROTATIVA"/>
    <n v="0.5"/>
    <s v="ROTATIVA"/>
    <s v="LOPEZ ESTRADA SILVIA BERENICE "/>
    <s v="GUADALAJARA"/>
    <s v="11:00 A 7:00"/>
    <s v="JUE-VIE-SAB"/>
    <s v="JUE-VIE-SAB"/>
    <s v="MIÉRCOLES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FAH-LUIS-9S"/>
    <x v="0"/>
    <s v="MXBN"/>
    <s v="MXBN LUIS BARRAGAN"/>
    <m/>
    <m/>
    <x v="53"/>
    <n v="0.5"/>
    <s v="ROTATIVA"/>
    <n v="0.5"/>
    <s v="ROTATIVA"/>
    <s v="MONROY GONZALEZ MARIA ZENAIDA "/>
    <s v="CIUDAD DE MÉXICO"/>
    <s v="11:00 A 7:00"/>
    <s v="LUN-MAR-MIE"/>
    <s v="LUN-MAR-MIE"/>
    <s v="DOMINGO"/>
    <d v="2026-04-01T00:00:00"/>
    <d v="2026-04-30T00:00:00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n v="13"/>
    <m/>
    <m/>
    <m/>
    <m/>
  </r>
  <r>
    <s v="BTL-FAH-POLA-HM"/>
    <x v="0"/>
    <s v="MXPC"/>
    <s v="MXPC POLANCO"/>
    <m/>
    <m/>
    <x v="53"/>
    <n v="0.5"/>
    <s v="ROTATIVA"/>
    <n v="0.5"/>
    <s v="ROTATIVA"/>
    <s v="MONROY GONZALEZ MARIA ZENAIDA "/>
    <s v="CIUDAD DE MÉXICO"/>
    <s v="11:00 A 7:00"/>
    <s v="JUE-VIE-SAB"/>
    <s v="JUE-VIE-SAB"/>
    <s v="DOMINGO"/>
    <d v="2026-04-01T00:00:00"/>
    <d v="2026-04-30T00:00:00"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"/>
    <n v="1"/>
    <m/>
    <m/>
    <m/>
    <m/>
    <n v="1"/>
    <n v="13"/>
    <m/>
    <m/>
    <m/>
    <m/>
  </r>
  <r>
    <s v="BTL-CHE-SELE-WS"/>
    <x v="17"/>
    <n v="500"/>
    <s v="00500 CHEDRAUI SELECTO MEXICO SANTA FE 09-13"/>
    <m/>
    <m/>
    <x v="53"/>
    <n v="1"/>
    <s v="FIJA"/>
    <n v="1"/>
    <s v="FIJA"/>
    <s v="MONROY GONZALEZ MARIA ZENAIDA "/>
    <s v="CIUDAD DE MÉXIC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HEB-IRAP-TT"/>
    <x v="2"/>
    <n v="2918"/>
    <s v="IRAPUATO"/>
    <m/>
    <m/>
    <x v="53"/>
    <n v="1"/>
    <s v="FIJA"/>
    <n v="1"/>
    <s v="FIJA"/>
    <s v="VACANTE"/>
    <s v="IRAPUATO"/>
    <s v="11:00 A 7:00"/>
    <s v="LUN-SAB"/>
    <s v="LUN-SAB"/>
    <s v="DOMINGO"/>
    <d v="2026-04-01T00:00:00"/>
    <d v="2026-04-30T00:00:00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26"/>
    <m/>
    <m/>
    <m/>
    <m/>
  </r>
  <r>
    <s v="BTL-LIV-LEON-JX"/>
    <x v="13"/>
    <n v="166"/>
    <s v="L LEON ALTACIA"/>
    <m/>
    <m/>
    <x v="53"/>
    <n v="1"/>
    <s v="FIJA"/>
    <n v="1"/>
    <s v="FIJA"/>
    <s v="VACANTE"/>
    <s v="GUANAJUATO"/>
    <s v="11:00 A 7:00"/>
    <s v="JUE-MAR"/>
    <s v="JUE-MAR"/>
    <s v="MIÉRCOLES"/>
    <d v="2026-04-01T00:00:00"/>
    <d v="2026-04-30T00:00:00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1"/>
    <n v="1"/>
    <n v="1"/>
    <n v="1"/>
    <n v="1"/>
    <m/>
    <n v="1"/>
    <n v="2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7922D-5694-414F-A859-9175F8562A97}" name="TablaDinámica6" cacheId="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2" firstHeaderRow="1" firstDataRow="1" firstDataCol="1" rowPageCount="1" colPageCount="1"/>
  <pivotFields count="54">
    <pivotField showAll="0"/>
    <pivotField axis="axisRow" showAll="0">
      <items count="19">
        <item x="1"/>
        <item x="17"/>
        <item x="5"/>
        <item x="14"/>
        <item x="7"/>
        <item x="0"/>
        <item x="12"/>
        <item x="16"/>
        <item x="9"/>
        <item x="2"/>
        <item x="6"/>
        <item x="13"/>
        <item x="3"/>
        <item x="8"/>
        <item x="10"/>
        <item x="11"/>
        <item x="15"/>
        <item x="4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236"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1"/>
        <item x="70"/>
        <item x="71"/>
        <item x="72"/>
        <item x="73"/>
        <item x="74"/>
        <item x="75"/>
        <item x="11"/>
        <item x="13"/>
        <item x="76"/>
        <item x="77"/>
        <item x="78"/>
        <item x="79"/>
        <item x="80"/>
        <item x="81"/>
        <item x="82"/>
        <item x="83"/>
        <item x="84"/>
        <item x="85"/>
        <item x="2"/>
        <item x="86"/>
        <item x="87"/>
        <item x="3"/>
        <item x="88"/>
        <item x="89"/>
        <item x="90"/>
        <item x="91"/>
        <item x="4"/>
        <item x="92"/>
        <item x="93"/>
        <item x="94"/>
        <item x="95"/>
        <item x="96"/>
        <item x="5"/>
        <item x="97"/>
        <item x="98"/>
        <item x="6"/>
        <item x="99"/>
        <item x="100"/>
        <item x="7"/>
        <item x="8"/>
        <item x="101"/>
        <item x="9"/>
        <item x="102"/>
        <item x="103"/>
        <item x="10"/>
        <item x="104"/>
        <item x="105"/>
        <item x="12"/>
        <item x="107"/>
        <item x="108"/>
        <item x="109"/>
        <item x="110"/>
        <item x="111"/>
        <item x="112"/>
        <item x="113"/>
        <item x="43"/>
        <item x="114"/>
        <item x="115"/>
        <item x="116"/>
        <item x="117"/>
        <item x="119"/>
        <item x="120"/>
        <item x="121"/>
        <item x="14"/>
        <item x="122"/>
        <item x="123"/>
        <item x="124"/>
        <item x="125"/>
        <item x="126"/>
        <item x="127"/>
        <item x="128"/>
        <item x="129"/>
        <item x="130"/>
        <item x="15"/>
        <item x="131"/>
        <item x="132"/>
        <item x="133"/>
        <item x="134"/>
        <item x="16"/>
        <item x="135"/>
        <item x="17"/>
        <item x="136"/>
        <item x="137"/>
        <item x="18"/>
        <item x="138"/>
        <item x="139"/>
        <item x="19"/>
        <item x="140"/>
        <item x="141"/>
        <item x="20"/>
        <item x="67"/>
        <item x="21"/>
        <item x="22"/>
        <item x="23"/>
        <item x="24"/>
        <item x="143"/>
        <item x="144"/>
        <item x="145"/>
        <item x="0"/>
        <item x="146"/>
        <item x="147"/>
        <item x="25"/>
        <item x="148"/>
        <item x="149"/>
        <item x="26"/>
        <item x="150"/>
        <item x="151"/>
        <item x="152"/>
        <item x="27"/>
        <item x="153"/>
        <item x="154"/>
        <item x="156"/>
        <item x="28"/>
        <item x="157"/>
        <item x="29"/>
        <item x="158"/>
        <item x="159"/>
        <item x="160"/>
        <item x="163"/>
        <item x="106"/>
        <item x="164"/>
        <item x="165"/>
        <item x="166"/>
        <item x="167"/>
        <item x="168"/>
        <item x="169"/>
        <item x="30"/>
        <item x="170"/>
        <item x="171"/>
        <item x="118"/>
        <item x="31"/>
        <item x="172"/>
        <item x="173"/>
        <item x="174"/>
        <item x="175"/>
        <item x="176"/>
        <item x="32"/>
        <item x="177"/>
        <item x="178"/>
        <item x="179"/>
        <item x="180"/>
        <item x="181"/>
        <item x="33"/>
        <item x="182"/>
        <item x="183"/>
        <item x="184"/>
        <item x="185"/>
        <item x="34"/>
        <item x="35"/>
        <item x="142"/>
        <item x="186"/>
        <item x="187"/>
        <item x="36"/>
        <item x="188"/>
        <item x="37"/>
        <item x="38"/>
        <item x="189"/>
        <item x="155"/>
        <item x="190"/>
        <item x="39"/>
        <item x="191"/>
        <item x="161"/>
        <item x="162"/>
        <item x="192"/>
        <item x="193"/>
        <item x="194"/>
        <item x="195"/>
        <item x="196"/>
        <item x="40"/>
        <item x="41"/>
        <item x="197"/>
        <item x="198"/>
        <item x="199"/>
        <item x="200"/>
        <item x="201"/>
        <item x="202"/>
        <item x="203"/>
        <item x="204"/>
        <item x="205"/>
        <item x="42"/>
        <item x="206"/>
        <item x="207"/>
        <item x="208"/>
        <item x="209"/>
        <item x="210"/>
        <item x="211"/>
        <item x="212"/>
        <item x="213"/>
        <item x="214"/>
        <item x="44"/>
        <item x="215"/>
        <item x="216"/>
        <item x="217"/>
        <item x="45"/>
        <item x="218"/>
        <item x="46"/>
        <item x="219"/>
        <item x="47"/>
        <item x="48"/>
        <item x="220"/>
        <item x="221"/>
        <item x="49"/>
        <item x="222"/>
        <item x="224"/>
        <item x="225"/>
        <item x="50"/>
        <item x="226"/>
        <item x="227"/>
        <item x="228"/>
        <item x="229"/>
        <item x="230"/>
        <item x="51"/>
        <item x="231"/>
        <item x="232"/>
        <item x="52"/>
        <item x="223"/>
        <item x="233"/>
        <item x="234"/>
        <item h="1" x="5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6" hier="-1"/>
  </pageFields>
  <dataFields count="1">
    <dataField name="Suma de # DC2" fld="9" baseField="0" baseItem="0"/>
  </dataFields>
  <formats count="1">
    <format dxfId="25">
      <pivotArea collapsedLevelsAreSubtotals="1" fieldPosition="0">
        <references count="1">
          <reference field="1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795BA1-3D26-46DB-A2B9-08E9E5F3291D}" name="Tabla3" displayName="Tabla3" ref="C5:I23" totalsRowShown="0" headerRowDxfId="27" dataDxfId="98" headerRowBorderDxfId="35" tableBorderDxfId="34">
  <sortState xmlns:xlrd2="http://schemas.microsoft.com/office/spreadsheetml/2017/richdata2" ref="C6:I23">
    <sortCondition descending="1" ref="I5:I23"/>
  </sortState>
  <tableColumns count="7">
    <tableColumn id="1" xr3:uid="{19216FD6-4E3F-451D-9A4D-9258FEBD081A}" name="CADENA" dataDxfId="33"/>
    <tableColumn id="2" xr3:uid="{C3B0FAA7-57FC-4C78-A64F-384D0E9DB6C2}" name="FIJA" dataDxfId="32"/>
    <tableColumn id="3" xr3:uid="{EE3F7267-216D-4AC6-8B54-79100B2BBE85}" name="ROTATIVA" dataDxfId="31"/>
    <tableColumn id="4" xr3:uid="{02844B73-9EAE-4C83-9A9E-2DC4FD326722}" name="TOTAL PDV" dataDxfId="30"/>
    <tableColumn id="5" xr3:uid="{7C0F35C5-383A-4047-9229-93E94A939021}" name="PDV CUBIERTOS" dataDxfId="29"/>
    <tableColumn id="6" xr3:uid="{DF5FA737-0C79-4330-9E24-7AEDA23E2392}" name="TOTAL DC ASIGNADAS" dataDxfId="1"/>
    <tableColumn id="7" xr3:uid="{47EBD026-E23E-4278-9E4D-8E0660E9CF4F}" name="% COBERTURA" dataDxfId="28" dataCellStyle="Porcentaje">
      <calculatedColumnFormula>Tabla3[[#This Row],[PDV CUBIERTOS]]*100%/Tabla3[[#This Row],[TOTAL PDV]]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BCF78E0-4A7B-458A-850C-15EB948FC854}" name="Tabla411" displayName="Tabla411" ref="A3:BB324" totalsRowShown="0" headerRowDxfId="97" dataDxfId="96" headerRowBorderDxfId="94" tableBorderDxfId="95" totalsRowBorderDxfId="93">
  <sortState xmlns:xlrd2="http://schemas.microsoft.com/office/spreadsheetml/2017/richdata2" ref="A4:BB324">
    <sortCondition ref="B3:B324"/>
  </sortState>
  <tableColumns count="54">
    <tableColumn id="55" xr3:uid="{8FC9B874-896C-4FC5-8852-3EABFFE277F5}" name="BTL CVE" dataDxfId="41"/>
    <tableColumn id="1" xr3:uid="{F465911F-DEE4-4639-AC78-12E554030CEF}" name="CADENA" dataDxfId="39"/>
    <tableColumn id="2" xr3:uid="{0C8C08BA-D3C4-4192-B6F1-526F888DA60B}" name="ID PDV" dataDxfId="40"/>
    <tableColumn id="3" xr3:uid="{697EB4AA-2A0E-4C98-9714-FA0B43DBEB6E}" name="SUCURSAL " dataDxfId="92"/>
    <tableColumn id="6" xr3:uid="{0A6B7B84-B64F-4CC8-9E95-A0200FEA030B}" name="IDNOM" dataDxfId="43"/>
    <tableColumn id="51" xr3:uid="{F577CCD8-0A2D-4329-BBD8-1AAF3573F442}" name="USUARIO" dataDxfId="42"/>
    <tableColumn id="7" xr3:uid="{F37F05AD-9026-4F4E-84AD-B9CDD2A5CD09}" name="NOMBRE DC" dataDxfId="91"/>
    <tableColumn id="8" xr3:uid="{740944EC-1B45-40BA-9C02-C49E5974F2C6}" name="# DC" dataDxfId="90"/>
    <tableColumn id="9" xr3:uid="{2DBC3196-B8B7-4A0D-BADF-B15C0A279786}" name="ROL PERM" dataDxfId="89"/>
    <tableColumn id="57" xr3:uid="{1942891D-E292-4B9F-BFAB-9D3AB342D040}" name="# DC2" dataDxfId="88"/>
    <tableColumn id="56" xr3:uid="{A37BBB65-F9D8-43ED-B3D9-4BCD7C48FE0E}" name="ROL PERM3" dataDxfId="87"/>
    <tableColumn id="11" xr3:uid="{E0FC1A57-2771-4B29-B879-BE5938B677A0}" name="SUPERVISOR" dataDxfId="86">
      <calculatedColumnFormula>VLOOKUP(Tabla411[[#This Row],[BTL CVE]],tblPDV[#All],13,0)</calculatedColumnFormula>
    </tableColumn>
    <tableColumn id="12" xr3:uid="{CA608F8C-386D-452D-A8BE-0E07787A32B4}" name="Ciudad" dataDxfId="85"/>
    <tableColumn id="13" xr3:uid="{136B2260-378F-4EE8-98D2-F971FB1DAAAE}" name="HORARIO " dataDxfId="84"/>
    <tableColumn id="14" xr3:uid="{D3260491-B7F7-4ABA-BC3F-D908E44E378F}" name="DÍAS LAB PERM " dataDxfId="83"/>
    <tableColumn id="52" xr3:uid="{BF492E71-E049-4025-8A54-CA63C6EB5B62}" name="DIAS LAB MENSU" dataDxfId="82"/>
    <tableColumn id="15" xr3:uid="{287F7E7F-307B-4302-97BC-35BF0590E859}" name="DESCANSO" dataDxfId="81"/>
    <tableColumn id="45" xr3:uid="{F4D9435B-2E89-4B49-A5A9-256D59BE7855}" name="INICIO " dataDxfId="80"/>
    <tableColumn id="44" xr3:uid="{D027A9F2-3947-419B-B03F-6079A3ADFC8B}" name="FIN" dataDxfId="79"/>
    <tableColumn id="16" xr3:uid="{FA3437FF-C550-41A3-A7DA-BC267825D6F2}" name="1" dataDxfId="78"/>
    <tableColumn id="17" xr3:uid="{D7EECD05-E929-45FE-911E-6395E46A637A}" name="2" dataDxfId="77"/>
    <tableColumn id="18" xr3:uid="{C96882D3-26C7-4114-979B-42B3FC6EE8C7}" name="3" dataDxfId="76"/>
    <tableColumn id="19" xr3:uid="{2A404CD6-B030-4E47-B0CE-7B0BC6C32E12}" name="4" dataDxfId="75"/>
    <tableColumn id="20" xr3:uid="{72DDDEA9-F8A8-4D01-9710-6F46F4B6FF75}" name="5" dataDxfId="74"/>
    <tableColumn id="21" xr3:uid="{45CF7CBE-C7D8-47B2-8772-161DC412FEE1}" name="6" dataDxfId="73"/>
    <tableColumn id="22" xr3:uid="{EBAADB6B-4C9E-40E0-A261-C2B31B6875EF}" name="7" dataDxfId="72"/>
    <tableColumn id="23" xr3:uid="{C9D1E42A-7B93-4E6D-B74C-C2D8D663D2B1}" name="8" dataDxfId="71"/>
    <tableColumn id="24" xr3:uid="{5F82E3E6-3E8F-4A11-8F55-CDCDF182939F}" name="9" dataDxfId="70"/>
    <tableColumn id="25" xr3:uid="{C1D787B0-BA55-4356-B1CE-318821F39B88}" name="10" dataDxfId="69"/>
    <tableColumn id="26" xr3:uid="{3E28C81D-2B75-4150-8127-3D02E1868853}" name="11" dataDxfId="68"/>
    <tableColumn id="27" xr3:uid="{52FAE52D-B784-4577-914B-2ED5BA4BEC49}" name="12" dataDxfId="67"/>
    <tableColumn id="28" xr3:uid="{F762D814-94F1-4A56-9904-3DB712551224}" name="13" dataDxfId="66"/>
    <tableColumn id="29" xr3:uid="{E80A04B1-E0D3-409A-9B3F-98FF8EC8248F}" name="14" dataDxfId="65"/>
    <tableColumn id="30" xr3:uid="{3FC88499-5563-4309-814A-B8BDAD1686DB}" name="15" dataDxfId="64"/>
    <tableColumn id="31" xr3:uid="{425A792E-65FC-4548-ADBD-1700B5FB9DB8}" name="16" dataDxfId="63"/>
    <tableColumn id="32" xr3:uid="{42A080B2-2B0C-4177-AB9B-1CC5B71897A6}" name="17" dataDxfId="62"/>
    <tableColumn id="33" xr3:uid="{3A68BF52-BC28-45ED-97A3-585C4C64AFDE}" name="18" dataDxfId="61"/>
    <tableColumn id="34" xr3:uid="{BD2EC787-29B9-4E60-ADB0-55290E48AD62}" name="19" dataDxfId="60"/>
    <tableColumn id="35" xr3:uid="{D7630CCD-185E-4AF2-805F-3763161B04CA}" name="20" dataDxfId="59"/>
    <tableColumn id="36" xr3:uid="{9BBC5BF1-61DA-46A0-8A87-9C4C1BA66E4D}" name="21" dataDxfId="58"/>
    <tableColumn id="37" xr3:uid="{D2C5BE3A-921D-4453-BF83-8896A4EC751A}" name="22" dataDxfId="57"/>
    <tableColumn id="38" xr3:uid="{EFDAF594-6B2A-48EA-B664-0F93EA7CA8AD}" name="23" dataDxfId="56"/>
    <tableColumn id="39" xr3:uid="{857131B3-F112-411E-B81A-BBFB554DAC9D}" name="24" dataDxfId="55"/>
    <tableColumn id="40" xr3:uid="{0C19C759-2E82-4271-984A-117003C8B139}" name="25" dataDxfId="54"/>
    <tableColumn id="41" xr3:uid="{8FC5D64D-0F4A-4E45-8DC6-E1BBC4860BB3}" name="26" dataDxfId="53"/>
    <tableColumn id="42" xr3:uid="{E82B54C6-2637-46E6-9383-36D4F4A62549}" name="27" dataDxfId="52"/>
    <tableColumn id="43" xr3:uid="{0C9C57EA-2DDA-45B6-8EB1-99C7EB865578}" name="28" dataDxfId="51"/>
    <tableColumn id="50" xr3:uid="{E564B6D3-607E-4690-9C99-3C029DAC32B1}" name="29" dataDxfId="50"/>
    <tableColumn id="46" xr3:uid="{8BCDC9EB-5819-4C4B-99F1-AD44210E1F3F}" name="30" dataDxfId="49"/>
    <tableColumn id="47" xr3:uid="{2FADBACB-C95F-4790-B801-03E3AF47FCC2}" name="# DÍAS" dataDxfId="48">
      <calculatedColumnFormula>SUM(T4:AW4)</calculatedColumnFormula>
    </tableColumn>
    <tableColumn id="49" xr3:uid="{BEC245E1-65A6-433B-8647-40CF0D489A04}" name="VENTA 2025" dataDxfId="47"/>
    <tableColumn id="48" xr3:uid="{21380DA9-2570-47E2-96B0-62CC64D1BD5E}" name="CREC" dataDxfId="46"/>
    <tableColumn id="10" xr3:uid="{5D53CAEA-5D23-4590-AE66-F26DE9060ED0}" name="CUOTA" dataDxfId="45"/>
    <tableColumn id="4" xr3:uid="{F6F8CDDD-DBB1-4FA3-AEA1-802A8DFD24EF}" name="OBSERVACIONES" dataDxfId="4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668D5D-5DC9-4CAB-ADB9-8B14B2A929C1}" name="tblPDV" displayName="tblPDV" ref="A1:O328" totalsRowShown="0" headerRowDxfId="119">
  <autoFilter ref="A1:O328" xr:uid="{26668D5D-5DC9-4CAB-ADB9-8B14B2A929C1}">
    <filterColumn colId="14">
      <filters>
        <filter val="Temporal"/>
      </filters>
    </filterColumn>
  </autoFilter>
  <sortState xmlns:xlrd2="http://schemas.microsoft.com/office/spreadsheetml/2017/richdata2" ref="A2:O328">
    <sortCondition ref="M1:M328"/>
  </sortState>
  <tableColumns count="15">
    <tableColumn id="4" xr3:uid="{832E236B-D0CA-4AE8-AF2B-37FFAE1D0DCD}" name="codigo_btl" dataDxfId="118"/>
    <tableColumn id="1" xr3:uid="{16E26E7E-E9DE-4AC2-98B4-10C849C9544A}" name="CADENA" dataDxfId="117"/>
    <tableColumn id="2" xr3:uid="{F4BBFAB2-5E24-49D4-B1AD-00CA5AEDB23B}" name="id_pdv_externo" dataDxfId="116"/>
    <tableColumn id="3" xr3:uid="{33E2353C-3AFD-40DB-A85A-ED72EECDB268}" name="SUCURSAL " dataDxfId="115"/>
    <tableColumn id="15" xr3:uid="{26156EE2-7A02-4B5D-92FB-4EFE3250D0C4}" name="Nombre Corto" dataDxfId="114"/>
    <tableColumn id="5" xr3:uid="{F2073F7E-A428-411E-89F3-A0E18576BFD1}" name="DIRECCIÓN" dataDxfId="113"/>
    <tableColumn id="10" xr3:uid="{7788AB26-CBD4-4648-9A74-2A250060E62D}" name="TERRITORIO" dataDxfId="112"/>
    <tableColumn id="11" xr3:uid="{C746B3BD-2D57-4352-8A44-2E201BB34207}" name="ENTIDAD FEDERATIVA" dataDxfId="111"/>
    <tableColumn id="12" xr3:uid="{60555F3D-8D2A-400D-AFCE-025EB41FC03A}" name="ZONA" dataDxfId="110"/>
    <tableColumn id="6" xr3:uid="{26FE2AEC-70D4-42CA-82A7-E2D7D92F5DD7}" name="COORDENADAS" dataDxfId="109"/>
    <tableColumn id="13" xr3:uid="{E8642FB4-96A6-4B55-A4B7-35DA02F2125C}" name="GEOCERCA m" dataDxfId="108"/>
    <tableColumn id="14" xr3:uid="{04CA6D6E-BC46-45B7-9320-01C013D539AF}" name="TOLERANCIA MIN" dataDxfId="107"/>
    <tableColumn id="7" xr3:uid="{149E9128-941B-47F9-9CC5-E696276D6114}" name="SUPERVISOR ASIGNADO" dataDxfId="106"/>
    <tableColumn id="8" xr3:uid="{7588066C-974A-4E71-8B4E-F1693C3B49F1}" name="id_nomina_supervisor" dataDxfId="105"/>
    <tableColumn id="9" xr3:uid="{48C68F92-965A-498E-AE6E-F1B3A7D99E66}" name="ACTIVO" dataDxfId="104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04650F-A88A-4413-9399-DD7CCA617914}" name="Tabla2" displayName="Tabla2" ref="T1:U8" totalsRowShown="0">
  <autoFilter ref="T1:U8" xr:uid="{2C04650F-A88A-4413-9399-DD7CCA617914}"/>
  <tableColumns count="2">
    <tableColumn id="1" xr3:uid="{01EA6DEB-2FDA-45A8-9D27-F5AD6F9D7F01}" name="DIAS" dataDxfId="103"/>
    <tableColumn id="2" xr3:uid="{3624D79A-F125-4F1A-BC86-34FBC4E0683B}" name="NOM" dataDxfId="102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CFA86C-F9C1-4CC5-8C9D-72908BDBDC37}" name="Tabla4" displayName="Tabla4" ref="Q1:R13" totalsRowShown="0" headerRowDxfId="101">
  <autoFilter ref="Q1:R13" xr:uid="{CDCFA86C-F9C1-4CC5-8C9D-72908BDBDC37}"/>
  <tableColumns count="2">
    <tableColumn id="1" xr3:uid="{9FEAC20E-BC0E-4F6F-8E6B-CBB9C5EACB1A}" name="DÍAS " dataDxfId="100"/>
    <tableColumn id="2" xr3:uid="{05767D43-844C-48B1-A495-F53366672431}" name="NOM" dataDxfId="99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E31E-D9CB-4638-BC04-39569B1B6ECE}">
  <dimension ref="C5:I24"/>
  <sheetViews>
    <sheetView workbookViewId="0">
      <selection activeCell="H6" sqref="H6:H23"/>
    </sheetView>
  </sheetViews>
  <sheetFormatPr baseColWidth="10" defaultRowHeight="15" x14ac:dyDescent="0.25"/>
  <cols>
    <col min="1" max="1" width="12.42578125" bestFit="1" customWidth="1"/>
    <col min="3" max="3" width="24.5703125" customWidth="1"/>
    <col min="4" max="8" width="18" customWidth="1"/>
    <col min="9" max="9" width="12.140625" bestFit="1" customWidth="1"/>
  </cols>
  <sheetData>
    <row r="5" spans="3:9" s="56" customFormat="1" ht="27.75" thickBot="1" x14ac:dyDescent="0.3">
      <c r="C5" s="144" t="s">
        <v>6</v>
      </c>
      <c r="D5" s="145" t="s">
        <v>47</v>
      </c>
      <c r="E5" s="145" t="s">
        <v>53</v>
      </c>
      <c r="F5" s="145" t="s">
        <v>2123</v>
      </c>
      <c r="G5" s="145" t="s">
        <v>2124</v>
      </c>
      <c r="H5" s="145" t="s">
        <v>2125</v>
      </c>
      <c r="I5" s="146" t="s">
        <v>2126</v>
      </c>
    </row>
    <row r="6" spans="3:9" x14ac:dyDescent="0.25">
      <c r="C6" s="134" t="s">
        <v>44</v>
      </c>
      <c r="D6" s="137">
        <v>12</v>
      </c>
      <c r="E6" s="138">
        <v>4</v>
      </c>
      <c r="F6" s="139">
        <v>16</v>
      </c>
      <c r="G6" s="140">
        <v>16</v>
      </c>
      <c r="H6" s="147">
        <v>14</v>
      </c>
      <c r="I6" s="135">
        <f>Tabla3[[#This Row],[PDV CUBIERTOS]]*100%/Tabla3[[#This Row],[TOTAL PDV]]</f>
        <v>1</v>
      </c>
    </row>
    <row r="7" spans="3:9" x14ac:dyDescent="0.25">
      <c r="C7" s="136" t="s">
        <v>77</v>
      </c>
      <c r="D7" s="127">
        <v>7</v>
      </c>
      <c r="E7" s="128"/>
      <c r="F7" s="129">
        <v>7</v>
      </c>
      <c r="G7" s="132">
        <v>6</v>
      </c>
      <c r="H7" s="148">
        <v>6</v>
      </c>
      <c r="I7" s="135">
        <f>Tabla3[[#This Row],[PDV CUBIERTOS]]*100%/Tabla3[[#This Row],[TOTAL PDV]]</f>
        <v>0.8571428571428571</v>
      </c>
    </row>
    <row r="8" spans="3:9" x14ac:dyDescent="0.25">
      <c r="C8" s="136" t="s">
        <v>84</v>
      </c>
      <c r="D8" s="127">
        <v>3</v>
      </c>
      <c r="E8" s="128">
        <v>3</v>
      </c>
      <c r="F8" s="129">
        <v>6</v>
      </c>
      <c r="G8" s="132">
        <v>6</v>
      </c>
      <c r="H8" s="148">
        <v>4.5</v>
      </c>
      <c r="I8" s="135">
        <f>Tabla3[[#This Row],[PDV CUBIERTOS]]*100%/Tabla3[[#This Row],[TOTAL PDV]]</f>
        <v>1</v>
      </c>
    </row>
    <row r="9" spans="3:9" x14ac:dyDescent="0.25">
      <c r="C9" s="136" t="s">
        <v>90</v>
      </c>
      <c r="D9" s="127">
        <v>8</v>
      </c>
      <c r="E9" s="128"/>
      <c r="F9" s="129">
        <v>8</v>
      </c>
      <c r="G9" s="132">
        <v>8</v>
      </c>
      <c r="H9" s="148">
        <v>10</v>
      </c>
      <c r="I9" s="135">
        <f>Tabla3[[#This Row],[PDV CUBIERTOS]]*100%/Tabla3[[#This Row],[TOTAL PDV]]</f>
        <v>1</v>
      </c>
    </row>
    <row r="10" spans="3:9" x14ac:dyDescent="0.25">
      <c r="C10" s="136" t="s">
        <v>100</v>
      </c>
      <c r="D10" s="127">
        <v>1</v>
      </c>
      <c r="E10" s="128">
        <v>3</v>
      </c>
      <c r="F10" s="129">
        <v>3</v>
      </c>
      <c r="G10" s="132">
        <v>3</v>
      </c>
      <c r="H10" s="148">
        <v>4</v>
      </c>
      <c r="I10" s="135">
        <f>Tabla3[[#This Row],[PDV CUBIERTOS]]*100%/Tabla3[[#This Row],[TOTAL PDV]]</f>
        <v>1</v>
      </c>
    </row>
    <row r="11" spans="3:9" x14ac:dyDescent="0.25">
      <c r="C11" s="136" t="s">
        <v>104</v>
      </c>
      <c r="D11" s="127">
        <v>29</v>
      </c>
      <c r="E11" s="128">
        <v>39</v>
      </c>
      <c r="F11" s="129">
        <v>68</v>
      </c>
      <c r="G11" s="132">
        <v>64</v>
      </c>
      <c r="H11" s="148">
        <v>45.833333333333329</v>
      </c>
      <c r="I11" s="135">
        <f>Tabla3[[#This Row],[PDV CUBIERTOS]]*100%/Tabla3[[#This Row],[TOTAL PDV]]</f>
        <v>0.94117647058823528</v>
      </c>
    </row>
    <row r="12" spans="3:9" x14ac:dyDescent="0.25">
      <c r="C12" s="136" t="s">
        <v>211</v>
      </c>
      <c r="D12" s="127"/>
      <c r="E12" s="128">
        <v>2</v>
      </c>
      <c r="F12" s="129">
        <v>2</v>
      </c>
      <c r="G12" s="132">
        <v>2</v>
      </c>
      <c r="H12" s="148">
        <v>1</v>
      </c>
      <c r="I12" s="135">
        <f>Tabla3[[#This Row],[PDV CUBIERTOS]]*100%/Tabla3[[#This Row],[TOTAL PDV]]</f>
        <v>1</v>
      </c>
    </row>
    <row r="13" spans="3:9" x14ac:dyDescent="0.25">
      <c r="C13" s="136" t="s">
        <v>215</v>
      </c>
      <c r="D13" s="127">
        <v>7</v>
      </c>
      <c r="E13" s="128"/>
      <c r="F13" s="129">
        <v>7</v>
      </c>
      <c r="G13" s="132">
        <v>6</v>
      </c>
      <c r="H13" s="148">
        <v>6</v>
      </c>
      <c r="I13" s="135">
        <f>Tabla3[[#This Row],[PDV CUBIERTOS]]*100%/Tabla3[[#This Row],[TOTAL PDV]]</f>
        <v>0.8571428571428571</v>
      </c>
    </row>
    <row r="14" spans="3:9" x14ac:dyDescent="0.25">
      <c r="C14" s="136" t="s">
        <v>226</v>
      </c>
      <c r="D14" s="127">
        <v>3</v>
      </c>
      <c r="E14" s="128">
        <v>2</v>
      </c>
      <c r="F14" s="129">
        <v>5</v>
      </c>
      <c r="G14" s="132">
        <v>5</v>
      </c>
      <c r="H14" s="148">
        <v>4</v>
      </c>
      <c r="I14" s="135">
        <f>Tabla3[[#This Row],[PDV CUBIERTOS]]*100%/Tabla3[[#This Row],[TOTAL PDV]]</f>
        <v>1</v>
      </c>
    </row>
    <row r="15" spans="3:9" x14ac:dyDescent="0.25">
      <c r="C15" s="136" t="s">
        <v>230</v>
      </c>
      <c r="D15" s="127">
        <v>10</v>
      </c>
      <c r="E15" s="128">
        <v>12</v>
      </c>
      <c r="F15" s="129">
        <v>22</v>
      </c>
      <c r="G15" s="132">
        <v>20</v>
      </c>
      <c r="H15" s="148">
        <v>14</v>
      </c>
      <c r="I15" s="135">
        <f>Tabla3[[#This Row],[PDV CUBIERTOS]]*100%/Tabla3[[#This Row],[TOTAL PDV]]</f>
        <v>0.90909090909090906</v>
      </c>
    </row>
    <row r="16" spans="3:9" x14ac:dyDescent="0.25">
      <c r="C16" s="136" t="s">
        <v>251</v>
      </c>
      <c r="D16" s="127">
        <v>11</v>
      </c>
      <c r="E16" s="128">
        <v>2</v>
      </c>
      <c r="F16" s="129">
        <v>13</v>
      </c>
      <c r="G16" s="132">
        <v>13</v>
      </c>
      <c r="H16" s="148">
        <v>12</v>
      </c>
      <c r="I16" s="135">
        <f>Tabla3[[#This Row],[PDV CUBIERTOS]]*100%/Tabla3[[#This Row],[TOTAL PDV]]</f>
        <v>1</v>
      </c>
    </row>
    <row r="17" spans="3:9" x14ac:dyDescent="0.25">
      <c r="C17" s="136" t="s">
        <v>264</v>
      </c>
      <c r="D17" s="127">
        <v>9</v>
      </c>
      <c r="E17" s="128">
        <v>12</v>
      </c>
      <c r="F17" s="129">
        <v>21</v>
      </c>
      <c r="G17" s="132">
        <v>6</v>
      </c>
      <c r="H17" s="148">
        <v>6</v>
      </c>
      <c r="I17" s="135">
        <f>Tabla3[[#This Row],[PDV CUBIERTOS]]*100%/Tabla3[[#This Row],[TOTAL PDV]]</f>
        <v>0.2857142857142857</v>
      </c>
    </row>
    <row r="18" spans="3:9" x14ac:dyDescent="0.25">
      <c r="C18" s="136" t="s">
        <v>280</v>
      </c>
      <c r="D18" s="127">
        <v>50</v>
      </c>
      <c r="E18" s="128">
        <v>37</v>
      </c>
      <c r="F18" s="129">
        <v>87</v>
      </c>
      <c r="G18" s="132">
        <v>86</v>
      </c>
      <c r="H18" s="148">
        <v>66.5</v>
      </c>
      <c r="I18" s="135">
        <f>Tabla3[[#This Row],[PDV CUBIERTOS]]*100%/Tabla3[[#This Row],[TOTAL PDV]]</f>
        <v>0.9885057471264368</v>
      </c>
    </row>
    <row r="19" spans="3:9" x14ac:dyDescent="0.25">
      <c r="C19" s="136" t="s">
        <v>365</v>
      </c>
      <c r="D19" s="127">
        <v>6</v>
      </c>
      <c r="E19" s="128">
        <v>6</v>
      </c>
      <c r="F19" s="129">
        <v>12</v>
      </c>
      <c r="G19" s="132">
        <v>12</v>
      </c>
      <c r="H19" s="148">
        <v>9</v>
      </c>
      <c r="I19" s="135">
        <f>Tabla3[[#This Row],[PDV CUBIERTOS]]*100%/Tabla3[[#This Row],[TOTAL PDV]]</f>
        <v>1</v>
      </c>
    </row>
    <row r="20" spans="3:9" x14ac:dyDescent="0.25">
      <c r="C20" s="136" t="s">
        <v>380</v>
      </c>
      <c r="D20" s="127">
        <v>12</v>
      </c>
      <c r="E20" s="128">
        <v>3</v>
      </c>
      <c r="F20" s="129">
        <v>15</v>
      </c>
      <c r="G20" s="132">
        <v>14</v>
      </c>
      <c r="H20" s="148">
        <v>13</v>
      </c>
      <c r="I20" s="135">
        <f>Tabla3[[#This Row],[PDV CUBIERTOS]]*100%/Tabla3[[#This Row],[TOTAL PDV]]</f>
        <v>0.93333333333333335</v>
      </c>
    </row>
    <row r="21" spans="3:9" x14ac:dyDescent="0.25">
      <c r="C21" s="136" t="s">
        <v>395</v>
      </c>
      <c r="D21" s="127">
        <v>9</v>
      </c>
      <c r="E21" s="128">
        <v>1</v>
      </c>
      <c r="F21" s="129">
        <v>10</v>
      </c>
      <c r="G21" s="132">
        <v>10</v>
      </c>
      <c r="H21" s="148">
        <v>9.5</v>
      </c>
      <c r="I21" s="135">
        <f>Tabla3[[#This Row],[PDV CUBIERTOS]]*100%/Tabla3[[#This Row],[TOTAL PDV]]</f>
        <v>1</v>
      </c>
    </row>
    <row r="22" spans="3:9" x14ac:dyDescent="0.25">
      <c r="C22" s="136" t="s">
        <v>403</v>
      </c>
      <c r="D22" s="127">
        <v>4</v>
      </c>
      <c r="E22" s="128"/>
      <c r="F22" s="129">
        <v>4</v>
      </c>
      <c r="G22" s="132">
        <v>4</v>
      </c>
      <c r="H22" s="148">
        <v>4</v>
      </c>
      <c r="I22" s="135">
        <f>Tabla3[[#This Row],[PDV CUBIERTOS]]*100%/Tabla3[[#This Row],[TOTAL PDV]]</f>
        <v>1</v>
      </c>
    </row>
    <row r="23" spans="3:9" x14ac:dyDescent="0.25">
      <c r="C23" s="136" t="s">
        <v>408</v>
      </c>
      <c r="D23" s="127"/>
      <c r="E23" s="128">
        <v>6</v>
      </c>
      <c r="F23" s="129">
        <v>6</v>
      </c>
      <c r="G23" s="132">
        <v>6</v>
      </c>
      <c r="H23" s="148">
        <v>3</v>
      </c>
      <c r="I23" s="135">
        <f>Tabla3[[#This Row],[PDV CUBIERTOS]]*100%/Tabla3[[#This Row],[TOTAL PDV]]</f>
        <v>1</v>
      </c>
    </row>
    <row r="24" spans="3:9" x14ac:dyDescent="0.25">
      <c r="C24" s="141" t="s">
        <v>2122</v>
      </c>
      <c r="D24" s="141">
        <f>SUM(D6:D23)</f>
        <v>181</v>
      </c>
      <c r="E24" s="141">
        <f>SUM(E6:E23)</f>
        <v>132</v>
      </c>
      <c r="F24" s="141">
        <f>SUM(F6:F23)</f>
        <v>312</v>
      </c>
      <c r="G24" s="141">
        <f>SUBTOTAL(109,Tabla3[PDV CUBIERTOS])</f>
        <v>287</v>
      </c>
      <c r="H24" s="142">
        <f>SUBTOTAL(109,Tabla3[TOTAL DC ASIGNADAS])</f>
        <v>232.33333333333331</v>
      </c>
      <c r="I24" s="143">
        <f>G24*100%/F24</f>
        <v>0.91987179487179482</v>
      </c>
    </row>
  </sheetData>
  <conditionalFormatting sqref="I6:I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{27282CEB-1EC5-4AB2-8273-DD5CFC5E23B8}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282CEB-1EC5-4AB2-8273-DD5CFC5E23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I6:I24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D5CE-EAD2-408C-8C44-B5D9D6ACDD03}">
  <dimension ref="A1:B22"/>
  <sheetViews>
    <sheetView workbookViewId="0">
      <selection activeCell="B4" sqref="B4:B21"/>
    </sheetView>
  </sheetViews>
  <sheetFormatPr baseColWidth="10" defaultRowHeight="15" x14ac:dyDescent="0.25"/>
  <cols>
    <col min="1" max="1" width="20.5703125" bestFit="1" customWidth="1"/>
    <col min="2" max="2" width="20.140625" bestFit="1" customWidth="1"/>
    <col min="3" max="18" width="22.42578125" bestFit="1" customWidth="1"/>
    <col min="19" max="19" width="12.42578125" bestFit="1" customWidth="1"/>
  </cols>
  <sheetData>
    <row r="1" spans="1:2" x14ac:dyDescent="0.25">
      <c r="A1" s="131" t="s">
        <v>1599</v>
      </c>
      <c r="B1" s="80" t="s">
        <v>2399</v>
      </c>
    </row>
    <row r="3" spans="1:2" x14ac:dyDescent="0.25">
      <c r="A3" s="58" t="s">
        <v>2130</v>
      </c>
      <c r="B3" s="59" t="s">
        <v>2398</v>
      </c>
    </row>
    <row r="4" spans="1:2" x14ac:dyDescent="0.25">
      <c r="A4" s="60" t="s">
        <v>44</v>
      </c>
      <c r="B4" s="125">
        <v>14</v>
      </c>
    </row>
    <row r="5" spans="1:2" x14ac:dyDescent="0.25">
      <c r="A5" s="61" t="s">
        <v>77</v>
      </c>
      <c r="B5" s="126">
        <v>6</v>
      </c>
    </row>
    <row r="6" spans="1:2" x14ac:dyDescent="0.25">
      <c r="A6" s="61" t="s">
        <v>84</v>
      </c>
      <c r="B6" s="126">
        <v>4.5</v>
      </c>
    </row>
    <row r="7" spans="1:2" x14ac:dyDescent="0.25">
      <c r="A7" s="61" t="s">
        <v>90</v>
      </c>
      <c r="B7" s="126">
        <v>10</v>
      </c>
    </row>
    <row r="8" spans="1:2" x14ac:dyDescent="0.25">
      <c r="A8" s="61" t="s">
        <v>100</v>
      </c>
      <c r="B8" s="126">
        <v>4</v>
      </c>
    </row>
    <row r="9" spans="1:2" x14ac:dyDescent="0.25">
      <c r="A9" s="61" t="s">
        <v>104</v>
      </c>
      <c r="B9" s="126">
        <v>45.833333333333329</v>
      </c>
    </row>
    <row r="10" spans="1:2" x14ac:dyDescent="0.25">
      <c r="A10" s="61" t="s">
        <v>211</v>
      </c>
      <c r="B10" s="126">
        <v>1</v>
      </c>
    </row>
    <row r="11" spans="1:2" x14ac:dyDescent="0.25">
      <c r="A11" s="61" t="s">
        <v>215</v>
      </c>
      <c r="B11" s="126">
        <v>6</v>
      </c>
    </row>
    <row r="12" spans="1:2" x14ac:dyDescent="0.25">
      <c r="A12" s="61" t="s">
        <v>226</v>
      </c>
      <c r="B12" s="126">
        <v>4</v>
      </c>
    </row>
    <row r="13" spans="1:2" x14ac:dyDescent="0.25">
      <c r="A13" s="61" t="s">
        <v>230</v>
      </c>
      <c r="B13" s="126">
        <v>14</v>
      </c>
    </row>
    <row r="14" spans="1:2" x14ac:dyDescent="0.25">
      <c r="A14" s="61" t="s">
        <v>251</v>
      </c>
      <c r="B14" s="126">
        <v>12</v>
      </c>
    </row>
    <row r="15" spans="1:2" x14ac:dyDescent="0.25">
      <c r="A15" s="61" t="s">
        <v>264</v>
      </c>
      <c r="B15" s="126">
        <v>6</v>
      </c>
    </row>
    <row r="16" spans="1:2" x14ac:dyDescent="0.25">
      <c r="A16" s="61" t="s">
        <v>280</v>
      </c>
      <c r="B16" s="126">
        <v>66.5</v>
      </c>
    </row>
    <row r="17" spans="1:2" x14ac:dyDescent="0.25">
      <c r="A17" s="61" t="s">
        <v>365</v>
      </c>
      <c r="B17" s="126">
        <v>9</v>
      </c>
    </row>
    <row r="18" spans="1:2" x14ac:dyDescent="0.25">
      <c r="A18" s="61" t="s">
        <v>380</v>
      </c>
      <c r="B18" s="126">
        <v>13</v>
      </c>
    </row>
    <row r="19" spans="1:2" x14ac:dyDescent="0.25">
      <c r="A19" s="61" t="s">
        <v>395</v>
      </c>
      <c r="B19" s="126">
        <v>9.5</v>
      </c>
    </row>
    <row r="20" spans="1:2" x14ac:dyDescent="0.25">
      <c r="A20" s="61" t="s">
        <v>403</v>
      </c>
      <c r="B20" s="126">
        <v>4</v>
      </c>
    </row>
    <row r="21" spans="1:2" x14ac:dyDescent="0.25">
      <c r="A21" s="61" t="s">
        <v>408</v>
      </c>
      <c r="B21" s="126">
        <v>3</v>
      </c>
    </row>
    <row r="22" spans="1:2" x14ac:dyDescent="0.25">
      <c r="A22" s="62" t="s">
        <v>2122</v>
      </c>
      <c r="B22" s="101">
        <v>232.33333333333331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B09E-3186-48FD-823C-15E94221452F}">
  <sheetPr codeName="Hoja10"/>
  <dimension ref="A1:BB326"/>
  <sheetViews>
    <sheetView showGridLines="0" tabSelected="1" zoomScaleNormal="100" workbookViewId="0">
      <selection activeCell="A3" sqref="A3"/>
    </sheetView>
  </sheetViews>
  <sheetFormatPr baseColWidth="10" defaultColWidth="14.42578125" defaultRowHeight="15" customHeight="1" outlineLevelCol="2" x14ac:dyDescent="0.2"/>
  <cols>
    <col min="1" max="1" width="15.42578125" style="53" bestFit="1" customWidth="1"/>
    <col min="2" max="2" width="18.85546875" style="4" bestFit="1" customWidth="1"/>
    <col min="3" max="3" width="10.140625" style="5" customWidth="1"/>
    <col min="4" max="4" width="47.28515625" style="3" customWidth="1"/>
    <col min="5" max="5" width="8.42578125" style="5" customWidth="1" outlineLevel="2"/>
    <col min="6" max="6" width="18.28515625" style="5" customWidth="1" outlineLevel="2"/>
    <col min="7" max="7" width="42" style="4" customWidth="1" outlineLevel="2"/>
    <col min="8" max="9" width="12.5703125" style="4" hidden="1" customWidth="1" outlineLevel="2"/>
    <col min="10" max="10" width="8.5703125" style="4" customWidth="1" outlineLevel="2"/>
    <col min="11" max="11" width="12.5703125" style="4" customWidth="1" outlineLevel="2"/>
    <col min="12" max="12" width="29.85546875" style="4" bestFit="1" customWidth="1" outlineLevel="2"/>
    <col min="13" max="13" width="23.42578125" style="4" bestFit="1" customWidth="1" outlineLevel="2"/>
    <col min="14" max="15" width="12.140625" style="3" hidden="1" customWidth="1" outlineLevel="1"/>
    <col min="16" max="16" width="17" style="3" customWidth="1" outlineLevel="1"/>
    <col min="17" max="17" width="13.5703125" style="3" customWidth="1" outlineLevel="1"/>
    <col min="18" max="18" width="10.42578125" style="3" customWidth="1" outlineLevel="1"/>
    <col min="19" max="19" width="10.140625" style="5" customWidth="1" outlineLevel="1"/>
    <col min="20" max="21" width="5.42578125" style="3" customWidth="1" outlineLevel="1"/>
    <col min="22" max="22" width="5.42578125" style="5" customWidth="1" outlineLevel="1"/>
    <col min="23" max="48" width="5.42578125" style="3" customWidth="1" outlineLevel="1"/>
    <col min="49" max="49" width="5.28515625" style="5" customWidth="1"/>
    <col min="50" max="50" width="9.85546875" style="5" customWidth="1"/>
    <col min="51" max="51" width="12.28515625" style="5" customWidth="1"/>
    <col min="52" max="52" width="12" style="5" customWidth="1"/>
    <col min="53" max="53" width="10.5703125" style="3" customWidth="1"/>
    <col min="54" max="54" width="91.5703125" style="3" bestFit="1" customWidth="1"/>
    <col min="55" max="16384" width="14.42578125" style="3"/>
  </cols>
  <sheetData>
    <row r="1" spans="1:54" ht="22.15" customHeight="1" x14ac:dyDescent="0.2">
      <c r="B1" s="2"/>
      <c r="C1" s="102"/>
      <c r="D1" s="1"/>
      <c r="E1" s="102"/>
      <c r="F1" s="102"/>
      <c r="G1" s="2"/>
      <c r="H1" s="2"/>
      <c r="I1" s="2"/>
      <c r="J1" s="2"/>
      <c r="K1" s="2"/>
      <c r="L1" s="2"/>
      <c r="M1" s="2"/>
      <c r="N1" s="1"/>
      <c r="O1" s="1"/>
      <c r="T1" s="85" t="s">
        <v>2364</v>
      </c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25"/>
      <c r="AY1" s="25"/>
      <c r="AZ1" s="25"/>
    </row>
    <row r="2" spans="1:54" ht="22.35" customHeight="1" x14ac:dyDescent="0.25">
      <c r="B2" s="2"/>
      <c r="C2" s="102"/>
      <c r="D2" s="1"/>
      <c r="E2" s="102"/>
      <c r="F2" s="102"/>
      <c r="G2" s="2"/>
      <c r="H2" s="41">
        <f>SUBTOTAL(9,Tabla411[[#All],['# DC]])</f>
        <v>250</v>
      </c>
      <c r="I2" s="2"/>
      <c r="J2" s="123">
        <f>SUBTOTAL(9,Tabla411[[#All],['# DC2]])</f>
        <v>249.83333333333343</v>
      </c>
      <c r="K2" s="2"/>
      <c r="L2" s="2"/>
      <c r="M2" s="2"/>
      <c r="N2" s="15"/>
      <c r="O2" s="15"/>
      <c r="T2" s="36" t="s">
        <v>2088</v>
      </c>
      <c r="U2" s="36" t="s">
        <v>2</v>
      </c>
      <c r="V2" s="36" t="s">
        <v>3</v>
      </c>
      <c r="W2" s="36" t="s">
        <v>4</v>
      </c>
      <c r="X2" s="36" t="s">
        <v>5</v>
      </c>
      <c r="Y2" s="36" t="s">
        <v>0</v>
      </c>
      <c r="Z2" s="36" t="s">
        <v>1</v>
      </c>
      <c r="AA2" s="36" t="s">
        <v>2088</v>
      </c>
      <c r="AB2" s="36" t="s">
        <v>2</v>
      </c>
      <c r="AC2" s="36" t="s">
        <v>3</v>
      </c>
      <c r="AD2" s="36" t="s">
        <v>4</v>
      </c>
      <c r="AE2" s="36" t="s">
        <v>5</v>
      </c>
      <c r="AF2" s="36" t="s">
        <v>0</v>
      </c>
      <c r="AG2" s="36" t="s">
        <v>1</v>
      </c>
      <c r="AH2" s="36" t="s">
        <v>2088</v>
      </c>
      <c r="AI2" s="36" t="s">
        <v>2</v>
      </c>
      <c r="AJ2" s="36" t="s">
        <v>3</v>
      </c>
      <c r="AK2" s="36" t="s">
        <v>4</v>
      </c>
      <c r="AL2" s="36" t="s">
        <v>5</v>
      </c>
      <c r="AM2" s="36" t="s">
        <v>0</v>
      </c>
      <c r="AN2" s="36" t="s">
        <v>1</v>
      </c>
      <c r="AO2" s="36" t="s">
        <v>2088</v>
      </c>
      <c r="AP2" s="36" t="s">
        <v>2</v>
      </c>
      <c r="AQ2" s="36" t="s">
        <v>3</v>
      </c>
      <c r="AR2" s="36" t="s">
        <v>4</v>
      </c>
      <c r="AS2" s="36" t="s">
        <v>5</v>
      </c>
      <c r="AT2" s="36" t="s">
        <v>0</v>
      </c>
      <c r="AU2" s="36" t="s">
        <v>1</v>
      </c>
      <c r="AV2" s="36" t="s">
        <v>2088</v>
      </c>
      <c r="AW2" s="36" t="s">
        <v>2</v>
      </c>
    </row>
    <row r="3" spans="1:54" s="5" customFormat="1" ht="17.100000000000001" customHeight="1" x14ac:dyDescent="0.2">
      <c r="A3" s="118" t="s">
        <v>544</v>
      </c>
      <c r="B3" s="117" t="s">
        <v>6</v>
      </c>
      <c r="C3" s="77" t="s">
        <v>7</v>
      </c>
      <c r="D3" s="77" t="s">
        <v>8</v>
      </c>
      <c r="E3" s="77" t="s">
        <v>2354</v>
      </c>
      <c r="F3" s="77" t="s">
        <v>2131</v>
      </c>
      <c r="G3" s="78" t="s">
        <v>1599</v>
      </c>
      <c r="H3" s="79" t="s">
        <v>9</v>
      </c>
      <c r="I3" s="77" t="s">
        <v>2355</v>
      </c>
      <c r="J3" s="79" t="s">
        <v>2365</v>
      </c>
      <c r="K3" s="77" t="s">
        <v>2366</v>
      </c>
      <c r="L3" s="77" t="s">
        <v>10</v>
      </c>
      <c r="M3" s="77" t="s">
        <v>11</v>
      </c>
      <c r="N3" s="77" t="s">
        <v>12</v>
      </c>
      <c r="O3" s="77" t="s">
        <v>2356</v>
      </c>
      <c r="P3" s="77" t="s">
        <v>2357</v>
      </c>
      <c r="Q3" s="77" t="s">
        <v>14</v>
      </c>
      <c r="R3" s="77" t="s">
        <v>2089</v>
      </c>
      <c r="S3" s="77" t="s">
        <v>2090</v>
      </c>
      <c r="T3" s="65" t="s">
        <v>15</v>
      </c>
      <c r="U3" s="65" t="s">
        <v>16</v>
      </c>
      <c r="V3" s="65" t="s">
        <v>17</v>
      </c>
      <c r="W3" s="65" t="s">
        <v>18</v>
      </c>
      <c r="X3" s="65" t="s">
        <v>19</v>
      </c>
      <c r="Y3" s="65" t="s">
        <v>20</v>
      </c>
      <c r="Z3" s="65" t="s">
        <v>21</v>
      </c>
      <c r="AA3" s="65" t="s">
        <v>22</v>
      </c>
      <c r="AB3" s="65" t="s">
        <v>23</v>
      </c>
      <c r="AC3" s="65" t="s">
        <v>24</v>
      </c>
      <c r="AD3" s="65" t="s">
        <v>25</v>
      </c>
      <c r="AE3" s="65" t="s">
        <v>26</v>
      </c>
      <c r="AF3" s="65" t="s">
        <v>27</v>
      </c>
      <c r="AG3" s="65" t="s">
        <v>28</v>
      </c>
      <c r="AH3" s="65" t="s">
        <v>29</v>
      </c>
      <c r="AI3" s="65" t="s">
        <v>30</v>
      </c>
      <c r="AJ3" s="65" t="s">
        <v>31</v>
      </c>
      <c r="AK3" s="65" t="s">
        <v>32</v>
      </c>
      <c r="AL3" s="65" t="s">
        <v>33</v>
      </c>
      <c r="AM3" s="65" t="s">
        <v>34</v>
      </c>
      <c r="AN3" s="65" t="s">
        <v>35</v>
      </c>
      <c r="AO3" s="65" t="s">
        <v>36</v>
      </c>
      <c r="AP3" s="65" t="s">
        <v>37</v>
      </c>
      <c r="AQ3" s="65" t="s">
        <v>38</v>
      </c>
      <c r="AR3" s="65" t="s">
        <v>39</v>
      </c>
      <c r="AS3" s="65" t="s">
        <v>40</v>
      </c>
      <c r="AT3" s="65" t="s">
        <v>41</v>
      </c>
      <c r="AU3" s="65" t="s">
        <v>42</v>
      </c>
      <c r="AV3" s="65" t="s">
        <v>2092</v>
      </c>
      <c r="AW3" s="65" t="s">
        <v>2093</v>
      </c>
      <c r="AX3" s="6" t="s">
        <v>43</v>
      </c>
      <c r="AY3" s="16" t="s">
        <v>1567</v>
      </c>
      <c r="AZ3" s="17" t="s">
        <v>1568</v>
      </c>
      <c r="BA3" s="18" t="s">
        <v>1569</v>
      </c>
      <c r="BB3" s="48" t="s">
        <v>1600</v>
      </c>
    </row>
    <row r="4" spans="1:54" ht="13.5" customHeight="1" x14ac:dyDescent="0.2">
      <c r="A4" s="104" t="s">
        <v>548</v>
      </c>
      <c r="B4" s="105" t="s">
        <v>44</v>
      </c>
      <c r="C4" s="26" t="s">
        <v>51</v>
      </c>
      <c r="D4" s="35" t="s">
        <v>52</v>
      </c>
      <c r="E4" s="26">
        <v>25</v>
      </c>
      <c r="F4" s="26" t="s">
        <v>2133</v>
      </c>
      <c r="G4" s="35" t="s">
        <v>1959</v>
      </c>
      <c r="H4" s="37">
        <v>0.5</v>
      </c>
      <c r="I4" s="37" t="s">
        <v>53</v>
      </c>
      <c r="J4" s="37">
        <v>0.5</v>
      </c>
      <c r="K4" s="37" t="s">
        <v>53</v>
      </c>
      <c r="L4" s="35" t="str">
        <f>VLOOKUP(Tabla411[[#This Row],[BTL CVE]],tblPDV[#All],13,0)</f>
        <v xml:space="preserve">ANIMAS SAUCEDO ANA CRISTINA </v>
      </c>
      <c r="M4" s="26" t="s">
        <v>503</v>
      </c>
      <c r="N4" s="26" t="s">
        <v>54</v>
      </c>
      <c r="O4" s="26" t="s">
        <v>55</v>
      </c>
      <c r="P4" s="26" t="s">
        <v>55</v>
      </c>
      <c r="Q4" s="26" t="s">
        <v>50</v>
      </c>
      <c r="R4" s="38">
        <v>46113</v>
      </c>
      <c r="S4" s="38">
        <v>46142</v>
      </c>
      <c r="T4" s="19">
        <v>1</v>
      </c>
      <c r="U4" s="19"/>
      <c r="V4" s="19"/>
      <c r="W4" s="19"/>
      <c r="X4" s="22"/>
      <c r="Y4" s="19">
        <v>1</v>
      </c>
      <c r="Z4" s="19">
        <v>1</v>
      </c>
      <c r="AA4" s="19">
        <v>1</v>
      </c>
      <c r="AB4" s="19"/>
      <c r="AC4" s="19"/>
      <c r="AD4" s="19"/>
      <c r="AE4" s="22"/>
      <c r="AF4" s="19">
        <v>1</v>
      </c>
      <c r="AG4" s="19">
        <v>1</v>
      </c>
      <c r="AH4" s="19">
        <v>1</v>
      </c>
      <c r="AI4" s="19"/>
      <c r="AJ4" s="19"/>
      <c r="AK4" s="19"/>
      <c r="AL4" s="22"/>
      <c r="AM4" s="19">
        <v>1</v>
      </c>
      <c r="AN4" s="19">
        <v>1</v>
      </c>
      <c r="AO4" s="19">
        <v>1</v>
      </c>
      <c r="AP4" s="19"/>
      <c r="AQ4" s="19"/>
      <c r="AR4" s="19"/>
      <c r="AS4" s="22"/>
      <c r="AT4" s="19">
        <v>1</v>
      </c>
      <c r="AU4" s="19">
        <v>1</v>
      </c>
      <c r="AV4" s="19">
        <v>1</v>
      </c>
      <c r="AW4" s="19"/>
      <c r="AX4" s="19">
        <f>SUM(T4:AW4)</f>
        <v>13</v>
      </c>
      <c r="AY4" s="20"/>
      <c r="AZ4" s="19"/>
      <c r="BA4" s="20"/>
      <c r="BB4" s="49"/>
    </row>
    <row r="5" spans="1:54" ht="13.5" customHeight="1" x14ac:dyDescent="0.2">
      <c r="A5" s="104" t="s">
        <v>554</v>
      </c>
      <c r="B5" s="86" t="s">
        <v>44</v>
      </c>
      <c r="C5" s="26" t="s">
        <v>64</v>
      </c>
      <c r="D5" s="35" t="s">
        <v>65</v>
      </c>
      <c r="E5" s="26">
        <v>484</v>
      </c>
      <c r="F5" s="26" t="s">
        <v>2307</v>
      </c>
      <c r="G5" s="35" t="s">
        <v>1961</v>
      </c>
      <c r="H5" s="37">
        <v>0.5</v>
      </c>
      <c r="I5" s="37" t="s">
        <v>53</v>
      </c>
      <c r="J5" s="37">
        <v>0.5</v>
      </c>
      <c r="K5" s="37" t="s">
        <v>53</v>
      </c>
      <c r="L5" s="35" t="str">
        <f>VLOOKUP(Tabla411[[#This Row],[BTL CVE]],tblPDV[#All],13,0)</f>
        <v xml:space="preserve">LOPEZ GUTIERREZ LUZ EVELIA </v>
      </c>
      <c r="M5" s="26" t="s">
        <v>48</v>
      </c>
      <c r="N5" s="26" t="s">
        <v>54</v>
      </c>
      <c r="O5" s="26" t="s">
        <v>66</v>
      </c>
      <c r="P5" s="26" t="s">
        <v>66</v>
      </c>
      <c r="Q5" s="26" t="s">
        <v>50</v>
      </c>
      <c r="R5" s="38">
        <v>46113</v>
      </c>
      <c r="S5" s="38">
        <v>46142</v>
      </c>
      <c r="T5" s="19"/>
      <c r="U5" s="19">
        <v>1</v>
      </c>
      <c r="V5" s="19">
        <v>1</v>
      </c>
      <c r="W5" s="19">
        <v>1</v>
      </c>
      <c r="X5" s="22"/>
      <c r="Y5" s="19"/>
      <c r="Z5" s="19"/>
      <c r="AA5" s="19"/>
      <c r="AB5" s="19">
        <v>1</v>
      </c>
      <c r="AC5" s="19">
        <v>1</v>
      </c>
      <c r="AD5" s="19">
        <v>1</v>
      </c>
      <c r="AE5" s="22"/>
      <c r="AF5" s="19"/>
      <c r="AG5" s="19"/>
      <c r="AH5" s="19"/>
      <c r="AI5" s="19">
        <v>1</v>
      </c>
      <c r="AJ5" s="19">
        <v>1</v>
      </c>
      <c r="AK5" s="19">
        <v>1</v>
      </c>
      <c r="AL5" s="22"/>
      <c r="AM5" s="19"/>
      <c r="AN5" s="19"/>
      <c r="AO5" s="19"/>
      <c r="AP5" s="19">
        <v>1</v>
      </c>
      <c r="AQ5" s="19">
        <v>1</v>
      </c>
      <c r="AR5" s="19">
        <v>1</v>
      </c>
      <c r="AS5" s="22"/>
      <c r="AT5" s="19"/>
      <c r="AU5" s="19"/>
      <c r="AV5" s="19"/>
      <c r="AW5" s="19">
        <v>1</v>
      </c>
      <c r="AX5" s="19">
        <f>SUM(T5:AW5)</f>
        <v>13</v>
      </c>
      <c r="AY5" s="20"/>
      <c r="AZ5" s="19"/>
      <c r="BA5" s="20"/>
      <c r="BB5" s="49"/>
    </row>
    <row r="6" spans="1:54" ht="13.5" customHeight="1" x14ac:dyDescent="0.2">
      <c r="A6" s="104" t="s">
        <v>553</v>
      </c>
      <c r="B6" s="86" t="s">
        <v>44</v>
      </c>
      <c r="C6" s="26" t="s">
        <v>62</v>
      </c>
      <c r="D6" s="35" t="s">
        <v>63</v>
      </c>
      <c r="E6" s="26">
        <v>484</v>
      </c>
      <c r="F6" s="26" t="s">
        <v>2307</v>
      </c>
      <c r="G6" s="35" t="s">
        <v>1961</v>
      </c>
      <c r="H6" s="37">
        <v>0.5</v>
      </c>
      <c r="I6" s="37" t="s">
        <v>53</v>
      </c>
      <c r="J6" s="37">
        <v>0.5</v>
      </c>
      <c r="K6" s="37" t="s">
        <v>53</v>
      </c>
      <c r="L6" s="35" t="str">
        <f>VLOOKUP(Tabla411[[#This Row],[BTL CVE]],tblPDV[#All],13,0)</f>
        <v xml:space="preserve">LOPEZ GUTIERREZ LUZ EVELIA </v>
      </c>
      <c r="M6" s="26" t="s">
        <v>48</v>
      </c>
      <c r="N6" s="26" t="s">
        <v>54</v>
      </c>
      <c r="O6" s="26" t="s">
        <v>55</v>
      </c>
      <c r="P6" s="26" t="s">
        <v>55</v>
      </c>
      <c r="Q6" s="26" t="s">
        <v>50</v>
      </c>
      <c r="R6" s="38">
        <v>46113</v>
      </c>
      <c r="S6" s="38">
        <v>46142</v>
      </c>
      <c r="T6" s="19">
        <v>1</v>
      </c>
      <c r="U6" s="19"/>
      <c r="V6" s="19"/>
      <c r="W6" s="19"/>
      <c r="X6" s="22"/>
      <c r="Y6" s="19">
        <v>1</v>
      </c>
      <c r="Z6" s="19">
        <v>1</v>
      </c>
      <c r="AA6" s="19">
        <v>1</v>
      </c>
      <c r="AB6" s="19"/>
      <c r="AC6" s="19"/>
      <c r="AD6" s="19"/>
      <c r="AE6" s="22"/>
      <c r="AF6" s="19">
        <v>1</v>
      </c>
      <c r="AG6" s="19">
        <v>1</v>
      </c>
      <c r="AH6" s="19">
        <v>1</v>
      </c>
      <c r="AI6" s="19"/>
      <c r="AJ6" s="19"/>
      <c r="AK6" s="19"/>
      <c r="AL6" s="22"/>
      <c r="AM6" s="19">
        <v>1</v>
      </c>
      <c r="AN6" s="19">
        <v>1</v>
      </c>
      <c r="AO6" s="19">
        <v>1</v>
      </c>
      <c r="AP6" s="19"/>
      <c r="AQ6" s="19"/>
      <c r="AR6" s="19"/>
      <c r="AS6" s="22"/>
      <c r="AT6" s="19">
        <v>1</v>
      </c>
      <c r="AU6" s="19">
        <v>1</v>
      </c>
      <c r="AV6" s="19">
        <v>1</v>
      </c>
      <c r="AW6" s="19"/>
      <c r="AX6" s="19">
        <f>SUM(T6:AW6)</f>
        <v>13</v>
      </c>
      <c r="AY6" s="20"/>
      <c r="AZ6" s="19"/>
      <c r="BA6" s="20"/>
      <c r="BB6" s="49"/>
    </row>
    <row r="7" spans="1:54" ht="13.5" customHeight="1" x14ac:dyDescent="0.2">
      <c r="A7" s="104" t="s">
        <v>559</v>
      </c>
      <c r="B7" s="86" t="s">
        <v>44</v>
      </c>
      <c r="C7" s="26" t="s">
        <v>457</v>
      </c>
      <c r="D7" s="35" t="s">
        <v>458</v>
      </c>
      <c r="E7" s="26">
        <v>585</v>
      </c>
      <c r="F7" s="26" t="s">
        <v>2392</v>
      </c>
      <c r="G7" s="35" t="s">
        <v>2363</v>
      </c>
      <c r="H7" s="37">
        <v>0.5</v>
      </c>
      <c r="I7" s="37" t="s">
        <v>53</v>
      </c>
      <c r="J7" s="37">
        <v>0.5</v>
      </c>
      <c r="K7" s="37" t="s">
        <v>53</v>
      </c>
      <c r="L7" s="35" t="str">
        <f>VLOOKUP(Tabla411[[#This Row],[BTL CVE]],tblPDV[#All],13,0)</f>
        <v xml:space="preserve">ANIMAS SAUCEDO ANA CRISTINA </v>
      </c>
      <c r="M7" s="26" t="s">
        <v>503</v>
      </c>
      <c r="N7" s="26" t="s">
        <v>54</v>
      </c>
      <c r="O7" s="39" t="s">
        <v>66</v>
      </c>
      <c r="P7" s="39" t="s">
        <v>66</v>
      </c>
      <c r="Q7" s="26" t="s">
        <v>50</v>
      </c>
      <c r="R7" s="38">
        <v>46113</v>
      </c>
      <c r="S7" s="38">
        <v>46142</v>
      </c>
      <c r="T7" s="19"/>
      <c r="U7" s="19">
        <v>1</v>
      </c>
      <c r="V7" s="19">
        <v>1</v>
      </c>
      <c r="W7" s="19">
        <v>1</v>
      </c>
      <c r="X7" s="22"/>
      <c r="Y7" s="19"/>
      <c r="Z7" s="19"/>
      <c r="AA7" s="19"/>
      <c r="AB7" s="19">
        <v>1</v>
      </c>
      <c r="AC7" s="19">
        <v>1</v>
      </c>
      <c r="AD7" s="19">
        <v>1</v>
      </c>
      <c r="AE7" s="22"/>
      <c r="AF7" s="19"/>
      <c r="AG7" s="19"/>
      <c r="AH7" s="19"/>
      <c r="AI7" s="19">
        <v>1</v>
      </c>
      <c r="AJ7" s="19">
        <v>1</v>
      </c>
      <c r="AK7" s="19">
        <v>1</v>
      </c>
      <c r="AL7" s="22"/>
      <c r="AM7" s="19"/>
      <c r="AN7" s="19"/>
      <c r="AO7" s="19"/>
      <c r="AP7" s="19">
        <v>1</v>
      </c>
      <c r="AQ7" s="19">
        <v>1</v>
      </c>
      <c r="AR7" s="19">
        <v>1</v>
      </c>
      <c r="AS7" s="22"/>
      <c r="AT7" s="19"/>
      <c r="AU7" s="19"/>
      <c r="AV7" s="19"/>
      <c r="AW7" s="19">
        <v>1</v>
      </c>
      <c r="AX7" s="19">
        <f>SUM(T7:AW7)</f>
        <v>13</v>
      </c>
      <c r="AY7" s="20"/>
      <c r="AZ7" s="19"/>
      <c r="BA7" s="20"/>
      <c r="BB7" s="49"/>
    </row>
    <row r="8" spans="1:54" ht="13.5" customHeight="1" x14ac:dyDescent="0.2">
      <c r="A8" s="104" t="s">
        <v>561</v>
      </c>
      <c r="B8" s="86" t="s">
        <v>44</v>
      </c>
      <c r="C8" s="26" t="s">
        <v>416</v>
      </c>
      <c r="D8" s="35" t="s">
        <v>417</v>
      </c>
      <c r="E8" s="26">
        <v>550</v>
      </c>
      <c r="F8" s="26" t="s">
        <v>2340</v>
      </c>
      <c r="G8" s="35" t="s">
        <v>1957</v>
      </c>
      <c r="H8" s="37">
        <v>1</v>
      </c>
      <c r="I8" s="37" t="s">
        <v>47</v>
      </c>
      <c r="J8" s="37">
        <v>1</v>
      </c>
      <c r="K8" s="37" t="s">
        <v>47</v>
      </c>
      <c r="L8" s="35" t="str">
        <f>VLOOKUP(Tabla411[[#This Row],[BTL CVE]],tblPDV[#All],13,0)</f>
        <v>CARRILLO XOCHIHUA XOCHITL</v>
      </c>
      <c r="M8" s="26" t="s">
        <v>536</v>
      </c>
      <c r="N8" s="26" t="s">
        <v>54</v>
      </c>
      <c r="O8" s="26" t="s">
        <v>49</v>
      </c>
      <c r="P8" s="26" t="s">
        <v>49</v>
      </c>
      <c r="Q8" s="26" t="s">
        <v>50</v>
      </c>
      <c r="R8" s="38">
        <v>46113</v>
      </c>
      <c r="S8" s="38">
        <v>46142</v>
      </c>
      <c r="T8" s="19">
        <v>1</v>
      </c>
      <c r="U8" s="19">
        <v>1</v>
      </c>
      <c r="V8" s="19">
        <v>1</v>
      </c>
      <c r="W8" s="19">
        <v>1</v>
      </c>
      <c r="X8" s="22"/>
      <c r="Y8" s="19">
        <v>1</v>
      </c>
      <c r="Z8" s="19">
        <v>1</v>
      </c>
      <c r="AA8" s="19">
        <v>1</v>
      </c>
      <c r="AB8" s="19">
        <v>1</v>
      </c>
      <c r="AC8" s="19">
        <v>1</v>
      </c>
      <c r="AD8" s="19">
        <v>1</v>
      </c>
      <c r="AE8" s="22"/>
      <c r="AF8" s="19">
        <v>1</v>
      </c>
      <c r="AG8" s="19">
        <v>1</v>
      </c>
      <c r="AH8" s="19">
        <v>1</v>
      </c>
      <c r="AI8" s="19">
        <v>1</v>
      </c>
      <c r="AJ8" s="19">
        <v>1</v>
      </c>
      <c r="AK8" s="19">
        <v>1</v>
      </c>
      <c r="AL8" s="22"/>
      <c r="AM8" s="19">
        <v>1</v>
      </c>
      <c r="AN8" s="19">
        <v>1</v>
      </c>
      <c r="AO8" s="19">
        <v>1</v>
      </c>
      <c r="AP8" s="19">
        <v>1</v>
      </c>
      <c r="AQ8" s="19">
        <v>1</v>
      </c>
      <c r="AR8" s="19">
        <v>1</v>
      </c>
      <c r="AS8" s="22"/>
      <c r="AT8" s="19">
        <v>1</v>
      </c>
      <c r="AU8" s="19">
        <v>1</v>
      </c>
      <c r="AV8" s="19">
        <v>1</v>
      </c>
      <c r="AW8" s="19">
        <v>1</v>
      </c>
      <c r="AX8" s="19">
        <f>SUM(T8:AW8)</f>
        <v>26</v>
      </c>
      <c r="AY8" s="20"/>
      <c r="AZ8" s="19"/>
      <c r="BA8" s="20"/>
      <c r="BB8" s="49"/>
    </row>
    <row r="9" spans="1:54" ht="13.5" customHeight="1" x14ac:dyDescent="0.2">
      <c r="A9" s="104" t="s">
        <v>547</v>
      </c>
      <c r="B9" s="86" t="s">
        <v>44</v>
      </c>
      <c r="C9" s="26" t="s">
        <v>45</v>
      </c>
      <c r="D9" s="35" t="s">
        <v>46</v>
      </c>
      <c r="E9" s="26">
        <v>295</v>
      </c>
      <c r="F9" s="26" t="s">
        <v>2244</v>
      </c>
      <c r="G9" s="35" t="s">
        <v>1958</v>
      </c>
      <c r="H9" s="37">
        <v>1</v>
      </c>
      <c r="I9" s="37" t="s">
        <v>47</v>
      </c>
      <c r="J9" s="37">
        <v>1</v>
      </c>
      <c r="K9" s="26" t="s">
        <v>47</v>
      </c>
      <c r="L9" s="35" t="str">
        <f>VLOOKUP(Tabla411[[#This Row],[BTL CVE]],tblPDV[#All],13,0)</f>
        <v xml:space="preserve">LOPEZ GUTIERREZ LUZ EVELIA </v>
      </c>
      <c r="M9" s="26" t="s">
        <v>48</v>
      </c>
      <c r="N9" s="26" t="s">
        <v>54</v>
      </c>
      <c r="O9" s="26" t="s">
        <v>49</v>
      </c>
      <c r="P9" s="26" t="s">
        <v>49</v>
      </c>
      <c r="Q9" s="26" t="s">
        <v>50</v>
      </c>
      <c r="R9" s="38">
        <v>46113</v>
      </c>
      <c r="S9" s="38">
        <v>46142</v>
      </c>
      <c r="T9" s="19">
        <v>1</v>
      </c>
      <c r="U9" s="19">
        <v>1</v>
      </c>
      <c r="V9" s="19">
        <v>1</v>
      </c>
      <c r="W9" s="19">
        <v>1</v>
      </c>
      <c r="X9" s="22"/>
      <c r="Y9" s="19">
        <v>1</v>
      </c>
      <c r="Z9" s="19">
        <v>1</v>
      </c>
      <c r="AA9" s="19">
        <v>1</v>
      </c>
      <c r="AB9" s="19">
        <v>1</v>
      </c>
      <c r="AC9" s="19">
        <v>1</v>
      </c>
      <c r="AD9" s="19">
        <v>1</v>
      </c>
      <c r="AE9" s="22"/>
      <c r="AF9" s="19">
        <v>1</v>
      </c>
      <c r="AG9" s="19">
        <v>1</v>
      </c>
      <c r="AH9" s="19">
        <v>1</v>
      </c>
      <c r="AI9" s="19">
        <v>1</v>
      </c>
      <c r="AJ9" s="19">
        <v>1</v>
      </c>
      <c r="AK9" s="19">
        <v>1</v>
      </c>
      <c r="AL9" s="22"/>
      <c r="AM9" s="19">
        <v>1</v>
      </c>
      <c r="AN9" s="19">
        <v>1</v>
      </c>
      <c r="AO9" s="19">
        <v>1</v>
      </c>
      <c r="AP9" s="19">
        <v>1</v>
      </c>
      <c r="AQ9" s="19">
        <v>1</v>
      </c>
      <c r="AR9" s="19">
        <v>1</v>
      </c>
      <c r="AS9" s="22"/>
      <c r="AT9" s="19">
        <v>1</v>
      </c>
      <c r="AU9" s="19">
        <v>1</v>
      </c>
      <c r="AV9" s="19">
        <v>1</v>
      </c>
      <c r="AW9" s="19">
        <v>1</v>
      </c>
      <c r="AX9" s="19">
        <f>SUM(T9:AW9)</f>
        <v>26</v>
      </c>
      <c r="AY9" s="20"/>
      <c r="AZ9" s="19"/>
      <c r="BA9" s="20"/>
      <c r="BB9" s="49"/>
    </row>
    <row r="10" spans="1:54" ht="13.5" customHeight="1" x14ac:dyDescent="0.2">
      <c r="A10" s="104" t="s">
        <v>549</v>
      </c>
      <c r="B10" s="105" t="s">
        <v>44</v>
      </c>
      <c r="C10" s="26" t="s">
        <v>56</v>
      </c>
      <c r="D10" s="35" t="s">
        <v>57</v>
      </c>
      <c r="E10" s="26">
        <v>59</v>
      </c>
      <c r="F10" s="26" t="s">
        <v>2146</v>
      </c>
      <c r="G10" s="35" t="s">
        <v>1526</v>
      </c>
      <c r="H10" s="37">
        <v>1</v>
      </c>
      <c r="I10" s="37" t="s">
        <v>47</v>
      </c>
      <c r="J10" s="37">
        <v>1</v>
      </c>
      <c r="K10" s="37" t="s">
        <v>47</v>
      </c>
      <c r="L10" s="35" t="str">
        <f>VLOOKUP(Tabla411[[#This Row],[BTL CVE]],tblPDV[#All],13,0)</f>
        <v>ALVAREZ GARCIA ADRIANA YULISMA</v>
      </c>
      <c r="M10" s="26" t="s">
        <v>503</v>
      </c>
      <c r="N10" s="26" t="s">
        <v>54</v>
      </c>
      <c r="O10" s="26" t="s">
        <v>49</v>
      </c>
      <c r="P10" s="26" t="s">
        <v>49</v>
      </c>
      <c r="Q10" s="26" t="s">
        <v>50</v>
      </c>
      <c r="R10" s="38">
        <v>46113</v>
      </c>
      <c r="S10" s="38">
        <v>46142</v>
      </c>
      <c r="T10" s="19">
        <v>1</v>
      </c>
      <c r="U10" s="19">
        <v>1</v>
      </c>
      <c r="V10" s="19">
        <v>1</v>
      </c>
      <c r="W10" s="19">
        <v>1</v>
      </c>
      <c r="X10" s="22"/>
      <c r="Y10" s="19">
        <v>1</v>
      </c>
      <c r="Z10" s="19">
        <v>1</v>
      </c>
      <c r="AA10" s="19">
        <v>1</v>
      </c>
      <c r="AB10" s="19">
        <v>1</v>
      </c>
      <c r="AC10" s="19">
        <v>1</v>
      </c>
      <c r="AD10" s="19">
        <v>1</v>
      </c>
      <c r="AE10" s="22"/>
      <c r="AF10" s="19">
        <v>1</v>
      </c>
      <c r="AG10" s="19">
        <v>1</v>
      </c>
      <c r="AH10" s="19">
        <v>1</v>
      </c>
      <c r="AI10" s="19">
        <v>1</v>
      </c>
      <c r="AJ10" s="19">
        <v>1</v>
      </c>
      <c r="AK10" s="19">
        <v>1</v>
      </c>
      <c r="AL10" s="22"/>
      <c r="AM10" s="19">
        <v>1</v>
      </c>
      <c r="AN10" s="19">
        <v>1</v>
      </c>
      <c r="AO10" s="19">
        <v>1</v>
      </c>
      <c r="AP10" s="19">
        <v>1</v>
      </c>
      <c r="AQ10" s="19">
        <v>1</v>
      </c>
      <c r="AR10" s="19">
        <v>1</v>
      </c>
      <c r="AS10" s="22"/>
      <c r="AT10" s="19">
        <v>1</v>
      </c>
      <c r="AU10" s="19">
        <v>1</v>
      </c>
      <c r="AV10" s="19">
        <v>1</v>
      </c>
      <c r="AW10" s="19">
        <v>1</v>
      </c>
      <c r="AX10" s="19">
        <f>SUM(T10:AW10)</f>
        <v>26</v>
      </c>
      <c r="AY10" s="20"/>
      <c r="AZ10" s="19"/>
      <c r="BA10" s="20"/>
      <c r="BB10" s="49"/>
    </row>
    <row r="11" spans="1:54" ht="13.5" customHeight="1" x14ac:dyDescent="0.2">
      <c r="A11" s="104" t="s">
        <v>558</v>
      </c>
      <c r="B11" s="86" t="s">
        <v>44</v>
      </c>
      <c r="C11" s="26" t="s">
        <v>75</v>
      </c>
      <c r="D11" s="35" t="s">
        <v>76</v>
      </c>
      <c r="E11" s="26">
        <v>580</v>
      </c>
      <c r="F11" s="26" t="s">
        <v>2350</v>
      </c>
      <c r="G11" s="35" t="s">
        <v>2095</v>
      </c>
      <c r="H11" s="37">
        <v>1</v>
      </c>
      <c r="I11" s="37" t="s">
        <v>47</v>
      </c>
      <c r="J11" s="37">
        <v>1</v>
      </c>
      <c r="K11" s="37" t="s">
        <v>47</v>
      </c>
      <c r="L11" s="35" t="str">
        <f>VLOOKUP(Tabla411[[#This Row],[BTL CVE]],tblPDV[#All],13,0)</f>
        <v>LOPEZ RUIZ JACQUELINE</v>
      </c>
      <c r="M11" s="26" t="s">
        <v>536</v>
      </c>
      <c r="N11" s="26" t="s">
        <v>54</v>
      </c>
      <c r="O11" s="26" t="s">
        <v>49</v>
      </c>
      <c r="P11" s="26" t="s">
        <v>49</v>
      </c>
      <c r="Q11" s="26" t="s">
        <v>50</v>
      </c>
      <c r="R11" s="38">
        <v>46113</v>
      </c>
      <c r="S11" s="38">
        <v>46142</v>
      </c>
      <c r="T11" s="19">
        <v>1</v>
      </c>
      <c r="U11" s="19">
        <v>1</v>
      </c>
      <c r="V11" s="19">
        <v>1</v>
      </c>
      <c r="W11" s="19">
        <v>1</v>
      </c>
      <c r="X11" s="22"/>
      <c r="Y11" s="19">
        <v>1</v>
      </c>
      <c r="Z11" s="19">
        <v>1</v>
      </c>
      <c r="AA11" s="19">
        <v>1</v>
      </c>
      <c r="AB11" s="19">
        <v>1</v>
      </c>
      <c r="AC11" s="19">
        <v>1</v>
      </c>
      <c r="AD11" s="19">
        <v>1</v>
      </c>
      <c r="AE11" s="22"/>
      <c r="AF11" s="19">
        <v>1</v>
      </c>
      <c r="AG11" s="19">
        <v>1</v>
      </c>
      <c r="AH11" s="19">
        <v>1</v>
      </c>
      <c r="AI11" s="19">
        <v>1</v>
      </c>
      <c r="AJ11" s="19">
        <v>1</v>
      </c>
      <c r="AK11" s="19">
        <v>1</v>
      </c>
      <c r="AL11" s="22"/>
      <c r="AM11" s="19">
        <v>1</v>
      </c>
      <c r="AN11" s="19">
        <v>1</v>
      </c>
      <c r="AO11" s="19">
        <v>1</v>
      </c>
      <c r="AP11" s="19">
        <v>1</v>
      </c>
      <c r="AQ11" s="19">
        <v>1</v>
      </c>
      <c r="AR11" s="19">
        <v>1</v>
      </c>
      <c r="AS11" s="22"/>
      <c r="AT11" s="19">
        <v>1</v>
      </c>
      <c r="AU11" s="19">
        <v>1</v>
      </c>
      <c r="AV11" s="19">
        <v>1</v>
      </c>
      <c r="AW11" s="19">
        <v>1</v>
      </c>
      <c r="AX11" s="19">
        <f>SUM(T11:AW11)</f>
        <v>26</v>
      </c>
      <c r="AY11" s="20"/>
      <c r="AZ11" s="19"/>
      <c r="BA11" s="20"/>
      <c r="BB11" s="49"/>
    </row>
    <row r="12" spans="1:54" ht="13.5" customHeight="1" x14ac:dyDescent="0.2">
      <c r="A12" s="104" t="s">
        <v>552</v>
      </c>
      <c r="B12" s="86" t="s">
        <v>44</v>
      </c>
      <c r="C12" s="26" t="s">
        <v>69</v>
      </c>
      <c r="D12" s="35" t="s">
        <v>70</v>
      </c>
      <c r="E12" s="26">
        <v>297</v>
      </c>
      <c r="F12" s="26" t="s">
        <v>2245</v>
      </c>
      <c r="G12" s="35" t="s">
        <v>1960</v>
      </c>
      <c r="H12" s="37">
        <v>1</v>
      </c>
      <c r="I12" s="37" t="s">
        <v>47</v>
      </c>
      <c r="J12" s="37">
        <v>1</v>
      </c>
      <c r="K12" s="37" t="s">
        <v>47</v>
      </c>
      <c r="L12" s="35" t="str">
        <f>VLOOKUP(Tabla411[[#This Row],[BTL CVE]],tblPDV[#All],13,0)</f>
        <v xml:space="preserve">LOPEZ GUTIERREZ LUZ EVELIA </v>
      </c>
      <c r="M12" s="26" t="s">
        <v>48</v>
      </c>
      <c r="N12" s="26" t="s">
        <v>54</v>
      </c>
      <c r="O12" s="26" t="s">
        <v>49</v>
      </c>
      <c r="P12" s="26" t="s">
        <v>49</v>
      </c>
      <c r="Q12" s="26" t="s">
        <v>50</v>
      </c>
      <c r="R12" s="38">
        <v>46113</v>
      </c>
      <c r="S12" s="38">
        <v>46142</v>
      </c>
      <c r="T12" s="19">
        <v>1</v>
      </c>
      <c r="U12" s="19">
        <v>1</v>
      </c>
      <c r="V12" s="19">
        <v>1</v>
      </c>
      <c r="W12" s="19">
        <v>1</v>
      </c>
      <c r="X12" s="22"/>
      <c r="Y12" s="19">
        <v>1</v>
      </c>
      <c r="Z12" s="19">
        <v>1</v>
      </c>
      <c r="AA12" s="19">
        <v>1</v>
      </c>
      <c r="AB12" s="19">
        <v>1</v>
      </c>
      <c r="AC12" s="19">
        <v>1</v>
      </c>
      <c r="AD12" s="19">
        <v>1</v>
      </c>
      <c r="AE12" s="22"/>
      <c r="AF12" s="19">
        <v>1</v>
      </c>
      <c r="AG12" s="19">
        <v>1</v>
      </c>
      <c r="AH12" s="19">
        <v>1</v>
      </c>
      <c r="AI12" s="19">
        <v>1</v>
      </c>
      <c r="AJ12" s="19">
        <v>1</v>
      </c>
      <c r="AK12" s="19">
        <v>1</v>
      </c>
      <c r="AL12" s="22"/>
      <c r="AM12" s="19">
        <v>1</v>
      </c>
      <c r="AN12" s="19">
        <v>1</v>
      </c>
      <c r="AO12" s="19">
        <v>1</v>
      </c>
      <c r="AP12" s="19">
        <v>1</v>
      </c>
      <c r="AQ12" s="19">
        <v>1</v>
      </c>
      <c r="AR12" s="19">
        <v>1</v>
      </c>
      <c r="AS12" s="22"/>
      <c r="AT12" s="19">
        <v>1</v>
      </c>
      <c r="AU12" s="19">
        <v>1</v>
      </c>
      <c r="AV12" s="19">
        <v>1</v>
      </c>
      <c r="AW12" s="19">
        <v>1</v>
      </c>
      <c r="AX12" s="19">
        <f>SUM(T12:AW12)</f>
        <v>26</v>
      </c>
      <c r="AY12" s="20"/>
      <c r="AZ12" s="19"/>
      <c r="BA12" s="20"/>
      <c r="BB12" s="49"/>
    </row>
    <row r="13" spans="1:54" ht="13.5" customHeight="1" x14ac:dyDescent="0.2">
      <c r="A13" s="104" t="s">
        <v>555</v>
      </c>
      <c r="B13" s="105" t="s">
        <v>44</v>
      </c>
      <c r="C13" s="26" t="s">
        <v>67</v>
      </c>
      <c r="D13" s="35" t="s">
        <v>68</v>
      </c>
      <c r="E13" s="26">
        <v>461</v>
      </c>
      <c r="F13" s="26" t="s">
        <v>2296</v>
      </c>
      <c r="G13" s="35" t="s">
        <v>1488</v>
      </c>
      <c r="H13" s="37">
        <v>1</v>
      </c>
      <c r="I13" s="37" t="s">
        <v>47</v>
      </c>
      <c r="J13" s="37">
        <v>1</v>
      </c>
      <c r="K13" s="37" t="s">
        <v>47</v>
      </c>
      <c r="L13" s="35" t="str">
        <f>VLOOKUP(Tabla411[[#This Row],[BTL CVE]],tblPDV[#All],13,0)</f>
        <v xml:space="preserve">MONROY GONZALEZ MARIA ZENAIDA </v>
      </c>
      <c r="M13" s="26" t="s">
        <v>536</v>
      </c>
      <c r="N13" s="26" t="s">
        <v>54</v>
      </c>
      <c r="O13" s="26" t="s">
        <v>49</v>
      </c>
      <c r="P13" s="26" t="s">
        <v>49</v>
      </c>
      <c r="Q13" s="26" t="s">
        <v>50</v>
      </c>
      <c r="R13" s="38">
        <v>46113</v>
      </c>
      <c r="S13" s="38">
        <v>46142</v>
      </c>
      <c r="T13" s="19">
        <v>1</v>
      </c>
      <c r="U13" s="19">
        <v>1</v>
      </c>
      <c r="V13" s="19">
        <v>1</v>
      </c>
      <c r="W13" s="19">
        <v>1</v>
      </c>
      <c r="X13" s="22"/>
      <c r="Y13" s="19">
        <v>1</v>
      </c>
      <c r="Z13" s="19">
        <v>1</v>
      </c>
      <c r="AA13" s="19">
        <v>1</v>
      </c>
      <c r="AB13" s="19">
        <v>1</v>
      </c>
      <c r="AC13" s="19">
        <v>1</v>
      </c>
      <c r="AD13" s="19">
        <v>1</v>
      </c>
      <c r="AE13" s="22"/>
      <c r="AF13" s="19">
        <v>1</v>
      </c>
      <c r="AG13" s="19">
        <v>1</v>
      </c>
      <c r="AH13" s="19">
        <v>1</v>
      </c>
      <c r="AI13" s="19">
        <v>1</v>
      </c>
      <c r="AJ13" s="19">
        <v>1</v>
      </c>
      <c r="AK13" s="19">
        <v>1</v>
      </c>
      <c r="AL13" s="22"/>
      <c r="AM13" s="19">
        <v>1</v>
      </c>
      <c r="AN13" s="19">
        <v>1</v>
      </c>
      <c r="AO13" s="19">
        <v>1</v>
      </c>
      <c r="AP13" s="19">
        <v>1</v>
      </c>
      <c r="AQ13" s="19">
        <v>1</v>
      </c>
      <c r="AR13" s="19">
        <v>1</v>
      </c>
      <c r="AS13" s="22"/>
      <c r="AT13" s="19">
        <v>1</v>
      </c>
      <c r="AU13" s="19">
        <v>1</v>
      </c>
      <c r="AV13" s="19">
        <v>1</v>
      </c>
      <c r="AW13" s="19">
        <v>1</v>
      </c>
      <c r="AX13" s="19">
        <f>SUM(T13:AW13)</f>
        <v>26</v>
      </c>
      <c r="AY13" s="20"/>
      <c r="AZ13" s="19"/>
      <c r="BA13" s="20"/>
      <c r="BB13" s="49"/>
    </row>
    <row r="14" spans="1:54" ht="13.5" customHeight="1" x14ac:dyDescent="0.2">
      <c r="A14" s="104" t="s">
        <v>562</v>
      </c>
      <c r="B14" s="86" t="s">
        <v>44</v>
      </c>
      <c r="C14" s="26" t="s">
        <v>414</v>
      </c>
      <c r="D14" s="35" t="s">
        <v>415</v>
      </c>
      <c r="E14" s="26">
        <v>73</v>
      </c>
      <c r="F14" s="26" t="s">
        <v>2155</v>
      </c>
      <c r="G14" s="35" t="s">
        <v>1531</v>
      </c>
      <c r="H14" s="37">
        <v>1</v>
      </c>
      <c r="I14" s="37" t="s">
        <v>47</v>
      </c>
      <c r="J14" s="37">
        <v>1</v>
      </c>
      <c r="K14" s="26" t="s">
        <v>47</v>
      </c>
      <c r="L14" s="35" t="str">
        <f>VLOOKUP(Tabla411[[#This Row],[BTL CVE]],tblPDV[#All],13,0)</f>
        <v xml:space="preserve">ESTRADA NAVA MIRIAM ROCIO </v>
      </c>
      <c r="M14" s="26" t="s">
        <v>536</v>
      </c>
      <c r="N14" s="26" t="s">
        <v>54</v>
      </c>
      <c r="O14" s="26" t="s">
        <v>49</v>
      </c>
      <c r="P14" s="26" t="s">
        <v>49</v>
      </c>
      <c r="Q14" s="26" t="s">
        <v>50</v>
      </c>
      <c r="R14" s="38">
        <v>46113</v>
      </c>
      <c r="S14" s="38">
        <v>46142</v>
      </c>
      <c r="T14" s="19">
        <v>1</v>
      </c>
      <c r="U14" s="19">
        <v>1</v>
      </c>
      <c r="V14" s="19">
        <v>1</v>
      </c>
      <c r="W14" s="19">
        <v>1</v>
      </c>
      <c r="X14" s="22"/>
      <c r="Y14" s="19">
        <v>1</v>
      </c>
      <c r="Z14" s="19">
        <v>1</v>
      </c>
      <c r="AA14" s="19">
        <v>1</v>
      </c>
      <c r="AB14" s="19">
        <v>1</v>
      </c>
      <c r="AC14" s="19">
        <v>1</v>
      </c>
      <c r="AD14" s="19">
        <v>1</v>
      </c>
      <c r="AE14" s="22"/>
      <c r="AF14" s="19">
        <v>1</v>
      </c>
      <c r="AG14" s="19">
        <v>1</v>
      </c>
      <c r="AH14" s="19">
        <v>1</v>
      </c>
      <c r="AI14" s="19">
        <v>1</v>
      </c>
      <c r="AJ14" s="19">
        <v>1</v>
      </c>
      <c r="AK14" s="19">
        <v>1</v>
      </c>
      <c r="AL14" s="22"/>
      <c r="AM14" s="19">
        <v>1</v>
      </c>
      <c r="AN14" s="19">
        <v>1</v>
      </c>
      <c r="AO14" s="19">
        <v>1</v>
      </c>
      <c r="AP14" s="19">
        <v>1</v>
      </c>
      <c r="AQ14" s="19">
        <v>1</v>
      </c>
      <c r="AR14" s="19">
        <v>1</v>
      </c>
      <c r="AS14" s="22"/>
      <c r="AT14" s="19">
        <v>1</v>
      </c>
      <c r="AU14" s="19">
        <v>1</v>
      </c>
      <c r="AV14" s="19">
        <v>1</v>
      </c>
      <c r="AW14" s="19">
        <v>1</v>
      </c>
      <c r="AX14" s="19">
        <f>SUM(T14:AW14)</f>
        <v>26</v>
      </c>
      <c r="AY14" s="20"/>
      <c r="AZ14" s="19"/>
      <c r="BA14" s="20"/>
      <c r="BB14" s="49"/>
    </row>
    <row r="15" spans="1:54" ht="13.5" customHeight="1" x14ac:dyDescent="0.2">
      <c r="A15" s="104" t="s">
        <v>560</v>
      </c>
      <c r="B15" s="86" t="s">
        <v>44</v>
      </c>
      <c r="C15" s="26" t="s">
        <v>412</v>
      </c>
      <c r="D15" s="35" t="s">
        <v>413</v>
      </c>
      <c r="E15" s="26">
        <v>195</v>
      </c>
      <c r="F15" s="26" t="s">
        <v>2210</v>
      </c>
      <c r="G15" s="35" t="s">
        <v>1962</v>
      </c>
      <c r="H15" s="37">
        <v>1</v>
      </c>
      <c r="I15" s="37" t="s">
        <v>47</v>
      </c>
      <c r="J15" s="37">
        <v>1</v>
      </c>
      <c r="K15" s="37" t="s">
        <v>47</v>
      </c>
      <c r="L15" s="35" t="str">
        <f>VLOOKUP(Tabla411[[#This Row],[BTL CVE]],tblPDV[#All],13,0)</f>
        <v xml:space="preserve">ESTRADA NAVA MIRIAM ROCIO </v>
      </c>
      <c r="M15" s="26" t="s">
        <v>536</v>
      </c>
      <c r="N15" s="26" t="s">
        <v>54</v>
      </c>
      <c r="O15" s="26" t="s">
        <v>49</v>
      </c>
      <c r="P15" s="26" t="s">
        <v>49</v>
      </c>
      <c r="Q15" s="26" t="s">
        <v>50</v>
      </c>
      <c r="R15" s="38">
        <v>46113</v>
      </c>
      <c r="S15" s="38">
        <v>46142</v>
      </c>
      <c r="T15" s="19">
        <v>1</v>
      </c>
      <c r="U15" s="19">
        <v>1</v>
      </c>
      <c r="V15" s="19">
        <v>1</v>
      </c>
      <c r="W15" s="19">
        <v>1</v>
      </c>
      <c r="X15" s="22"/>
      <c r="Y15" s="19">
        <v>1</v>
      </c>
      <c r="Z15" s="19">
        <v>1</v>
      </c>
      <c r="AA15" s="19">
        <v>1</v>
      </c>
      <c r="AB15" s="19">
        <v>1</v>
      </c>
      <c r="AC15" s="19">
        <v>1</v>
      </c>
      <c r="AD15" s="19">
        <v>1</v>
      </c>
      <c r="AE15" s="22"/>
      <c r="AF15" s="19">
        <v>1</v>
      </c>
      <c r="AG15" s="19">
        <v>1</v>
      </c>
      <c r="AH15" s="19">
        <v>1</v>
      </c>
      <c r="AI15" s="19">
        <v>1</v>
      </c>
      <c r="AJ15" s="19">
        <v>1</v>
      </c>
      <c r="AK15" s="19">
        <v>1</v>
      </c>
      <c r="AL15" s="22"/>
      <c r="AM15" s="19">
        <v>1</v>
      </c>
      <c r="AN15" s="19">
        <v>1</v>
      </c>
      <c r="AO15" s="19">
        <v>1</v>
      </c>
      <c r="AP15" s="19">
        <v>1</v>
      </c>
      <c r="AQ15" s="19">
        <v>1</v>
      </c>
      <c r="AR15" s="19">
        <v>1</v>
      </c>
      <c r="AS15" s="22"/>
      <c r="AT15" s="19">
        <v>1</v>
      </c>
      <c r="AU15" s="19">
        <v>1</v>
      </c>
      <c r="AV15" s="19">
        <v>1</v>
      </c>
      <c r="AW15" s="19">
        <v>1</v>
      </c>
      <c r="AX15" s="19">
        <f>SUM(T15:AW15)</f>
        <v>26</v>
      </c>
      <c r="AY15" s="20"/>
      <c r="AZ15" s="19"/>
      <c r="BA15" s="20"/>
      <c r="BB15" s="49"/>
    </row>
    <row r="16" spans="1:54" ht="14.45" customHeight="1" x14ac:dyDescent="0.2">
      <c r="A16" s="104" t="s">
        <v>550</v>
      </c>
      <c r="B16" s="86" t="s">
        <v>44</v>
      </c>
      <c r="C16" s="26" t="s">
        <v>58</v>
      </c>
      <c r="D16" s="35" t="s">
        <v>59</v>
      </c>
      <c r="E16" s="26">
        <v>173</v>
      </c>
      <c r="F16" s="26" t="s">
        <v>2203</v>
      </c>
      <c r="G16" s="35" t="s">
        <v>1963</v>
      </c>
      <c r="H16" s="37">
        <v>1</v>
      </c>
      <c r="I16" s="37" t="s">
        <v>47</v>
      </c>
      <c r="J16" s="37">
        <v>1</v>
      </c>
      <c r="K16" s="26" t="s">
        <v>47</v>
      </c>
      <c r="L16" s="35" t="str">
        <f>VLOOKUP(Tabla411[[#This Row],[BTL CVE]],tblPDV[#All],13,0)</f>
        <v xml:space="preserve">MONROY GONZALEZ MARIA ZENAIDA </v>
      </c>
      <c r="M16" s="26" t="s">
        <v>536</v>
      </c>
      <c r="N16" s="26" t="s">
        <v>54</v>
      </c>
      <c r="O16" s="26" t="s">
        <v>49</v>
      </c>
      <c r="P16" s="26" t="s">
        <v>49</v>
      </c>
      <c r="Q16" s="26" t="s">
        <v>50</v>
      </c>
      <c r="R16" s="38">
        <v>46113</v>
      </c>
      <c r="S16" s="38">
        <v>46142</v>
      </c>
      <c r="T16" s="19">
        <v>1</v>
      </c>
      <c r="U16" s="19">
        <v>1</v>
      </c>
      <c r="V16" s="19">
        <v>1</v>
      </c>
      <c r="W16" s="19">
        <v>1</v>
      </c>
      <c r="X16" s="22"/>
      <c r="Y16" s="19">
        <v>1</v>
      </c>
      <c r="Z16" s="19">
        <v>1</v>
      </c>
      <c r="AA16" s="19">
        <v>1</v>
      </c>
      <c r="AB16" s="19">
        <v>1</v>
      </c>
      <c r="AC16" s="19">
        <v>1</v>
      </c>
      <c r="AD16" s="19">
        <v>1</v>
      </c>
      <c r="AE16" s="22"/>
      <c r="AF16" s="19">
        <v>1</v>
      </c>
      <c r="AG16" s="19">
        <v>1</v>
      </c>
      <c r="AH16" s="19">
        <v>1</v>
      </c>
      <c r="AI16" s="19">
        <v>1</v>
      </c>
      <c r="AJ16" s="19">
        <v>1</v>
      </c>
      <c r="AK16" s="19">
        <v>1</v>
      </c>
      <c r="AL16" s="22"/>
      <c r="AM16" s="19">
        <v>1</v>
      </c>
      <c r="AN16" s="19">
        <v>1</v>
      </c>
      <c r="AO16" s="19">
        <v>1</v>
      </c>
      <c r="AP16" s="19">
        <v>1</v>
      </c>
      <c r="AQ16" s="19">
        <v>1</v>
      </c>
      <c r="AR16" s="19">
        <v>1</v>
      </c>
      <c r="AS16" s="22"/>
      <c r="AT16" s="19">
        <v>1</v>
      </c>
      <c r="AU16" s="19">
        <v>1</v>
      </c>
      <c r="AV16" s="19">
        <v>1</v>
      </c>
      <c r="AW16" s="19">
        <v>1</v>
      </c>
      <c r="AX16" s="19">
        <f>SUM(T16:AW16)</f>
        <v>26</v>
      </c>
      <c r="AY16" s="20"/>
      <c r="AZ16" s="19"/>
      <c r="BA16" s="20"/>
      <c r="BB16" s="49"/>
    </row>
    <row r="17" spans="1:54" ht="13.5" customHeight="1" x14ac:dyDescent="0.2">
      <c r="A17" s="104" t="s">
        <v>551</v>
      </c>
      <c r="B17" s="86" t="s">
        <v>44</v>
      </c>
      <c r="C17" s="26" t="s">
        <v>60</v>
      </c>
      <c r="D17" s="35" t="s">
        <v>61</v>
      </c>
      <c r="E17" s="26">
        <v>557</v>
      </c>
      <c r="F17" s="26" t="s">
        <v>2344</v>
      </c>
      <c r="G17" s="35" t="s">
        <v>1601</v>
      </c>
      <c r="H17" s="37">
        <v>1</v>
      </c>
      <c r="I17" s="37" t="s">
        <v>47</v>
      </c>
      <c r="J17" s="37">
        <v>1</v>
      </c>
      <c r="K17" s="37" t="s">
        <v>47</v>
      </c>
      <c r="L17" s="35" t="str">
        <f>VLOOKUP(Tabla411[[#This Row],[BTL CVE]],tblPDV[#All],13,0)</f>
        <v xml:space="preserve">MONROY GONZALEZ MARIA ZENAIDA </v>
      </c>
      <c r="M17" s="26" t="s">
        <v>536</v>
      </c>
      <c r="N17" s="26" t="s">
        <v>1528</v>
      </c>
      <c r="O17" s="26" t="s">
        <v>49</v>
      </c>
      <c r="P17" s="26" t="s">
        <v>49</v>
      </c>
      <c r="Q17" s="26" t="s">
        <v>50</v>
      </c>
      <c r="R17" s="38">
        <v>46113</v>
      </c>
      <c r="S17" s="38">
        <v>46142</v>
      </c>
      <c r="T17" s="19">
        <v>1</v>
      </c>
      <c r="U17" s="19">
        <v>1</v>
      </c>
      <c r="V17" s="19">
        <v>1</v>
      </c>
      <c r="W17" s="19">
        <v>1</v>
      </c>
      <c r="X17" s="22"/>
      <c r="Y17" s="19">
        <v>1</v>
      </c>
      <c r="Z17" s="19">
        <v>1</v>
      </c>
      <c r="AA17" s="19">
        <v>1</v>
      </c>
      <c r="AB17" s="19">
        <v>1</v>
      </c>
      <c r="AC17" s="19">
        <v>1</v>
      </c>
      <c r="AD17" s="19">
        <v>1</v>
      </c>
      <c r="AE17" s="22"/>
      <c r="AF17" s="19">
        <v>1</v>
      </c>
      <c r="AG17" s="19">
        <v>1</v>
      </c>
      <c r="AH17" s="19">
        <v>1</v>
      </c>
      <c r="AI17" s="19">
        <v>1</v>
      </c>
      <c r="AJ17" s="19">
        <v>1</v>
      </c>
      <c r="AK17" s="19">
        <v>1</v>
      </c>
      <c r="AL17" s="22"/>
      <c r="AM17" s="19">
        <v>1</v>
      </c>
      <c r="AN17" s="19">
        <v>1</v>
      </c>
      <c r="AO17" s="19">
        <v>1</v>
      </c>
      <c r="AP17" s="19">
        <v>1</v>
      </c>
      <c r="AQ17" s="19">
        <v>1</v>
      </c>
      <c r="AR17" s="19">
        <v>1</v>
      </c>
      <c r="AS17" s="22"/>
      <c r="AT17" s="19">
        <v>1</v>
      </c>
      <c r="AU17" s="19">
        <v>1</v>
      </c>
      <c r="AV17" s="19">
        <v>1</v>
      </c>
      <c r="AW17" s="19">
        <v>1</v>
      </c>
      <c r="AX17" s="19">
        <f>SUM(T17:AW17)</f>
        <v>26</v>
      </c>
      <c r="AY17" s="20"/>
      <c r="AZ17" s="19"/>
      <c r="BA17" s="20"/>
      <c r="BB17" s="49"/>
    </row>
    <row r="18" spans="1:54" ht="13.5" customHeight="1" x14ac:dyDescent="0.2">
      <c r="A18" s="104" t="s">
        <v>556</v>
      </c>
      <c r="B18" s="86" t="s">
        <v>44</v>
      </c>
      <c r="C18" s="26" t="s">
        <v>71</v>
      </c>
      <c r="D18" s="35" t="s">
        <v>72</v>
      </c>
      <c r="E18" s="26">
        <v>26</v>
      </c>
      <c r="F18" s="26" t="s">
        <v>2134</v>
      </c>
      <c r="G18" s="35" t="s">
        <v>1964</v>
      </c>
      <c r="H18" s="37">
        <v>1</v>
      </c>
      <c r="I18" s="37" t="s">
        <v>47</v>
      </c>
      <c r="J18" s="37">
        <v>1</v>
      </c>
      <c r="K18" s="37" t="s">
        <v>47</v>
      </c>
      <c r="L18" s="35" t="str">
        <f>VLOOKUP(Tabla411[[#This Row],[BTL CVE]],tblPDV[#All],13,0)</f>
        <v>ALVAREZ GARCIA ADRIANA YULISMA</v>
      </c>
      <c r="M18" s="26" t="s">
        <v>503</v>
      </c>
      <c r="N18" s="26" t="s">
        <v>54</v>
      </c>
      <c r="O18" s="26" t="s">
        <v>49</v>
      </c>
      <c r="P18" s="26" t="s">
        <v>49</v>
      </c>
      <c r="Q18" s="26" t="s">
        <v>50</v>
      </c>
      <c r="R18" s="38">
        <v>46113</v>
      </c>
      <c r="S18" s="38">
        <v>46142</v>
      </c>
      <c r="T18" s="19">
        <v>1</v>
      </c>
      <c r="U18" s="19">
        <v>1</v>
      </c>
      <c r="V18" s="19">
        <v>1</v>
      </c>
      <c r="W18" s="19">
        <v>1</v>
      </c>
      <c r="X18" s="22"/>
      <c r="Y18" s="19">
        <v>1</v>
      </c>
      <c r="Z18" s="19">
        <v>1</v>
      </c>
      <c r="AA18" s="19">
        <v>1</v>
      </c>
      <c r="AB18" s="19">
        <v>1</v>
      </c>
      <c r="AC18" s="19">
        <v>1</v>
      </c>
      <c r="AD18" s="19">
        <v>1</v>
      </c>
      <c r="AE18" s="22"/>
      <c r="AF18" s="19">
        <v>1</v>
      </c>
      <c r="AG18" s="19">
        <v>1</v>
      </c>
      <c r="AH18" s="19">
        <v>1</v>
      </c>
      <c r="AI18" s="19">
        <v>1</v>
      </c>
      <c r="AJ18" s="19">
        <v>1</v>
      </c>
      <c r="AK18" s="19">
        <v>1</v>
      </c>
      <c r="AL18" s="22"/>
      <c r="AM18" s="19">
        <v>1</v>
      </c>
      <c r="AN18" s="19">
        <v>1</v>
      </c>
      <c r="AO18" s="19">
        <v>1</v>
      </c>
      <c r="AP18" s="19">
        <v>1</v>
      </c>
      <c r="AQ18" s="19">
        <v>1</v>
      </c>
      <c r="AR18" s="19">
        <v>1</v>
      </c>
      <c r="AS18" s="22"/>
      <c r="AT18" s="19">
        <v>1</v>
      </c>
      <c r="AU18" s="19">
        <v>1</v>
      </c>
      <c r="AV18" s="19">
        <v>1</v>
      </c>
      <c r="AW18" s="19">
        <v>1</v>
      </c>
      <c r="AX18" s="19">
        <f>SUM(T18:AW18)</f>
        <v>26</v>
      </c>
      <c r="AY18" s="20"/>
      <c r="AZ18" s="19"/>
      <c r="BA18" s="20"/>
      <c r="BB18" s="49"/>
    </row>
    <row r="19" spans="1:54" ht="13.5" customHeight="1" x14ac:dyDescent="0.2">
      <c r="A19" s="104" t="s">
        <v>557</v>
      </c>
      <c r="B19" s="86" t="s">
        <v>44</v>
      </c>
      <c r="C19" s="26" t="s">
        <v>73</v>
      </c>
      <c r="D19" s="35" t="s">
        <v>74</v>
      </c>
      <c r="E19" s="26">
        <v>505</v>
      </c>
      <c r="F19" s="26" t="s">
        <v>2319</v>
      </c>
      <c r="G19" s="35" t="s">
        <v>523</v>
      </c>
      <c r="H19" s="37">
        <v>1</v>
      </c>
      <c r="I19" s="37" t="s">
        <v>47</v>
      </c>
      <c r="J19" s="37">
        <v>1</v>
      </c>
      <c r="K19" s="37" t="s">
        <v>47</v>
      </c>
      <c r="L19" s="35" t="str">
        <f>VLOOKUP(Tabla411[[#This Row],[BTL CVE]],tblPDV[#All],13,0)</f>
        <v xml:space="preserve">MONROY GONZALEZ MARIA ZENAIDA </v>
      </c>
      <c r="M19" s="26" t="s">
        <v>536</v>
      </c>
      <c r="N19" s="26" t="s">
        <v>54</v>
      </c>
      <c r="O19" s="26" t="s">
        <v>49</v>
      </c>
      <c r="P19" s="26" t="s">
        <v>49</v>
      </c>
      <c r="Q19" s="26" t="s">
        <v>50</v>
      </c>
      <c r="R19" s="38">
        <v>46113</v>
      </c>
      <c r="S19" s="38">
        <v>46142</v>
      </c>
      <c r="T19" s="19">
        <v>1</v>
      </c>
      <c r="U19" s="19">
        <v>1</v>
      </c>
      <c r="V19" s="19">
        <v>1</v>
      </c>
      <c r="W19" s="19">
        <v>1</v>
      </c>
      <c r="X19" s="22"/>
      <c r="Y19" s="19">
        <v>1</v>
      </c>
      <c r="Z19" s="19">
        <v>1</v>
      </c>
      <c r="AA19" s="19">
        <v>1</v>
      </c>
      <c r="AB19" s="19">
        <v>1</v>
      </c>
      <c r="AC19" s="19">
        <v>1</v>
      </c>
      <c r="AD19" s="19">
        <v>1</v>
      </c>
      <c r="AE19" s="22"/>
      <c r="AF19" s="19">
        <v>1</v>
      </c>
      <c r="AG19" s="19">
        <v>1</v>
      </c>
      <c r="AH19" s="19">
        <v>1</v>
      </c>
      <c r="AI19" s="19">
        <v>1</v>
      </c>
      <c r="AJ19" s="19">
        <v>1</v>
      </c>
      <c r="AK19" s="19">
        <v>1</v>
      </c>
      <c r="AL19" s="22"/>
      <c r="AM19" s="19">
        <v>1</v>
      </c>
      <c r="AN19" s="19">
        <v>1</v>
      </c>
      <c r="AO19" s="19">
        <v>1</v>
      </c>
      <c r="AP19" s="19">
        <v>1</v>
      </c>
      <c r="AQ19" s="19">
        <v>1</v>
      </c>
      <c r="AR19" s="19">
        <v>1</v>
      </c>
      <c r="AS19" s="22"/>
      <c r="AT19" s="19">
        <v>1</v>
      </c>
      <c r="AU19" s="19">
        <v>1</v>
      </c>
      <c r="AV19" s="19">
        <v>1</v>
      </c>
      <c r="AW19" s="19">
        <v>1</v>
      </c>
      <c r="AX19" s="19">
        <f>SUM(T19:AW19)</f>
        <v>26</v>
      </c>
      <c r="AY19" s="20"/>
      <c r="AZ19" s="19"/>
      <c r="BA19" s="20"/>
      <c r="BB19" s="49"/>
    </row>
    <row r="20" spans="1:54" ht="13.5" customHeight="1" x14ac:dyDescent="0.2">
      <c r="A20" s="104" t="s">
        <v>564</v>
      </c>
      <c r="B20" s="105" t="s">
        <v>77</v>
      </c>
      <c r="C20" s="26">
        <v>6700</v>
      </c>
      <c r="D20" s="35" t="s">
        <v>78</v>
      </c>
      <c r="E20" s="26">
        <v>66</v>
      </c>
      <c r="F20" s="26" t="s">
        <v>2151</v>
      </c>
      <c r="G20" s="35" t="s">
        <v>1965</v>
      </c>
      <c r="H20" s="37">
        <v>1</v>
      </c>
      <c r="I20" s="37" t="s">
        <v>47</v>
      </c>
      <c r="J20" s="37">
        <v>1</v>
      </c>
      <c r="K20" s="37" t="s">
        <v>47</v>
      </c>
      <c r="L20" s="35" t="str">
        <f>VLOOKUP(Tabla411[[#This Row],[BTL CVE]],tblPDV[#All],13,0)</f>
        <v xml:space="preserve">BAUTISTA CORONA REYNA </v>
      </c>
      <c r="M20" s="26" t="s">
        <v>505</v>
      </c>
      <c r="N20" s="26" t="s">
        <v>54</v>
      </c>
      <c r="O20" s="26" t="s">
        <v>49</v>
      </c>
      <c r="P20" s="26" t="s">
        <v>49</v>
      </c>
      <c r="Q20" s="26" t="s">
        <v>50</v>
      </c>
      <c r="R20" s="38">
        <v>46113</v>
      </c>
      <c r="S20" s="38">
        <v>46142</v>
      </c>
      <c r="T20" s="19">
        <v>1</v>
      </c>
      <c r="U20" s="19">
        <v>1</v>
      </c>
      <c r="V20" s="19">
        <v>1</v>
      </c>
      <c r="W20" s="19">
        <v>1</v>
      </c>
      <c r="X20" s="22"/>
      <c r="Y20" s="19">
        <v>1</v>
      </c>
      <c r="Z20" s="19">
        <v>1</v>
      </c>
      <c r="AA20" s="19">
        <v>1</v>
      </c>
      <c r="AB20" s="19">
        <v>1</v>
      </c>
      <c r="AC20" s="19">
        <v>1</v>
      </c>
      <c r="AD20" s="19">
        <v>1</v>
      </c>
      <c r="AE20" s="22"/>
      <c r="AF20" s="19">
        <v>1</v>
      </c>
      <c r="AG20" s="19">
        <v>1</v>
      </c>
      <c r="AH20" s="19">
        <v>1</v>
      </c>
      <c r="AI20" s="19">
        <v>1</v>
      </c>
      <c r="AJ20" s="19">
        <v>1</v>
      </c>
      <c r="AK20" s="19">
        <v>1</v>
      </c>
      <c r="AL20" s="22"/>
      <c r="AM20" s="19">
        <v>1</v>
      </c>
      <c r="AN20" s="19">
        <v>1</v>
      </c>
      <c r="AO20" s="19">
        <v>1</v>
      </c>
      <c r="AP20" s="19">
        <v>1</v>
      </c>
      <c r="AQ20" s="19">
        <v>1</v>
      </c>
      <c r="AR20" s="19">
        <v>1</v>
      </c>
      <c r="AS20" s="22"/>
      <c r="AT20" s="19">
        <v>1</v>
      </c>
      <c r="AU20" s="19">
        <v>1</v>
      </c>
      <c r="AV20" s="19">
        <v>1</v>
      </c>
      <c r="AW20" s="19">
        <v>1</v>
      </c>
      <c r="AX20" s="19">
        <f>SUM(T20:AW20)</f>
        <v>26</v>
      </c>
      <c r="AY20" s="20"/>
      <c r="AZ20" s="19"/>
      <c r="BA20" s="20"/>
      <c r="BB20" s="49"/>
    </row>
    <row r="21" spans="1:54" ht="13.5" customHeight="1" x14ac:dyDescent="0.2">
      <c r="A21" s="104" t="s">
        <v>565</v>
      </c>
      <c r="B21" s="86" t="s">
        <v>77</v>
      </c>
      <c r="C21" s="26">
        <v>400</v>
      </c>
      <c r="D21" s="35" t="s">
        <v>79</v>
      </c>
      <c r="E21" s="26">
        <v>78</v>
      </c>
      <c r="F21" s="26" t="s">
        <v>2160</v>
      </c>
      <c r="G21" s="35" t="s">
        <v>1966</v>
      </c>
      <c r="H21" s="37">
        <v>1</v>
      </c>
      <c r="I21" s="37" t="s">
        <v>47</v>
      </c>
      <c r="J21" s="37">
        <v>1</v>
      </c>
      <c r="K21" s="37" t="s">
        <v>47</v>
      </c>
      <c r="L21" s="35" t="str">
        <f>VLOOKUP(Tabla411[[#This Row],[BTL CVE]],tblPDV[#All],13,0)</f>
        <v>CARRILLO XOCHIHUA XOCHITL</v>
      </c>
      <c r="M21" s="26" t="s">
        <v>536</v>
      </c>
      <c r="N21" s="26" t="s">
        <v>54</v>
      </c>
      <c r="O21" s="26" t="s">
        <v>49</v>
      </c>
      <c r="P21" s="26" t="s">
        <v>49</v>
      </c>
      <c r="Q21" s="26" t="s">
        <v>50</v>
      </c>
      <c r="R21" s="38">
        <v>46113</v>
      </c>
      <c r="S21" s="38">
        <v>46142</v>
      </c>
      <c r="T21" s="19">
        <v>1</v>
      </c>
      <c r="U21" s="19">
        <v>1</v>
      </c>
      <c r="V21" s="19">
        <v>1</v>
      </c>
      <c r="W21" s="19">
        <v>1</v>
      </c>
      <c r="X21" s="22"/>
      <c r="Y21" s="19">
        <v>1</v>
      </c>
      <c r="Z21" s="19">
        <v>1</v>
      </c>
      <c r="AA21" s="19">
        <v>1</v>
      </c>
      <c r="AB21" s="19">
        <v>1</v>
      </c>
      <c r="AC21" s="19">
        <v>1</v>
      </c>
      <c r="AD21" s="19">
        <v>1</v>
      </c>
      <c r="AE21" s="22"/>
      <c r="AF21" s="19">
        <v>1</v>
      </c>
      <c r="AG21" s="19">
        <v>1</v>
      </c>
      <c r="AH21" s="19">
        <v>1</v>
      </c>
      <c r="AI21" s="19">
        <v>1</v>
      </c>
      <c r="AJ21" s="19">
        <v>1</v>
      </c>
      <c r="AK21" s="19">
        <v>1</v>
      </c>
      <c r="AL21" s="22"/>
      <c r="AM21" s="19">
        <v>1</v>
      </c>
      <c r="AN21" s="19">
        <v>1</v>
      </c>
      <c r="AO21" s="19">
        <v>1</v>
      </c>
      <c r="AP21" s="19">
        <v>1</v>
      </c>
      <c r="AQ21" s="19">
        <v>1</v>
      </c>
      <c r="AR21" s="19">
        <v>1</v>
      </c>
      <c r="AS21" s="22"/>
      <c r="AT21" s="19">
        <v>1</v>
      </c>
      <c r="AU21" s="19">
        <v>1</v>
      </c>
      <c r="AV21" s="19">
        <v>1</v>
      </c>
      <c r="AW21" s="19">
        <v>1</v>
      </c>
      <c r="AX21" s="19">
        <f>SUM(T21:AW21)</f>
        <v>26</v>
      </c>
      <c r="AY21" s="20"/>
      <c r="AZ21" s="19"/>
      <c r="BA21" s="20"/>
      <c r="BB21" s="49"/>
    </row>
    <row r="22" spans="1:54" ht="13.5" customHeight="1" x14ac:dyDescent="0.2">
      <c r="A22" s="104" t="s">
        <v>566</v>
      </c>
      <c r="B22" s="86" t="s">
        <v>77</v>
      </c>
      <c r="C22" s="26">
        <v>300</v>
      </c>
      <c r="D22" s="35" t="s">
        <v>80</v>
      </c>
      <c r="E22" s="26">
        <v>70</v>
      </c>
      <c r="F22" s="26" t="s">
        <v>2154</v>
      </c>
      <c r="G22" s="35" t="s">
        <v>1967</v>
      </c>
      <c r="H22" s="37">
        <v>1</v>
      </c>
      <c r="I22" s="37" t="s">
        <v>47</v>
      </c>
      <c r="J22" s="37">
        <v>1</v>
      </c>
      <c r="K22" s="37" t="s">
        <v>47</v>
      </c>
      <c r="L22" s="35" t="str">
        <f>VLOOKUP(Tabla411[[#This Row],[BTL CVE]],tblPDV[#All],13,0)</f>
        <v xml:space="preserve">CHAVEZ RAMOS  JONATAN RAYMUNDO </v>
      </c>
      <c r="M22" s="26" t="s">
        <v>536</v>
      </c>
      <c r="N22" s="26" t="s">
        <v>54</v>
      </c>
      <c r="O22" s="26" t="s">
        <v>49</v>
      </c>
      <c r="P22" s="26" t="s">
        <v>49</v>
      </c>
      <c r="Q22" s="26" t="s">
        <v>50</v>
      </c>
      <c r="R22" s="38">
        <v>46113</v>
      </c>
      <c r="S22" s="38">
        <v>46142</v>
      </c>
      <c r="T22" s="19">
        <v>1</v>
      </c>
      <c r="U22" s="19">
        <v>1</v>
      </c>
      <c r="V22" s="19">
        <v>1</v>
      </c>
      <c r="W22" s="19">
        <v>1</v>
      </c>
      <c r="X22" s="22"/>
      <c r="Y22" s="19">
        <v>1</v>
      </c>
      <c r="Z22" s="19">
        <v>1</v>
      </c>
      <c r="AA22" s="19">
        <v>1</v>
      </c>
      <c r="AB22" s="19">
        <v>1</v>
      </c>
      <c r="AC22" s="19">
        <v>1</v>
      </c>
      <c r="AD22" s="19">
        <v>1</v>
      </c>
      <c r="AE22" s="22"/>
      <c r="AF22" s="19">
        <v>1</v>
      </c>
      <c r="AG22" s="19">
        <v>1</v>
      </c>
      <c r="AH22" s="19">
        <v>1</v>
      </c>
      <c r="AI22" s="19">
        <v>1</v>
      </c>
      <c r="AJ22" s="19">
        <v>1</v>
      </c>
      <c r="AK22" s="19">
        <v>1</v>
      </c>
      <c r="AL22" s="22"/>
      <c r="AM22" s="19">
        <v>1</v>
      </c>
      <c r="AN22" s="19">
        <v>1</v>
      </c>
      <c r="AO22" s="19">
        <v>1</v>
      </c>
      <c r="AP22" s="19">
        <v>1</v>
      </c>
      <c r="AQ22" s="19">
        <v>1</v>
      </c>
      <c r="AR22" s="19">
        <v>1</v>
      </c>
      <c r="AS22" s="22"/>
      <c r="AT22" s="19">
        <v>1</v>
      </c>
      <c r="AU22" s="19">
        <v>1</v>
      </c>
      <c r="AV22" s="19">
        <v>1</v>
      </c>
      <c r="AW22" s="19">
        <v>1</v>
      </c>
      <c r="AX22" s="19">
        <f>SUM(T22:AW22)</f>
        <v>26</v>
      </c>
      <c r="AY22" s="20"/>
      <c r="AZ22" s="19"/>
      <c r="BA22" s="20"/>
      <c r="BB22" s="49"/>
    </row>
    <row r="23" spans="1:54" ht="13.5" customHeight="1" x14ac:dyDescent="0.2">
      <c r="A23" s="104" t="s">
        <v>568</v>
      </c>
      <c r="B23" s="86" t="s">
        <v>77</v>
      </c>
      <c r="C23" s="26">
        <v>700</v>
      </c>
      <c r="D23" s="35" t="s">
        <v>82</v>
      </c>
      <c r="E23" s="26">
        <v>123</v>
      </c>
      <c r="F23" s="26" t="s">
        <v>2179</v>
      </c>
      <c r="G23" s="35" t="s">
        <v>1968</v>
      </c>
      <c r="H23" s="37">
        <v>1</v>
      </c>
      <c r="I23" s="37" t="s">
        <v>47</v>
      </c>
      <c r="J23" s="37">
        <v>1</v>
      </c>
      <c r="K23" s="37" t="s">
        <v>47</v>
      </c>
      <c r="L23" s="35" t="str">
        <f>VLOOKUP(Tabla411[[#This Row],[BTL CVE]],tblPDV[#All],13,0)</f>
        <v>MONTAGNER OLIVARES MIGUEL ANGEL</v>
      </c>
      <c r="M23" s="26" t="s">
        <v>536</v>
      </c>
      <c r="N23" s="26" t="s">
        <v>54</v>
      </c>
      <c r="O23" s="26" t="s">
        <v>49</v>
      </c>
      <c r="P23" s="26" t="s">
        <v>49</v>
      </c>
      <c r="Q23" s="26" t="s">
        <v>50</v>
      </c>
      <c r="R23" s="38">
        <v>46113</v>
      </c>
      <c r="S23" s="38">
        <v>46142</v>
      </c>
      <c r="T23" s="19">
        <v>1</v>
      </c>
      <c r="U23" s="19">
        <v>1</v>
      </c>
      <c r="V23" s="19">
        <v>1</v>
      </c>
      <c r="W23" s="19">
        <v>1</v>
      </c>
      <c r="X23" s="22"/>
      <c r="Y23" s="19">
        <v>1</v>
      </c>
      <c r="Z23" s="19">
        <v>1</v>
      </c>
      <c r="AA23" s="19">
        <v>1</v>
      </c>
      <c r="AB23" s="19">
        <v>1</v>
      </c>
      <c r="AC23" s="19">
        <v>1</v>
      </c>
      <c r="AD23" s="19">
        <v>1</v>
      </c>
      <c r="AE23" s="22"/>
      <c r="AF23" s="19">
        <v>1</v>
      </c>
      <c r="AG23" s="19">
        <v>1</v>
      </c>
      <c r="AH23" s="19">
        <v>1</v>
      </c>
      <c r="AI23" s="19">
        <v>1</v>
      </c>
      <c r="AJ23" s="19">
        <v>1</v>
      </c>
      <c r="AK23" s="19">
        <v>1</v>
      </c>
      <c r="AL23" s="22"/>
      <c r="AM23" s="19">
        <v>1</v>
      </c>
      <c r="AN23" s="19">
        <v>1</v>
      </c>
      <c r="AO23" s="19">
        <v>1</v>
      </c>
      <c r="AP23" s="19">
        <v>1</v>
      </c>
      <c r="AQ23" s="19">
        <v>1</v>
      </c>
      <c r="AR23" s="19">
        <v>1</v>
      </c>
      <c r="AS23" s="22"/>
      <c r="AT23" s="19">
        <v>1</v>
      </c>
      <c r="AU23" s="19">
        <v>1</v>
      </c>
      <c r="AV23" s="19">
        <v>1</v>
      </c>
      <c r="AW23" s="19">
        <v>1</v>
      </c>
      <c r="AX23" s="19">
        <f>SUM(T23:AW23)</f>
        <v>26</v>
      </c>
      <c r="AY23" s="20"/>
      <c r="AZ23" s="19"/>
      <c r="BA23" s="20"/>
      <c r="BB23" s="49"/>
    </row>
    <row r="24" spans="1:54" ht="13.5" customHeight="1" x14ac:dyDescent="0.2">
      <c r="A24" s="104" t="s">
        <v>567</v>
      </c>
      <c r="B24" s="86" t="s">
        <v>77</v>
      </c>
      <c r="C24" s="26">
        <v>200</v>
      </c>
      <c r="D24" s="35" t="s">
        <v>81</v>
      </c>
      <c r="E24" s="26">
        <v>587</v>
      </c>
      <c r="F24" s="26" t="s">
        <v>2388</v>
      </c>
      <c r="G24" s="35" t="s">
        <v>2389</v>
      </c>
      <c r="H24" s="37">
        <v>1</v>
      </c>
      <c r="I24" s="37" t="s">
        <v>47</v>
      </c>
      <c r="J24" s="37">
        <v>1</v>
      </c>
      <c r="K24" s="37" t="s">
        <v>47</v>
      </c>
      <c r="L24" s="35" t="str">
        <f>VLOOKUP(Tabla411[[#This Row],[BTL CVE]],tblPDV[#All],13,0)</f>
        <v>LOPEZ RUIZ JACQUELINE</v>
      </c>
      <c r="M24" s="26" t="s">
        <v>536</v>
      </c>
      <c r="N24" s="26" t="s">
        <v>54</v>
      </c>
      <c r="O24" s="26" t="s">
        <v>49</v>
      </c>
      <c r="P24" s="26" t="s">
        <v>49</v>
      </c>
      <c r="Q24" s="26" t="s">
        <v>50</v>
      </c>
      <c r="R24" s="38">
        <v>46113</v>
      </c>
      <c r="S24" s="38">
        <v>46142</v>
      </c>
      <c r="T24" s="19">
        <v>1</v>
      </c>
      <c r="U24" s="19">
        <v>1</v>
      </c>
      <c r="V24" s="19">
        <v>1</v>
      </c>
      <c r="W24" s="19">
        <v>1</v>
      </c>
      <c r="X24" s="22"/>
      <c r="Y24" s="19">
        <v>1</v>
      </c>
      <c r="Z24" s="19">
        <v>1</v>
      </c>
      <c r="AA24" s="19">
        <v>1</v>
      </c>
      <c r="AB24" s="19">
        <v>1</v>
      </c>
      <c r="AC24" s="19">
        <v>1</v>
      </c>
      <c r="AD24" s="19">
        <v>1</v>
      </c>
      <c r="AE24" s="22"/>
      <c r="AF24" s="19">
        <v>1</v>
      </c>
      <c r="AG24" s="19">
        <v>1</v>
      </c>
      <c r="AH24" s="19">
        <v>1</v>
      </c>
      <c r="AI24" s="19">
        <v>1</v>
      </c>
      <c r="AJ24" s="19">
        <v>1</v>
      </c>
      <c r="AK24" s="19">
        <v>1</v>
      </c>
      <c r="AL24" s="22"/>
      <c r="AM24" s="19">
        <v>1</v>
      </c>
      <c r="AN24" s="19">
        <v>1</v>
      </c>
      <c r="AO24" s="19">
        <v>1</v>
      </c>
      <c r="AP24" s="19">
        <v>1</v>
      </c>
      <c r="AQ24" s="19">
        <v>1</v>
      </c>
      <c r="AR24" s="19">
        <v>1</v>
      </c>
      <c r="AS24" s="22"/>
      <c r="AT24" s="19">
        <v>1</v>
      </c>
      <c r="AU24" s="19">
        <v>1</v>
      </c>
      <c r="AV24" s="19">
        <v>1</v>
      </c>
      <c r="AW24" s="19">
        <v>1</v>
      </c>
      <c r="AX24" s="19">
        <f>SUM(T24:AW24)</f>
        <v>26</v>
      </c>
      <c r="AY24" s="20"/>
      <c r="AZ24" s="19"/>
      <c r="BA24" s="20"/>
      <c r="BB24" s="49"/>
    </row>
    <row r="25" spans="1:54" ht="13.5" customHeight="1" x14ac:dyDescent="0.2">
      <c r="A25" s="104" t="s">
        <v>569</v>
      </c>
      <c r="B25" s="86" t="s">
        <v>77</v>
      </c>
      <c r="C25" s="26">
        <v>2600</v>
      </c>
      <c r="D25" s="35" t="s">
        <v>418</v>
      </c>
      <c r="E25" s="26">
        <v>558</v>
      </c>
      <c r="F25" s="26" t="s">
        <v>2345</v>
      </c>
      <c r="G25" s="35" t="s">
        <v>1545</v>
      </c>
      <c r="H25" s="37">
        <v>1</v>
      </c>
      <c r="I25" s="37" t="s">
        <v>47</v>
      </c>
      <c r="J25" s="37">
        <v>1</v>
      </c>
      <c r="K25" s="37" t="s">
        <v>47</v>
      </c>
      <c r="L25" s="35" t="str">
        <f>VLOOKUP(Tabla411[[#This Row],[BTL CVE]],tblPDV[#All],13,0)</f>
        <v xml:space="preserve">MONROY GONZALEZ MARIA ZENAIDA </v>
      </c>
      <c r="M25" s="26" t="s">
        <v>536</v>
      </c>
      <c r="N25" s="26" t="s">
        <v>54</v>
      </c>
      <c r="O25" s="26" t="s">
        <v>49</v>
      </c>
      <c r="P25" s="26" t="s">
        <v>49</v>
      </c>
      <c r="Q25" s="26" t="s">
        <v>50</v>
      </c>
      <c r="R25" s="38">
        <v>46113</v>
      </c>
      <c r="S25" s="38">
        <v>46142</v>
      </c>
      <c r="T25" s="19">
        <v>1</v>
      </c>
      <c r="U25" s="19">
        <v>1</v>
      </c>
      <c r="V25" s="19">
        <v>1</v>
      </c>
      <c r="W25" s="19">
        <v>1</v>
      </c>
      <c r="X25" s="22"/>
      <c r="Y25" s="19">
        <v>1</v>
      </c>
      <c r="Z25" s="19">
        <v>1</v>
      </c>
      <c r="AA25" s="19">
        <v>1</v>
      </c>
      <c r="AB25" s="19">
        <v>1</v>
      </c>
      <c r="AC25" s="19">
        <v>1</v>
      </c>
      <c r="AD25" s="19">
        <v>1</v>
      </c>
      <c r="AE25" s="22"/>
      <c r="AF25" s="19">
        <v>1</v>
      </c>
      <c r="AG25" s="19">
        <v>1</v>
      </c>
      <c r="AH25" s="19">
        <v>1</v>
      </c>
      <c r="AI25" s="19">
        <v>1</v>
      </c>
      <c r="AJ25" s="19">
        <v>1</v>
      </c>
      <c r="AK25" s="19">
        <v>1</v>
      </c>
      <c r="AL25" s="22"/>
      <c r="AM25" s="19">
        <v>1</v>
      </c>
      <c r="AN25" s="19">
        <v>1</v>
      </c>
      <c r="AO25" s="19">
        <v>1</v>
      </c>
      <c r="AP25" s="19">
        <v>1</v>
      </c>
      <c r="AQ25" s="19">
        <v>1</v>
      </c>
      <c r="AR25" s="19">
        <v>1</v>
      </c>
      <c r="AS25" s="22"/>
      <c r="AT25" s="19">
        <v>1</v>
      </c>
      <c r="AU25" s="19">
        <v>1</v>
      </c>
      <c r="AV25" s="19">
        <v>1</v>
      </c>
      <c r="AW25" s="19">
        <v>1</v>
      </c>
      <c r="AX25" s="19">
        <f>SUM(T25:AW25)</f>
        <v>26</v>
      </c>
      <c r="AY25" s="20"/>
      <c r="AZ25" s="19"/>
      <c r="BA25" s="20"/>
      <c r="BB25" s="49"/>
    </row>
    <row r="26" spans="1:54" ht="13.5" customHeight="1" x14ac:dyDescent="0.2">
      <c r="A26" s="104" t="s">
        <v>563</v>
      </c>
      <c r="B26" s="86" t="s">
        <v>77</v>
      </c>
      <c r="C26" s="26">
        <v>500</v>
      </c>
      <c r="D26" s="35" t="s">
        <v>83</v>
      </c>
      <c r="E26" s="26"/>
      <c r="F26" s="26"/>
      <c r="G26" s="35" t="s">
        <v>2098</v>
      </c>
      <c r="H26" s="37">
        <v>1</v>
      </c>
      <c r="I26" s="37" t="s">
        <v>47</v>
      </c>
      <c r="J26" s="37">
        <v>1</v>
      </c>
      <c r="K26" s="37" t="s">
        <v>47</v>
      </c>
      <c r="L26" s="35" t="str">
        <f>VLOOKUP(Tabla411[[#This Row],[BTL CVE]],tblPDV[#All],13,0)</f>
        <v xml:space="preserve">MONROY GONZALEZ MARIA ZENAIDA </v>
      </c>
      <c r="M26" s="26" t="s">
        <v>536</v>
      </c>
      <c r="N26" s="26" t="s">
        <v>54</v>
      </c>
      <c r="O26" s="26" t="s">
        <v>49</v>
      </c>
      <c r="P26" s="26" t="s">
        <v>49</v>
      </c>
      <c r="Q26" s="26" t="s">
        <v>50</v>
      </c>
      <c r="R26" s="38">
        <v>46113</v>
      </c>
      <c r="S26" s="38">
        <v>46142</v>
      </c>
      <c r="T26" s="19">
        <v>1</v>
      </c>
      <c r="U26" s="19">
        <v>1</v>
      </c>
      <c r="V26" s="19">
        <v>1</v>
      </c>
      <c r="W26" s="19">
        <v>1</v>
      </c>
      <c r="X26" s="22"/>
      <c r="Y26" s="19">
        <v>1</v>
      </c>
      <c r="Z26" s="19">
        <v>1</v>
      </c>
      <c r="AA26" s="19">
        <v>1</v>
      </c>
      <c r="AB26" s="19">
        <v>1</v>
      </c>
      <c r="AC26" s="19">
        <v>1</v>
      </c>
      <c r="AD26" s="19">
        <v>1</v>
      </c>
      <c r="AE26" s="22"/>
      <c r="AF26" s="19">
        <v>1</v>
      </c>
      <c r="AG26" s="19">
        <v>1</v>
      </c>
      <c r="AH26" s="19">
        <v>1</v>
      </c>
      <c r="AI26" s="19">
        <v>1</v>
      </c>
      <c r="AJ26" s="19">
        <v>1</v>
      </c>
      <c r="AK26" s="19">
        <v>1</v>
      </c>
      <c r="AL26" s="22"/>
      <c r="AM26" s="19">
        <v>1</v>
      </c>
      <c r="AN26" s="19">
        <v>1</v>
      </c>
      <c r="AO26" s="19">
        <v>1</v>
      </c>
      <c r="AP26" s="19">
        <v>1</v>
      </c>
      <c r="AQ26" s="19">
        <v>1</v>
      </c>
      <c r="AR26" s="19">
        <v>1</v>
      </c>
      <c r="AS26" s="22"/>
      <c r="AT26" s="19">
        <v>1</v>
      </c>
      <c r="AU26" s="19">
        <v>1</v>
      </c>
      <c r="AV26" s="19">
        <v>1</v>
      </c>
      <c r="AW26" s="19">
        <v>1</v>
      </c>
      <c r="AX26" s="19">
        <f>SUM(T26:AW26)</f>
        <v>26</v>
      </c>
      <c r="AY26" s="20"/>
      <c r="AZ26" s="19"/>
      <c r="BA26" s="20"/>
      <c r="BB26" s="49"/>
    </row>
    <row r="27" spans="1:54" ht="13.5" customHeight="1" x14ac:dyDescent="0.2">
      <c r="A27" s="104" t="s">
        <v>570</v>
      </c>
      <c r="B27" s="86" t="s">
        <v>84</v>
      </c>
      <c r="C27" s="26">
        <v>380</v>
      </c>
      <c r="D27" s="35" t="s">
        <v>2127</v>
      </c>
      <c r="E27" s="26">
        <v>140</v>
      </c>
      <c r="F27" s="26" t="s">
        <v>2187</v>
      </c>
      <c r="G27" s="35" t="s">
        <v>1970</v>
      </c>
      <c r="H27" s="37">
        <v>0.5</v>
      </c>
      <c r="I27" s="37" t="s">
        <v>53</v>
      </c>
      <c r="J27" s="37">
        <v>0.5</v>
      </c>
      <c r="K27" s="37" t="s">
        <v>53</v>
      </c>
      <c r="L27" s="35" t="str">
        <f>VLOOKUP(Tabla411[[#This Row],[BTL CVE]],tblPDV[#All],13,0)</f>
        <v xml:space="preserve">CHAVEZ RAMOS  JONATAN RAYMUNDO </v>
      </c>
      <c r="M27" s="26" t="s">
        <v>536</v>
      </c>
      <c r="N27" s="26" t="s">
        <v>54</v>
      </c>
      <c r="O27" s="26" t="s">
        <v>55</v>
      </c>
      <c r="P27" s="26" t="s">
        <v>55</v>
      </c>
      <c r="Q27" s="26" t="s">
        <v>50</v>
      </c>
      <c r="R27" s="38">
        <v>46113</v>
      </c>
      <c r="S27" s="38">
        <v>46142</v>
      </c>
      <c r="T27" s="19">
        <v>1</v>
      </c>
      <c r="U27" s="19"/>
      <c r="V27" s="19"/>
      <c r="W27" s="19"/>
      <c r="X27" s="22"/>
      <c r="Y27" s="19">
        <v>1</v>
      </c>
      <c r="Z27" s="19">
        <v>1</v>
      </c>
      <c r="AA27" s="19">
        <v>1</v>
      </c>
      <c r="AB27" s="19"/>
      <c r="AC27" s="19"/>
      <c r="AD27" s="19"/>
      <c r="AE27" s="22"/>
      <c r="AF27" s="19">
        <v>1</v>
      </c>
      <c r="AG27" s="19">
        <v>1</v>
      </c>
      <c r="AH27" s="19">
        <v>1</v>
      </c>
      <c r="AI27" s="19"/>
      <c r="AJ27" s="19"/>
      <c r="AK27" s="19"/>
      <c r="AL27" s="22"/>
      <c r="AM27" s="19">
        <v>1</v>
      </c>
      <c r="AN27" s="19">
        <v>1</v>
      </c>
      <c r="AO27" s="19">
        <v>1</v>
      </c>
      <c r="AP27" s="19"/>
      <c r="AQ27" s="19"/>
      <c r="AR27" s="19"/>
      <c r="AS27" s="22"/>
      <c r="AT27" s="19">
        <v>1</v>
      </c>
      <c r="AU27" s="19">
        <v>1</v>
      </c>
      <c r="AV27" s="19">
        <v>1</v>
      </c>
      <c r="AW27" s="19"/>
      <c r="AX27" s="19">
        <f>SUM(T27:AW27)</f>
        <v>13</v>
      </c>
      <c r="AY27" s="20"/>
      <c r="AZ27" s="19"/>
      <c r="BA27" s="20"/>
      <c r="BB27" s="49"/>
    </row>
    <row r="28" spans="1:54" ht="13.5" customHeight="1" x14ac:dyDescent="0.2">
      <c r="A28" s="104" t="s">
        <v>571</v>
      </c>
      <c r="B28" s="86" t="s">
        <v>84</v>
      </c>
      <c r="C28" s="26">
        <v>305</v>
      </c>
      <c r="D28" s="35" t="s">
        <v>2128</v>
      </c>
      <c r="E28" s="26">
        <v>332</v>
      </c>
      <c r="F28" s="26" t="s">
        <v>2254</v>
      </c>
      <c r="G28" s="35" t="s">
        <v>1971</v>
      </c>
      <c r="H28" s="37">
        <v>0.5</v>
      </c>
      <c r="I28" s="37" t="s">
        <v>53</v>
      </c>
      <c r="J28" s="37">
        <v>0.5</v>
      </c>
      <c r="K28" s="37" t="s">
        <v>53</v>
      </c>
      <c r="L28" s="35" t="str">
        <f>VLOOKUP(Tabla411[[#This Row],[BTL CVE]],tblPDV[#All],13,0)</f>
        <v>LOPEZ RUIZ JACQUELINE</v>
      </c>
      <c r="M28" s="26" t="s">
        <v>536</v>
      </c>
      <c r="N28" s="26" t="s">
        <v>54</v>
      </c>
      <c r="O28" s="26" t="s">
        <v>66</v>
      </c>
      <c r="P28" s="26" t="s">
        <v>66</v>
      </c>
      <c r="Q28" s="26" t="s">
        <v>50</v>
      </c>
      <c r="R28" s="38">
        <v>46113</v>
      </c>
      <c r="S28" s="38">
        <v>46142</v>
      </c>
      <c r="T28" s="19"/>
      <c r="U28" s="19">
        <v>1</v>
      </c>
      <c r="V28" s="19">
        <v>1</v>
      </c>
      <c r="W28" s="19">
        <v>1</v>
      </c>
      <c r="X28" s="22"/>
      <c r="Y28" s="19"/>
      <c r="Z28" s="19"/>
      <c r="AA28" s="19"/>
      <c r="AB28" s="19">
        <v>1</v>
      </c>
      <c r="AC28" s="19">
        <v>1</v>
      </c>
      <c r="AD28" s="19">
        <v>1</v>
      </c>
      <c r="AE28" s="22"/>
      <c r="AF28" s="19"/>
      <c r="AG28" s="19"/>
      <c r="AH28" s="19"/>
      <c r="AI28" s="19">
        <v>1</v>
      </c>
      <c r="AJ28" s="19">
        <v>1</v>
      </c>
      <c r="AK28" s="19">
        <v>1</v>
      </c>
      <c r="AL28" s="22"/>
      <c r="AM28" s="19"/>
      <c r="AN28" s="19"/>
      <c r="AO28" s="19"/>
      <c r="AP28" s="19">
        <v>1</v>
      </c>
      <c r="AQ28" s="19">
        <v>1</v>
      </c>
      <c r="AR28" s="19">
        <v>1</v>
      </c>
      <c r="AS28" s="22"/>
      <c r="AT28" s="19"/>
      <c r="AU28" s="19"/>
      <c r="AV28" s="19"/>
      <c r="AW28" s="19">
        <v>1</v>
      </c>
      <c r="AX28" s="19">
        <f>SUM(T28:AW28)</f>
        <v>13</v>
      </c>
      <c r="AY28" s="20"/>
      <c r="AZ28" s="19"/>
      <c r="BA28" s="20"/>
      <c r="BB28" s="49"/>
    </row>
    <row r="29" spans="1:54" ht="13.5" customHeight="1" x14ac:dyDescent="0.2">
      <c r="A29" s="104" t="s">
        <v>573</v>
      </c>
      <c r="B29" s="86" t="s">
        <v>84</v>
      </c>
      <c r="C29" s="26">
        <v>449</v>
      </c>
      <c r="D29" s="35" t="s">
        <v>88</v>
      </c>
      <c r="E29" s="26">
        <v>91</v>
      </c>
      <c r="F29" s="26" t="s">
        <v>2165</v>
      </c>
      <c r="G29" s="35" t="s">
        <v>1972</v>
      </c>
      <c r="H29" s="37">
        <v>0.5</v>
      </c>
      <c r="I29" s="37" t="s">
        <v>53</v>
      </c>
      <c r="J29" s="37">
        <v>0.5</v>
      </c>
      <c r="K29" s="37" t="s">
        <v>53</v>
      </c>
      <c r="L29" s="35" t="str">
        <f>VLOOKUP(Tabla411[[#This Row],[BTL CVE]],tblPDV[#All],13,0)</f>
        <v>LOPEZ RUIZ JACQUELINE</v>
      </c>
      <c r="M29" s="26" t="s">
        <v>536</v>
      </c>
      <c r="N29" s="26" t="s">
        <v>54</v>
      </c>
      <c r="O29" s="26" t="s">
        <v>66</v>
      </c>
      <c r="P29" s="26" t="s">
        <v>66</v>
      </c>
      <c r="Q29" s="26" t="s">
        <v>50</v>
      </c>
      <c r="R29" s="38">
        <v>46113</v>
      </c>
      <c r="S29" s="38">
        <v>46142</v>
      </c>
      <c r="T29" s="19"/>
      <c r="U29" s="19">
        <v>1</v>
      </c>
      <c r="V29" s="19">
        <v>1</v>
      </c>
      <c r="W29" s="19">
        <v>1</v>
      </c>
      <c r="X29" s="22"/>
      <c r="Y29" s="19"/>
      <c r="Z29" s="19"/>
      <c r="AA29" s="19"/>
      <c r="AB29" s="19">
        <v>1</v>
      </c>
      <c r="AC29" s="19">
        <v>1</v>
      </c>
      <c r="AD29" s="19">
        <v>1</v>
      </c>
      <c r="AE29" s="22"/>
      <c r="AF29" s="19"/>
      <c r="AG29" s="19"/>
      <c r="AH29" s="19"/>
      <c r="AI29" s="19">
        <v>1</v>
      </c>
      <c r="AJ29" s="19">
        <v>1</v>
      </c>
      <c r="AK29" s="19">
        <v>1</v>
      </c>
      <c r="AL29" s="22"/>
      <c r="AM29" s="19"/>
      <c r="AN29" s="19"/>
      <c r="AO29" s="19"/>
      <c r="AP29" s="19">
        <v>1</v>
      </c>
      <c r="AQ29" s="19">
        <v>1</v>
      </c>
      <c r="AR29" s="19">
        <v>1</v>
      </c>
      <c r="AS29" s="22"/>
      <c r="AT29" s="19"/>
      <c r="AU29" s="19"/>
      <c r="AV29" s="19"/>
      <c r="AW29" s="19">
        <v>1</v>
      </c>
      <c r="AX29" s="19">
        <f>SUM(T29:AW29)</f>
        <v>13</v>
      </c>
      <c r="AY29" s="20"/>
      <c r="AZ29" s="19"/>
      <c r="BA29" s="20"/>
      <c r="BB29" s="49"/>
    </row>
    <row r="30" spans="1:54" ht="13.5" customHeight="1" x14ac:dyDescent="0.2">
      <c r="A30" s="104" t="s">
        <v>572</v>
      </c>
      <c r="B30" s="86" t="s">
        <v>84</v>
      </c>
      <c r="C30" s="26">
        <v>409</v>
      </c>
      <c r="D30" s="35" t="s">
        <v>2117</v>
      </c>
      <c r="E30" s="26">
        <v>555</v>
      </c>
      <c r="F30" s="26" t="s">
        <v>2343</v>
      </c>
      <c r="G30" s="35" t="s">
        <v>1969</v>
      </c>
      <c r="H30" s="37">
        <v>1</v>
      </c>
      <c r="I30" s="37" t="s">
        <v>47</v>
      </c>
      <c r="J30" s="37">
        <v>1</v>
      </c>
      <c r="K30" s="26" t="s">
        <v>47</v>
      </c>
      <c r="L30" s="35" t="str">
        <f>VLOOKUP(Tabla411[[#This Row],[BTL CVE]],tblPDV[#All],13,0)</f>
        <v xml:space="preserve">GUTIERREZ ROMERO MARUJA BETTY </v>
      </c>
      <c r="M30" s="26" t="s">
        <v>502</v>
      </c>
      <c r="N30" s="26" t="s">
        <v>54</v>
      </c>
      <c r="O30" s="26" t="s">
        <v>49</v>
      </c>
      <c r="P30" s="26" t="s">
        <v>49</v>
      </c>
      <c r="Q30" s="26" t="s">
        <v>50</v>
      </c>
      <c r="R30" s="38">
        <v>46113</v>
      </c>
      <c r="S30" s="38">
        <v>46142</v>
      </c>
      <c r="T30" s="19">
        <v>1</v>
      </c>
      <c r="U30" s="19">
        <v>1</v>
      </c>
      <c r="V30" s="19">
        <v>1</v>
      </c>
      <c r="W30" s="19">
        <v>1</v>
      </c>
      <c r="X30" s="22"/>
      <c r="Y30" s="19">
        <v>1</v>
      </c>
      <c r="Z30" s="19">
        <v>1</v>
      </c>
      <c r="AA30" s="19">
        <v>1</v>
      </c>
      <c r="AB30" s="19">
        <v>1</v>
      </c>
      <c r="AC30" s="19">
        <v>1</v>
      </c>
      <c r="AD30" s="19">
        <v>1</v>
      </c>
      <c r="AE30" s="22"/>
      <c r="AF30" s="19">
        <v>1</v>
      </c>
      <c r="AG30" s="19">
        <v>1</v>
      </c>
      <c r="AH30" s="19">
        <v>1</v>
      </c>
      <c r="AI30" s="19">
        <v>1</v>
      </c>
      <c r="AJ30" s="19">
        <v>1</v>
      </c>
      <c r="AK30" s="19">
        <v>1</v>
      </c>
      <c r="AL30" s="22"/>
      <c r="AM30" s="19">
        <v>1</v>
      </c>
      <c r="AN30" s="19">
        <v>1</v>
      </c>
      <c r="AO30" s="19">
        <v>1</v>
      </c>
      <c r="AP30" s="19">
        <v>1</v>
      </c>
      <c r="AQ30" s="19">
        <v>1</v>
      </c>
      <c r="AR30" s="19">
        <v>1</v>
      </c>
      <c r="AS30" s="22"/>
      <c r="AT30" s="19">
        <v>1</v>
      </c>
      <c r="AU30" s="19">
        <v>1</v>
      </c>
      <c r="AV30" s="19">
        <v>1</v>
      </c>
      <c r="AW30" s="19">
        <v>1</v>
      </c>
      <c r="AX30" s="19">
        <f>SUM(T30:AW30)</f>
        <v>26</v>
      </c>
      <c r="AY30" s="20"/>
      <c r="AZ30" s="19"/>
      <c r="BA30" s="20"/>
      <c r="BB30" s="49"/>
    </row>
    <row r="31" spans="1:54" ht="13.5" customHeight="1" x14ac:dyDescent="0.2">
      <c r="A31" s="104" t="s">
        <v>575</v>
      </c>
      <c r="B31" s="86" t="s">
        <v>84</v>
      </c>
      <c r="C31" s="26">
        <v>403</v>
      </c>
      <c r="D31" s="35" t="s">
        <v>381</v>
      </c>
      <c r="E31" s="26">
        <v>67</v>
      </c>
      <c r="F31" s="26" t="s">
        <v>2152</v>
      </c>
      <c r="G31" s="35" t="s">
        <v>522</v>
      </c>
      <c r="H31" s="37">
        <v>1</v>
      </c>
      <c r="I31" s="37" t="s">
        <v>47</v>
      </c>
      <c r="J31" s="37">
        <v>1</v>
      </c>
      <c r="K31" s="37" t="s">
        <v>47</v>
      </c>
      <c r="L31" s="35" t="str">
        <f>VLOOKUP(Tabla411[[#This Row],[BTL CVE]],tblPDV[#All],13,0)</f>
        <v>CARRILLO XOCHIHUA XOCHITL</v>
      </c>
      <c r="M31" s="26" t="s">
        <v>536</v>
      </c>
      <c r="N31" s="26" t="s">
        <v>54</v>
      </c>
      <c r="O31" s="26" t="s">
        <v>49</v>
      </c>
      <c r="P31" s="26" t="s">
        <v>49</v>
      </c>
      <c r="Q31" s="26" t="s">
        <v>50</v>
      </c>
      <c r="R31" s="38">
        <v>46113</v>
      </c>
      <c r="S31" s="38">
        <v>46142</v>
      </c>
      <c r="T31" s="19">
        <v>1</v>
      </c>
      <c r="U31" s="19">
        <v>1</v>
      </c>
      <c r="V31" s="19">
        <v>1</v>
      </c>
      <c r="W31" s="19">
        <v>1</v>
      </c>
      <c r="X31" s="22"/>
      <c r="Y31" s="19">
        <v>1</v>
      </c>
      <c r="Z31" s="19">
        <v>1</v>
      </c>
      <c r="AA31" s="19">
        <v>1</v>
      </c>
      <c r="AB31" s="19">
        <v>1</v>
      </c>
      <c r="AC31" s="19">
        <v>1</v>
      </c>
      <c r="AD31" s="19">
        <v>1</v>
      </c>
      <c r="AE31" s="22"/>
      <c r="AF31" s="19">
        <v>1</v>
      </c>
      <c r="AG31" s="19">
        <v>1</v>
      </c>
      <c r="AH31" s="19">
        <v>1</v>
      </c>
      <c r="AI31" s="19">
        <v>1</v>
      </c>
      <c r="AJ31" s="19">
        <v>1</v>
      </c>
      <c r="AK31" s="19">
        <v>1</v>
      </c>
      <c r="AL31" s="22"/>
      <c r="AM31" s="19">
        <v>1</v>
      </c>
      <c r="AN31" s="19">
        <v>1</v>
      </c>
      <c r="AO31" s="19">
        <v>1</v>
      </c>
      <c r="AP31" s="19">
        <v>1</v>
      </c>
      <c r="AQ31" s="19">
        <v>1</v>
      </c>
      <c r="AR31" s="19">
        <v>1</v>
      </c>
      <c r="AS31" s="22"/>
      <c r="AT31" s="19">
        <v>1</v>
      </c>
      <c r="AU31" s="19">
        <v>1</v>
      </c>
      <c r="AV31" s="19">
        <v>1</v>
      </c>
      <c r="AW31" s="19">
        <v>1</v>
      </c>
      <c r="AX31" s="19">
        <f>SUM(T31:AW31)</f>
        <v>26</v>
      </c>
      <c r="AY31" s="20"/>
      <c r="AZ31" s="19"/>
      <c r="BA31" s="20"/>
      <c r="BB31" s="49"/>
    </row>
    <row r="32" spans="1:54" ht="13.5" customHeight="1" x14ac:dyDescent="0.2">
      <c r="A32" s="104" t="s">
        <v>574</v>
      </c>
      <c r="B32" s="86" t="s">
        <v>84</v>
      </c>
      <c r="C32" s="26">
        <v>414</v>
      </c>
      <c r="D32" s="35" t="s">
        <v>2129</v>
      </c>
      <c r="E32" s="26">
        <v>240</v>
      </c>
      <c r="F32" s="26" t="s">
        <v>2227</v>
      </c>
      <c r="G32" s="35" t="s">
        <v>1973</v>
      </c>
      <c r="H32" s="37">
        <v>1</v>
      </c>
      <c r="I32" s="37" t="s">
        <v>47</v>
      </c>
      <c r="J32" s="37">
        <v>1</v>
      </c>
      <c r="K32" s="37" t="s">
        <v>47</v>
      </c>
      <c r="L32" s="35" t="str">
        <f>VLOOKUP(Tabla411[[#This Row],[BTL CVE]],tblPDV[#All],13,0)</f>
        <v xml:space="preserve">BAUTISTA CORONA REYNA </v>
      </c>
      <c r="M32" s="26" t="s">
        <v>505</v>
      </c>
      <c r="N32" s="26" t="s">
        <v>54</v>
      </c>
      <c r="O32" s="26" t="s">
        <v>49</v>
      </c>
      <c r="P32" s="26" t="s">
        <v>49</v>
      </c>
      <c r="Q32" s="26" t="s">
        <v>50</v>
      </c>
      <c r="R32" s="38">
        <v>46113</v>
      </c>
      <c r="S32" s="38">
        <v>46142</v>
      </c>
      <c r="T32" s="19">
        <v>1</v>
      </c>
      <c r="U32" s="19">
        <v>1</v>
      </c>
      <c r="V32" s="19">
        <v>1</v>
      </c>
      <c r="W32" s="19">
        <v>1</v>
      </c>
      <c r="X32" s="22"/>
      <c r="Y32" s="19">
        <v>1</v>
      </c>
      <c r="Z32" s="19">
        <v>1</v>
      </c>
      <c r="AA32" s="19">
        <v>1</v>
      </c>
      <c r="AB32" s="19">
        <v>1</v>
      </c>
      <c r="AC32" s="19">
        <v>1</v>
      </c>
      <c r="AD32" s="19">
        <v>1</v>
      </c>
      <c r="AE32" s="22"/>
      <c r="AF32" s="19">
        <v>1</v>
      </c>
      <c r="AG32" s="19">
        <v>1</v>
      </c>
      <c r="AH32" s="19">
        <v>1</v>
      </c>
      <c r="AI32" s="19">
        <v>1</v>
      </c>
      <c r="AJ32" s="19">
        <v>1</v>
      </c>
      <c r="AK32" s="19">
        <v>1</v>
      </c>
      <c r="AL32" s="22"/>
      <c r="AM32" s="19">
        <v>1</v>
      </c>
      <c r="AN32" s="19">
        <v>1</v>
      </c>
      <c r="AO32" s="19">
        <v>1</v>
      </c>
      <c r="AP32" s="19">
        <v>1</v>
      </c>
      <c r="AQ32" s="19">
        <v>1</v>
      </c>
      <c r="AR32" s="19">
        <v>1</v>
      </c>
      <c r="AS32" s="22"/>
      <c r="AT32" s="19">
        <v>1</v>
      </c>
      <c r="AU32" s="19">
        <v>1</v>
      </c>
      <c r="AV32" s="19">
        <v>1</v>
      </c>
      <c r="AW32" s="19">
        <v>1</v>
      </c>
      <c r="AX32" s="19">
        <f>SUM(T32:AW32)</f>
        <v>26</v>
      </c>
      <c r="AY32" s="20"/>
      <c r="AZ32" s="19"/>
      <c r="BA32" s="20"/>
      <c r="BB32" s="49"/>
    </row>
    <row r="33" spans="1:54" ht="13.5" customHeight="1" x14ac:dyDescent="0.2">
      <c r="A33" s="104" t="s">
        <v>1573</v>
      </c>
      <c r="B33" s="86" t="s">
        <v>90</v>
      </c>
      <c r="C33" s="26"/>
      <c r="D33" s="35" t="s">
        <v>1574</v>
      </c>
      <c r="E33" s="26">
        <v>456</v>
      </c>
      <c r="F33" s="26" t="s">
        <v>2293</v>
      </c>
      <c r="G33" s="35" t="s">
        <v>1492</v>
      </c>
      <c r="H33" s="37">
        <v>1</v>
      </c>
      <c r="I33" s="37" t="s">
        <v>47</v>
      </c>
      <c r="J33" s="37">
        <v>1</v>
      </c>
      <c r="K33" s="37" t="s">
        <v>47</v>
      </c>
      <c r="L33" s="35" t="str">
        <f>VLOOKUP(Tabla411[[#This Row],[BTL CVE]],tblPDV[#All],13,0)</f>
        <v xml:space="preserve">AGUIRRE CAMACHO ATZIN SUSANA </v>
      </c>
      <c r="M33" s="26" t="s">
        <v>536</v>
      </c>
      <c r="N33" s="26" t="s">
        <v>54</v>
      </c>
      <c r="O33" s="26" t="s">
        <v>94</v>
      </c>
      <c r="P33" s="26" t="s">
        <v>94</v>
      </c>
      <c r="Q33" s="26" t="s">
        <v>95</v>
      </c>
      <c r="R33" s="38">
        <v>46113</v>
      </c>
      <c r="S33" s="38">
        <v>46142</v>
      </c>
      <c r="T33" s="22"/>
      <c r="U33" s="19">
        <v>1</v>
      </c>
      <c r="V33" s="19">
        <v>1</v>
      </c>
      <c r="W33" s="19">
        <v>1</v>
      </c>
      <c r="X33" s="19">
        <v>1</v>
      </c>
      <c r="Y33" s="19">
        <v>1</v>
      </c>
      <c r="Z33" s="19">
        <v>1</v>
      </c>
      <c r="AA33" s="22"/>
      <c r="AB33" s="19">
        <v>1</v>
      </c>
      <c r="AC33" s="19">
        <v>1</v>
      </c>
      <c r="AD33" s="19">
        <v>1</v>
      </c>
      <c r="AE33" s="19">
        <v>1</v>
      </c>
      <c r="AF33" s="19">
        <v>1</v>
      </c>
      <c r="AG33" s="19">
        <v>1</v>
      </c>
      <c r="AH33" s="22"/>
      <c r="AI33" s="19">
        <v>1</v>
      </c>
      <c r="AJ33" s="19">
        <v>1</v>
      </c>
      <c r="AK33" s="19">
        <v>1</v>
      </c>
      <c r="AL33" s="19">
        <v>1</v>
      </c>
      <c r="AM33" s="19">
        <v>1</v>
      </c>
      <c r="AN33" s="19">
        <v>1</v>
      </c>
      <c r="AO33" s="22"/>
      <c r="AP33" s="19">
        <v>1</v>
      </c>
      <c r="AQ33" s="19">
        <v>1</v>
      </c>
      <c r="AR33" s="19">
        <v>1</v>
      </c>
      <c r="AS33" s="19">
        <v>1</v>
      </c>
      <c r="AT33" s="19">
        <v>1</v>
      </c>
      <c r="AU33" s="19">
        <v>1</v>
      </c>
      <c r="AV33" s="22"/>
      <c r="AW33" s="19">
        <v>1</v>
      </c>
      <c r="AX33" s="19">
        <f>SUM(T33:AW33)</f>
        <v>25</v>
      </c>
      <c r="AY33" s="20"/>
      <c r="AZ33" s="19"/>
      <c r="BA33" s="20"/>
      <c r="BB33" s="50" t="s">
        <v>1577</v>
      </c>
    </row>
    <row r="34" spans="1:54" ht="13.5" customHeight="1" x14ac:dyDescent="0.2">
      <c r="A34" s="104" t="s">
        <v>1414</v>
      </c>
      <c r="B34" s="86" t="s">
        <v>90</v>
      </c>
      <c r="C34" s="26">
        <v>6</v>
      </c>
      <c r="D34" s="35" t="s">
        <v>534</v>
      </c>
      <c r="E34" s="26">
        <v>543</v>
      </c>
      <c r="F34" s="26" t="s">
        <v>2333</v>
      </c>
      <c r="G34" s="35" t="s">
        <v>1538</v>
      </c>
      <c r="H34" s="37">
        <v>1</v>
      </c>
      <c r="I34" s="37" t="s">
        <v>47</v>
      </c>
      <c r="J34" s="37">
        <v>1</v>
      </c>
      <c r="K34" s="26" t="s">
        <v>47</v>
      </c>
      <c r="L34" s="35" t="str">
        <f>VLOOKUP(Tabla411[[#This Row],[BTL CVE]],tblPDV[#All],13,0)</f>
        <v xml:space="preserve">ESTRADA NAVA MIRIAM ROCIO </v>
      </c>
      <c r="M34" s="26" t="s">
        <v>536</v>
      </c>
      <c r="N34" s="26" t="s">
        <v>54</v>
      </c>
      <c r="O34" s="26" t="s">
        <v>49</v>
      </c>
      <c r="P34" s="26" t="s">
        <v>49</v>
      </c>
      <c r="Q34" s="26" t="s">
        <v>50</v>
      </c>
      <c r="R34" s="38">
        <v>46113</v>
      </c>
      <c r="S34" s="38">
        <v>46142</v>
      </c>
      <c r="T34" s="19">
        <v>1</v>
      </c>
      <c r="U34" s="19">
        <v>1</v>
      </c>
      <c r="V34" s="19">
        <v>1</v>
      </c>
      <c r="W34" s="19">
        <v>1</v>
      </c>
      <c r="X34" s="22"/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22"/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22"/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22"/>
      <c r="AT34" s="19">
        <v>1</v>
      </c>
      <c r="AU34" s="19">
        <v>1</v>
      </c>
      <c r="AV34" s="19">
        <v>1</v>
      </c>
      <c r="AW34" s="19">
        <v>1</v>
      </c>
      <c r="AX34" s="19">
        <f>SUM(T34:AW34)</f>
        <v>26</v>
      </c>
      <c r="AY34" s="20"/>
      <c r="AZ34" s="19"/>
      <c r="BA34" s="20"/>
      <c r="BB34" s="49"/>
    </row>
    <row r="35" spans="1:54" ht="13.5" customHeight="1" x14ac:dyDescent="0.2">
      <c r="A35" s="104" t="s">
        <v>577</v>
      </c>
      <c r="B35" s="86" t="s">
        <v>90</v>
      </c>
      <c r="C35" s="26">
        <v>1008</v>
      </c>
      <c r="D35" s="35" t="s">
        <v>91</v>
      </c>
      <c r="E35" s="26">
        <v>492</v>
      </c>
      <c r="F35" s="26" t="s">
        <v>2311</v>
      </c>
      <c r="G35" s="35" t="s">
        <v>1489</v>
      </c>
      <c r="H35" s="37">
        <v>1</v>
      </c>
      <c r="I35" s="37" t="s">
        <v>47</v>
      </c>
      <c r="J35" s="37">
        <v>1</v>
      </c>
      <c r="K35" s="26" t="s">
        <v>47</v>
      </c>
      <c r="L35" s="35" t="str">
        <f>VLOOKUP(Tabla411[[#This Row],[BTL CVE]],tblPDV[#All],13,0)</f>
        <v xml:space="preserve">MONROY GONZALEZ MARIA ZENAIDA </v>
      </c>
      <c r="M35" s="26" t="s">
        <v>536</v>
      </c>
      <c r="N35" s="26" t="s">
        <v>54</v>
      </c>
      <c r="O35" s="26" t="s">
        <v>49</v>
      </c>
      <c r="P35" s="26" t="s">
        <v>49</v>
      </c>
      <c r="Q35" s="26" t="s">
        <v>50</v>
      </c>
      <c r="R35" s="38">
        <v>46113</v>
      </c>
      <c r="S35" s="38">
        <v>46142</v>
      </c>
      <c r="T35" s="19">
        <v>1</v>
      </c>
      <c r="U35" s="19">
        <v>1</v>
      </c>
      <c r="V35" s="19">
        <v>1</v>
      </c>
      <c r="W35" s="19">
        <v>1</v>
      </c>
      <c r="X35" s="22"/>
      <c r="Y35" s="19">
        <v>1</v>
      </c>
      <c r="Z35" s="19">
        <v>1</v>
      </c>
      <c r="AA35" s="19">
        <v>1</v>
      </c>
      <c r="AB35" s="19">
        <v>1</v>
      </c>
      <c r="AC35" s="19">
        <v>1</v>
      </c>
      <c r="AD35" s="19">
        <v>1</v>
      </c>
      <c r="AE35" s="22"/>
      <c r="AF35" s="19">
        <v>1</v>
      </c>
      <c r="AG35" s="19">
        <v>1</v>
      </c>
      <c r="AH35" s="19">
        <v>1</v>
      </c>
      <c r="AI35" s="19">
        <v>1</v>
      </c>
      <c r="AJ35" s="19">
        <v>1</v>
      </c>
      <c r="AK35" s="19">
        <v>1</v>
      </c>
      <c r="AL35" s="22"/>
      <c r="AM35" s="19">
        <v>1</v>
      </c>
      <c r="AN35" s="19">
        <v>1</v>
      </c>
      <c r="AO35" s="19">
        <v>1</v>
      </c>
      <c r="AP35" s="19">
        <v>1</v>
      </c>
      <c r="AQ35" s="19">
        <v>1</v>
      </c>
      <c r="AR35" s="19">
        <v>1</v>
      </c>
      <c r="AS35" s="22"/>
      <c r="AT35" s="19">
        <v>1</v>
      </c>
      <c r="AU35" s="19">
        <v>1</v>
      </c>
      <c r="AV35" s="19">
        <v>1</v>
      </c>
      <c r="AW35" s="19">
        <v>1</v>
      </c>
      <c r="AX35" s="19">
        <f>SUM(T35:AW35)</f>
        <v>26</v>
      </c>
      <c r="AY35" s="20"/>
      <c r="AZ35" s="19"/>
      <c r="BA35" s="20"/>
      <c r="BB35" s="49"/>
    </row>
    <row r="36" spans="1:54" ht="13.5" customHeight="1" x14ac:dyDescent="0.2">
      <c r="A36" s="104" t="s">
        <v>1415</v>
      </c>
      <c r="B36" s="86" t="s">
        <v>90</v>
      </c>
      <c r="C36" s="26">
        <v>80</v>
      </c>
      <c r="D36" s="35" t="s">
        <v>383</v>
      </c>
      <c r="E36" s="26">
        <v>347</v>
      </c>
      <c r="F36" s="26" t="s">
        <v>2261</v>
      </c>
      <c r="G36" s="35" t="s">
        <v>1539</v>
      </c>
      <c r="H36" s="37">
        <v>1</v>
      </c>
      <c r="I36" s="37" t="s">
        <v>47</v>
      </c>
      <c r="J36" s="37">
        <v>1</v>
      </c>
      <c r="K36" s="37" t="s">
        <v>47</v>
      </c>
      <c r="L36" s="35" t="str">
        <f>VLOOKUP(Tabla411[[#This Row],[BTL CVE]],tblPDV[#All],13,0)</f>
        <v xml:space="preserve">CHAVEZ RAMOS  JONATAN RAYMUNDO </v>
      </c>
      <c r="M36" s="26" t="s">
        <v>536</v>
      </c>
      <c r="N36" s="26" t="s">
        <v>54</v>
      </c>
      <c r="O36" s="26" t="s">
        <v>49</v>
      </c>
      <c r="P36" s="26" t="s">
        <v>49</v>
      </c>
      <c r="Q36" s="26" t="s">
        <v>50</v>
      </c>
      <c r="R36" s="38">
        <v>46113</v>
      </c>
      <c r="S36" s="38">
        <v>46142</v>
      </c>
      <c r="T36" s="19">
        <v>1</v>
      </c>
      <c r="U36" s="19">
        <v>1</v>
      </c>
      <c r="V36" s="19">
        <v>1</v>
      </c>
      <c r="W36" s="19">
        <v>1</v>
      </c>
      <c r="X36" s="22"/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22"/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22"/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22"/>
      <c r="AT36" s="19">
        <v>1</v>
      </c>
      <c r="AU36" s="19">
        <v>1</v>
      </c>
      <c r="AV36" s="19">
        <v>1</v>
      </c>
      <c r="AW36" s="19">
        <v>1</v>
      </c>
      <c r="AX36" s="19">
        <f>SUM(T36:AW36)</f>
        <v>26</v>
      </c>
      <c r="AY36" s="20"/>
      <c r="AZ36" s="19"/>
      <c r="BA36" s="20"/>
      <c r="BB36" s="49"/>
    </row>
    <row r="37" spans="1:54" ht="13.5" customHeight="1" x14ac:dyDescent="0.2">
      <c r="A37" s="104" t="s">
        <v>580</v>
      </c>
      <c r="B37" s="105" t="s">
        <v>90</v>
      </c>
      <c r="C37" s="26">
        <v>1014</v>
      </c>
      <c r="D37" s="35" t="s">
        <v>92</v>
      </c>
      <c r="E37" s="26">
        <v>262</v>
      </c>
      <c r="F37" s="26" t="s">
        <v>2234</v>
      </c>
      <c r="G37" s="35" t="s">
        <v>1974</v>
      </c>
      <c r="H37" s="37">
        <v>1</v>
      </c>
      <c r="I37" s="37" t="s">
        <v>47</v>
      </c>
      <c r="J37" s="37">
        <v>1</v>
      </c>
      <c r="K37" s="37" t="s">
        <v>47</v>
      </c>
      <c r="L37" s="35" t="str">
        <f>VLOOKUP(Tabla411[[#This Row],[BTL CVE]],tblPDV[#All],13,0)</f>
        <v>VACANTE</v>
      </c>
      <c r="M37" s="26" t="s">
        <v>93</v>
      </c>
      <c r="N37" s="26" t="s">
        <v>54</v>
      </c>
      <c r="O37" s="26" t="s">
        <v>94</v>
      </c>
      <c r="P37" s="26" t="s">
        <v>94</v>
      </c>
      <c r="Q37" s="26" t="s">
        <v>95</v>
      </c>
      <c r="R37" s="38">
        <v>46113</v>
      </c>
      <c r="S37" s="38">
        <v>46142</v>
      </c>
      <c r="T37" s="22"/>
      <c r="U37" s="19">
        <v>1</v>
      </c>
      <c r="V37" s="19">
        <v>1</v>
      </c>
      <c r="W37" s="19">
        <v>1</v>
      </c>
      <c r="X37" s="19">
        <v>1</v>
      </c>
      <c r="Y37" s="19">
        <v>1</v>
      </c>
      <c r="Z37" s="19">
        <v>1</v>
      </c>
      <c r="AA37" s="22"/>
      <c r="AB37" s="19">
        <v>1</v>
      </c>
      <c r="AC37" s="19">
        <v>1</v>
      </c>
      <c r="AD37" s="19">
        <v>1</v>
      </c>
      <c r="AE37" s="19">
        <v>1</v>
      </c>
      <c r="AF37" s="19">
        <v>1</v>
      </c>
      <c r="AG37" s="19">
        <v>1</v>
      </c>
      <c r="AH37" s="22"/>
      <c r="AI37" s="19">
        <v>1</v>
      </c>
      <c r="AJ37" s="19">
        <v>1</v>
      </c>
      <c r="AK37" s="19">
        <v>1</v>
      </c>
      <c r="AL37" s="19">
        <v>1</v>
      </c>
      <c r="AM37" s="19">
        <v>1</v>
      </c>
      <c r="AN37" s="19">
        <v>1</v>
      </c>
      <c r="AO37" s="22"/>
      <c r="AP37" s="19">
        <v>1</v>
      </c>
      <c r="AQ37" s="19">
        <v>1</v>
      </c>
      <c r="AR37" s="19">
        <v>1</v>
      </c>
      <c r="AS37" s="19">
        <v>1</v>
      </c>
      <c r="AT37" s="19">
        <v>1</v>
      </c>
      <c r="AU37" s="19">
        <v>1</v>
      </c>
      <c r="AV37" s="22"/>
      <c r="AW37" s="19">
        <v>1</v>
      </c>
      <c r="AX37" s="19">
        <f>SUM(T37:AW37)</f>
        <v>25</v>
      </c>
      <c r="AY37" s="20"/>
      <c r="AZ37" s="19"/>
      <c r="BA37" s="20"/>
      <c r="BB37" s="49"/>
    </row>
    <row r="38" spans="1:54" ht="13.5" customHeight="1" x14ac:dyDescent="0.2">
      <c r="A38" s="104" t="s">
        <v>579</v>
      </c>
      <c r="B38" s="86" t="s">
        <v>90</v>
      </c>
      <c r="C38" s="26">
        <v>1006</v>
      </c>
      <c r="D38" s="35" t="s">
        <v>97</v>
      </c>
      <c r="E38" s="26">
        <v>177</v>
      </c>
      <c r="F38" s="26" t="s">
        <v>2204</v>
      </c>
      <c r="G38" s="35" t="s">
        <v>1975</v>
      </c>
      <c r="H38" s="37">
        <v>1</v>
      </c>
      <c r="I38" s="37" t="s">
        <v>47</v>
      </c>
      <c r="J38" s="37">
        <v>1</v>
      </c>
      <c r="K38" s="37" t="s">
        <v>47</v>
      </c>
      <c r="L38" s="35" t="str">
        <f>VLOOKUP(Tabla411[[#This Row],[BTL CVE]],tblPDV[#All],13,0)</f>
        <v>CARRILLO XOCHIHUA XOCHITL</v>
      </c>
      <c r="M38" s="26" t="s">
        <v>536</v>
      </c>
      <c r="N38" s="26" t="s">
        <v>54</v>
      </c>
      <c r="O38" s="26" t="s">
        <v>94</v>
      </c>
      <c r="P38" s="26" t="s">
        <v>94</v>
      </c>
      <c r="Q38" s="26" t="s">
        <v>95</v>
      </c>
      <c r="R38" s="38">
        <v>46113</v>
      </c>
      <c r="S38" s="38">
        <v>46142</v>
      </c>
      <c r="T38" s="22"/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22"/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22"/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22"/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22"/>
      <c r="AW38" s="19">
        <v>1</v>
      </c>
      <c r="AX38" s="19">
        <f>SUM(T38:AW38)</f>
        <v>25</v>
      </c>
      <c r="AY38" s="20"/>
      <c r="AZ38" s="19"/>
      <c r="BA38" s="20"/>
      <c r="BB38" s="49"/>
    </row>
    <row r="39" spans="1:54" ht="13.5" customHeight="1" x14ac:dyDescent="0.2">
      <c r="A39" s="104" t="s">
        <v>578</v>
      </c>
      <c r="B39" s="86" t="s">
        <v>90</v>
      </c>
      <c r="C39" s="26"/>
      <c r="D39" s="35" t="s">
        <v>96</v>
      </c>
      <c r="E39" s="26">
        <v>196</v>
      </c>
      <c r="F39" s="26" t="s">
        <v>2211</v>
      </c>
      <c r="G39" s="35" t="s">
        <v>1976</v>
      </c>
      <c r="H39" s="37">
        <v>1</v>
      </c>
      <c r="I39" s="37" t="s">
        <v>47</v>
      </c>
      <c r="J39" s="37">
        <v>1</v>
      </c>
      <c r="K39" s="37" t="s">
        <v>47</v>
      </c>
      <c r="L39" s="35" t="str">
        <f>VLOOKUP(Tabla411[[#This Row],[BTL CVE]],tblPDV[#All],13,0)</f>
        <v>CARRILLO XOCHIHUA XOCHITL</v>
      </c>
      <c r="M39" s="26" t="s">
        <v>536</v>
      </c>
      <c r="N39" s="26" t="s">
        <v>54</v>
      </c>
      <c r="O39" s="26" t="s">
        <v>49</v>
      </c>
      <c r="P39" s="26" t="s">
        <v>49</v>
      </c>
      <c r="Q39" s="26" t="s">
        <v>50</v>
      </c>
      <c r="R39" s="38">
        <v>46113</v>
      </c>
      <c r="S39" s="38">
        <v>46142</v>
      </c>
      <c r="T39" s="19">
        <v>1</v>
      </c>
      <c r="U39" s="19">
        <v>1</v>
      </c>
      <c r="V39" s="19">
        <v>1</v>
      </c>
      <c r="W39" s="19">
        <v>1</v>
      </c>
      <c r="X39" s="22"/>
      <c r="Y39" s="19">
        <v>1</v>
      </c>
      <c r="Z39" s="19">
        <v>1</v>
      </c>
      <c r="AA39" s="19">
        <v>1</v>
      </c>
      <c r="AB39" s="19">
        <v>1</v>
      </c>
      <c r="AC39" s="19">
        <v>1</v>
      </c>
      <c r="AD39" s="19">
        <v>1</v>
      </c>
      <c r="AE39" s="22"/>
      <c r="AF39" s="19">
        <v>1</v>
      </c>
      <c r="AG39" s="19">
        <v>1</v>
      </c>
      <c r="AH39" s="19">
        <v>1</v>
      </c>
      <c r="AI39" s="19">
        <v>1</v>
      </c>
      <c r="AJ39" s="19">
        <v>1</v>
      </c>
      <c r="AK39" s="19">
        <v>1</v>
      </c>
      <c r="AL39" s="22"/>
      <c r="AM39" s="19">
        <v>1</v>
      </c>
      <c r="AN39" s="19">
        <v>1</v>
      </c>
      <c r="AO39" s="19">
        <v>1</v>
      </c>
      <c r="AP39" s="19">
        <v>1</v>
      </c>
      <c r="AQ39" s="19">
        <v>1</v>
      </c>
      <c r="AR39" s="19">
        <v>1</v>
      </c>
      <c r="AS39" s="22"/>
      <c r="AT39" s="19">
        <v>1</v>
      </c>
      <c r="AU39" s="19">
        <v>1</v>
      </c>
      <c r="AV39" s="19">
        <v>1</v>
      </c>
      <c r="AW39" s="19">
        <v>1</v>
      </c>
      <c r="AX39" s="19">
        <f>SUM(T39:AW39)</f>
        <v>26</v>
      </c>
      <c r="AY39" s="20"/>
      <c r="AZ39" s="19"/>
      <c r="BA39" s="20"/>
      <c r="BB39" s="49"/>
    </row>
    <row r="40" spans="1:54" ht="13.5" customHeight="1" x14ac:dyDescent="0.2">
      <c r="A40" s="104" t="s">
        <v>579</v>
      </c>
      <c r="B40" s="86" t="s">
        <v>90</v>
      </c>
      <c r="C40" s="26">
        <v>1006</v>
      </c>
      <c r="D40" s="35" t="s">
        <v>97</v>
      </c>
      <c r="E40" s="26">
        <v>116</v>
      </c>
      <c r="F40" s="26" t="s">
        <v>2175</v>
      </c>
      <c r="G40" s="35" t="s">
        <v>1977</v>
      </c>
      <c r="H40" s="37">
        <v>1</v>
      </c>
      <c r="I40" s="37" t="s">
        <v>47</v>
      </c>
      <c r="J40" s="37">
        <v>1</v>
      </c>
      <c r="K40" s="26" t="s">
        <v>47</v>
      </c>
      <c r="L40" s="35" t="str">
        <f>VLOOKUP(Tabla411[[#This Row],[BTL CVE]],tblPDV[#All],13,0)</f>
        <v>CARRILLO XOCHIHUA XOCHITL</v>
      </c>
      <c r="M40" s="26" t="s">
        <v>536</v>
      </c>
      <c r="N40" s="26" t="s">
        <v>54</v>
      </c>
      <c r="O40" s="26" t="s">
        <v>49</v>
      </c>
      <c r="P40" s="26" t="s">
        <v>49</v>
      </c>
      <c r="Q40" s="26" t="s">
        <v>50</v>
      </c>
      <c r="R40" s="38">
        <v>46113</v>
      </c>
      <c r="S40" s="38">
        <v>46142</v>
      </c>
      <c r="T40" s="19">
        <v>1</v>
      </c>
      <c r="U40" s="19">
        <v>1</v>
      </c>
      <c r="V40" s="19">
        <v>1</v>
      </c>
      <c r="W40" s="19">
        <v>1</v>
      </c>
      <c r="X40" s="22"/>
      <c r="Y40" s="19">
        <v>1</v>
      </c>
      <c r="Z40" s="19">
        <v>1</v>
      </c>
      <c r="AA40" s="19">
        <v>1</v>
      </c>
      <c r="AB40" s="19">
        <v>1</v>
      </c>
      <c r="AC40" s="19">
        <v>1</v>
      </c>
      <c r="AD40" s="19">
        <v>1</v>
      </c>
      <c r="AE40" s="22"/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22"/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22"/>
      <c r="AT40" s="19">
        <v>1</v>
      </c>
      <c r="AU40" s="19">
        <v>1</v>
      </c>
      <c r="AV40" s="19">
        <v>1</v>
      </c>
      <c r="AW40" s="19">
        <v>1</v>
      </c>
      <c r="AX40" s="19">
        <f>SUM(T40:AW40)</f>
        <v>26</v>
      </c>
      <c r="AY40" s="20"/>
      <c r="AZ40" s="19"/>
      <c r="BA40" s="20"/>
      <c r="BB40" s="49"/>
    </row>
    <row r="41" spans="1:54" ht="13.5" customHeight="1" x14ac:dyDescent="0.2">
      <c r="A41" s="104" t="s">
        <v>581</v>
      </c>
      <c r="B41" s="86" t="s">
        <v>90</v>
      </c>
      <c r="C41" s="26"/>
      <c r="D41" s="35" t="s">
        <v>98</v>
      </c>
      <c r="E41" s="26">
        <v>517</v>
      </c>
      <c r="F41" s="26" t="s">
        <v>2324</v>
      </c>
      <c r="G41" s="35" t="s">
        <v>99</v>
      </c>
      <c r="H41" s="37">
        <v>1</v>
      </c>
      <c r="I41" s="37" t="s">
        <v>47</v>
      </c>
      <c r="J41" s="37">
        <v>1</v>
      </c>
      <c r="K41" s="37" t="s">
        <v>47</v>
      </c>
      <c r="L41" s="35" t="str">
        <f>VLOOKUP(Tabla411[[#This Row],[BTL CVE]],tblPDV[#All],13,0)</f>
        <v>FLORES SALDAÑA JAVIER</v>
      </c>
      <c r="M41" s="26" t="s">
        <v>98</v>
      </c>
      <c r="N41" s="26" t="s">
        <v>54</v>
      </c>
      <c r="O41" s="26" t="s">
        <v>94</v>
      </c>
      <c r="P41" s="26" t="s">
        <v>94</v>
      </c>
      <c r="Q41" s="26" t="s">
        <v>95</v>
      </c>
      <c r="R41" s="38">
        <v>46113</v>
      </c>
      <c r="S41" s="38">
        <v>46142</v>
      </c>
      <c r="T41" s="22"/>
      <c r="U41" s="19">
        <v>1</v>
      </c>
      <c r="V41" s="19">
        <v>1</v>
      </c>
      <c r="W41" s="19">
        <v>1</v>
      </c>
      <c r="X41" s="19">
        <v>1</v>
      </c>
      <c r="Y41" s="19">
        <v>1</v>
      </c>
      <c r="Z41" s="19">
        <v>1</v>
      </c>
      <c r="AA41" s="22"/>
      <c r="AB41" s="19">
        <v>1</v>
      </c>
      <c r="AC41" s="19">
        <v>1</v>
      </c>
      <c r="AD41" s="19">
        <v>1</v>
      </c>
      <c r="AE41" s="19">
        <v>1</v>
      </c>
      <c r="AF41" s="19">
        <v>1</v>
      </c>
      <c r="AG41" s="19">
        <v>1</v>
      </c>
      <c r="AH41" s="22"/>
      <c r="AI41" s="19">
        <v>1</v>
      </c>
      <c r="AJ41" s="19">
        <v>1</v>
      </c>
      <c r="AK41" s="19">
        <v>1</v>
      </c>
      <c r="AL41" s="19">
        <v>1</v>
      </c>
      <c r="AM41" s="19">
        <v>1</v>
      </c>
      <c r="AN41" s="19">
        <v>1</v>
      </c>
      <c r="AO41" s="22"/>
      <c r="AP41" s="19">
        <v>1</v>
      </c>
      <c r="AQ41" s="19">
        <v>1</v>
      </c>
      <c r="AR41" s="19">
        <v>1</v>
      </c>
      <c r="AS41" s="19">
        <v>1</v>
      </c>
      <c r="AT41" s="19">
        <v>1</v>
      </c>
      <c r="AU41" s="19">
        <v>1</v>
      </c>
      <c r="AV41" s="22"/>
      <c r="AW41" s="19">
        <v>1</v>
      </c>
      <c r="AX41" s="19">
        <f>SUM(T41:AW41)</f>
        <v>25</v>
      </c>
      <c r="AY41" s="20"/>
      <c r="AZ41" s="19"/>
      <c r="BA41" s="20"/>
      <c r="BB41" s="49"/>
    </row>
    <row r="42" spans="1:54" ht="13.5" customHeight="1" x14ac:dyDescent="0.2">
      <c r="A42" s="104" t="s">
        <v>577</v>
      </c>
      <c r="B42" s="86" t="s">
        <v>90</v>
      </c>
      <c r="C42" s="26">
        <v>1008</v>
      </c>
      <c r="D42" s="35" t="s">
        <v>91</v>
      </c>
      <c r="E42" s="26">
        <v>155</v>
      </c>
      <c r="F42" s="26" t="s">
        <v>2196</v>
      </c>
      <c r="G42" s="35" t="s">
        <v>1507</v>
      </c>
      <c r="H42" s="37">
        <v>1</v>
      </c>
      <c r="I42" s="37" t="s">
        <v>47</v>
      </c>
      <c r="J42" s="37">
        <v>1</v>
      </c>
      <c r="K42" s="37" t="s">
        <v>47</v>
      </c>
      <c r="L42" s="35" t="str">
        <f>VLOOKUP(Tabla411[[#This Row],[BTL CVE]],tblPDV[#All],13,0)</f>
        <v xml:space="preserve">MONROY GONZALEZ MARIA ZENAIDA </v>
      </c>
      <c r="M42" s="26" t="s">
        <v>536</v>
      </c>
      <c r="N42" s="26" t="s">
        <v>54</v>
      </c>
      <c r="O42" s="26" t="s">
        <v>94</v>
      </c>
      <c r="P42" s="26" t="s">
        <v>94</v>
      </c>
      <c r="Q42" s="26" t="s">
        <v>95</v>
      </c>
      <c r="R42" s="38">
        <v>46113</v>
      </c>
      <c r="S42" s="38">
        <v>46142</v>
      </c>
      <c r="T42" s="22"/>
      <c r="U42" s="19">
        <v>1</v>
      </c>
      <c r="V42" s="19">
        <v>1</v>
      </c>
      <c r="W42" s="19">
        <v>1</v>
      </c>
      <c r="X42" s="19">
        <v>1</v>
      </c>
      <c r="Y42" s="19">
        <v>1</v>
      </c>
      <c r="Z42" s="19">
        <v>1</v>
      </c>
      <c r="AA42" s="22"/>
      <c r="AB42" s="19">
        <v>1</v>
      </c>
      <c r="AC42" s="19">
        <v>1</v>
      </c>
      <c r="AD42" s="19">
        <v>1</v>
      </c>
      <c r="AE42" s="19">
        <v>1</v>
      </c>
      <c r="AF42" s="19">
        <v>1</v>
      </c>
      <c r="AG42" s="19">
        <v>1</v>
      </c>
      <c r="AH42" s="22"/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22"/>
      <c r="AP42" s="19">
        <v>1</v>
      </c>
      <c r="AQ42" s="19">
        <v>1</v>
      </c>
      <c r="AR42" s="19">
        <v>1</v>
      </c>
      <c r="AS42" s="19">
        <v>1</v>
      </c>
      <c r="AT42" s="19">
        <v>1</v>
      </c>
      <c r="AU42" s="19">
        <v>1</v>
      </c>
      <c r="AV42" s="22"/>
      <c r="AW42" s="19">
        <v>1</v>
      </c>
      <c r="AX42" s="19">
        <f>SUM(T42:AW42)</f>
        <v>25</v>
      </c>
      <c r="AY42" s="20"/>
      <c r="AZ42" s="19"/>
      <c r="BA42" s="20"/>
      <c r="BB42" s="49"/>
    </row>
    <row r="43" spans="1:54" ht="13.5" customHeight="1" x14ac:dyDescent="0.2">
      <c r="A43" s="104" t="s">
        <v>582</v>
      </c>
      <c r="B43" s="86" t="s">
        <v>100</v>
      </c>
      <c r="C43" s="26" t="s">
        <v>101</v>
      </c>
      <c r="D43" s="86" t="s">
        <v>101</v>
      </c>
      <c r="E43" s="26">
        <v>588</v>
      </c>
      <c r="F43" s="90" t="s">
        <v>2384</v>
      </c>
      <c r="G43" s="133" t="s">
        <v>2367</v>
      </c>
      <c r="H43" s="92"/>
      <c r="I43" s="92"/>
      <c r="J43" s="37">
        <v>0.5</v>
      </c>
      <c r="K43" s="37" t="s">
        <v>53</v>
      </c>
      <c r="L43" s="91" t="str">
        <f>VLOOKUP(Tabla411[[#This Row],[BTL CVE]],tblPDV[#All],13,0)</f>
        <v xml:space="preserve">ESTRADA NAVA MIRIAM ROCIO </v>
      </c>
      <c r="M43" s="26" t="s">
        <v>536</v>
      </c>
      <c r="N43" s="26" t="s">
        <v>54</v>
      </c>
      <c r="O43" s="26" t="s">
        <v>49</v>
      </c>
      <c r="P43" s="26" t="s">
        <v>49</v>
      </c>
      <c r="Q43" s="26" t="s">
        <v>50</v>
      </c>
      <c r="R43" s="38">
        <v>46113</v>
      </c>
      <c r="S43" s="38">
        <v>46142</v>
      </c>
      <c r="T43" s="19">
        <v>1</v>
      </c>
      <c r="U43" s="19">
        <v>1</v>
      </c>
      <c r="V43" s="19">
        <v>1</v>
      </c>
      <c r="W43" s="19">
        <v>1</v>
      </c>
      <c r="X43" s="22"/>
      <c r="Y43" s="19">
        <v>1</v>
      </c>
      <c r="Z43" s="19">
        <v>1</v>
      </c>
      <c r="AA43" s="19">
        <v>1</v>
      </c>
      <c r="AB43" s="19">
        <v>1</v>
      </c>
      <c r="AC43" s="19">
        <v>1</v>
      </c>
      <c r="AD43" s="19">
        <v>1</v>
      </c>
      <c r="AE43" s="22"/>
      <c r="AF43" s="19">
        <v>1</v>
      </c>
      <c r="AG43" s="19">
        <v>1</v>
      </c>
      <c r="AH43" s="19">
        <v>1</v>
      </c>
      <c r="AI43" s="19">
        <v>1</v>
      </c>
      <c r="AJ43" s="19">
        <v>1</v>
      </c>
      <c r="AK43" s="19">
        <v>1</v>
      </c>
      <c r="AL43" s="22"/>
      <c r="AM43" s="19">
        <v>1</v>
      </c>
      <c r="AN43" s="19">
        <v>1</v>
      </c>
      <c r="AO43" s="19">
        <v>1</v>
      </c>
      <c r="AP43" s="19">
        <v>1</v>
      </c>
      <c r="AQ43" s="19">
        <v>1</v>
      </c>
      <c r="AR43" s="19">
        <v>1</v>
      </c>
      <c r="AS43" s="22"/>
      <c r="AT43" s="19">
        <v>1</v>
      </c>
      <c r="AU43" s="19">
        <v>1</v>
      </c>
      <c r="AV43" s="19">
        <v>1</v>
      </c>
      <c r="AW43" s="19">
        <v>1</v>
      </c>
      <c r="AX43" s="95">
        <f>SUM(T43:AW43)</f>
        <v>26</v>
      </c>
      <c r="AY43" s="20"/>
      <c r="AZ43" s="96"/>
      <c r="BA43" s="20"/>
      <c r="BB43" s="97" t="s">
        <v>2385</v>
      </c>
    </row>
    <row r="44" spans="1:54" ht="13.5" customHeight="1" x14ac:dyDescent="0.2">
      <c r="A44" s="104" t="s">
        <v>583</v>
      </c>
      <c r="B44" s="86" t="s">
        <v>100</v>
      </c>
      <c r="C44" s="26" t="s">
        <v>102</v>
      </c>
      <c r="D44" s="35" t="s">
        <v>102</v>
      </c>
      <c r="E44" s="26">
        <v>542</v>
      </c>
      <c r="F44" s="26" t="s">
        <v>2332</v>
      </c>
      <c r="G44" s="35" t="s">
        <v>1532</v>
      </c>
      <c r="H44" s="37">
        <v>0.5</v>
      </c>
      <c r="I44" s="37" t="s">
        <v>53</v>
      </c>
      <c r="J44" s="37">
        <v>0.5</v>
      </c>
      <c r="K44" s="37" t="s">
        <v>53</v>
      </c>
      <c r="L44" s="35" t="str">
        <f>VLOOKUP(Tabla411[[#This Row],[BTL CVE]],tblPDV[#All],13,0)</f>
        <v xml:space="preserve">MONROY GONZALEZ MARIA ZENAIDA </v>
      </c>
      <c r="M44" s="26" t="s">
        <v>536</v>
      </c>
      <c r="N44" s="26" t="s">
        <v>54</v>
      </c>
      <c r="O44" s="26" t="s">
        <v>55</v>
      </c>
      <c r="P44" s="26" t="s">
        <v>55</v>
      </c>
      <c r="Q44" s="26" t="s">
        <v>50</v>
      </c>
      <c r="R44" s="38">
        <v>46113</v>
      </c>
      <c r="S44" s="38">
        <v>46142</v>
      </c>
      <c r="T44" s="19">
        <v>1</v>
      </c>
      <c r="U44" s="19"/>
      <c r="V44" s="19"/>
      <c r="W44" s="19"/>
      <c r="X44" s="22"/>
      <c r="Y44" s="19">
        <v>1</v>
      </c>
      <c r="Z44" s="19">
        <v>1</v>
      </c>
      <c r="AA44" s="19">
        <v>1</v>
      </c>
      <c r="AB44" s="19"/>
      <c r="AC44" s="19"/>
      <c r="AD44" s="19"/>
      <c r="AE44" s="22"/>
      <c r="AF44" s="19">
        <v>1</v>
      </c>
      <c r="AG44" s="19">
        <v>1</v>
      </c>
      <c r="AH44" s="19">
        <v>1</v>
      </c>
      <c r="AI44" s="19"/>
      <c r="AJ44" s="19"/>
      <c r="AK44" s="19"/>
      <c r="AL44" s="22"/>
      <c r="AM44" s="19">
        <v>1</v>
      </c>
      <c r="AN44" s="19">
        <v>1</v>
      </c>
      <c r="AO44" s="19">
        <v>1</v>
      </c>
      <c r="AP44" s="19"/>
      <c r="AQ44" s="19"/>
      <c r="AR44" s="19"/>
      <c r="AS44" s="22"/>
      <c r="AT44" s="19">
        <v>1</v>
      </c>
      <c r="AU44" s="19">
        <v>1</v>
      </c>
      <c r="AV44" s="19">
        <v>1</v>
      </c>
      <c r="AW44" s="19"/>
      <c r="AX44" s="19">
        <f>SUM(T44:AW44)</f>
        <v>13</v>
      </c>
      <c r="AY44" s="20"/>
      <c r="AZ44" s="19"/>
      <c r="BA44" s="20"/>
      <c r="BB44" s="49"/>
    </row>
    <row r="45" spans="1:54" ht="13.5" customHeight="1" x14ac:dyDescent="0.2">
      <c r="A45" s="104" t="s">
        <v>584</v>
      </c>
      <c r="B45" s="86" t="s">
        <v>100</v>
      </c>
      <c r="C45" s="26" t="s">
        <v>103</v>
      </c>
      <c r="D45" s="35" t="s">
        <v>103</v>
      </c>
      <c r="E45" s="26">
        <v>542</v>
      </c>
      <c r="F45" s="26" t="s">
        <v>2332</v>
      </c>
      <c r="G45" s="35" t="s">
        <v>1532</v>
      </c>
      <c r="H45" s="37">
        <v>0.5</v>
      </c>
      <c r="I45" s="37" t="s">
        <v>53</v>
      </c>
      <c r="J45" s="37">
        <v>0.5</v>
      </c>
      <c r="K45" s="37" t="s">
        <v>53</v>
      </c>
      <c r="L45" s="35" t="str">
        <f>VLOOKUP(Tabla411[[#This Row],[BTL CVE]],tblPDV[#All],13,0)</f>
        <v xml:space="preserve">MONROY GONZALEZ MARIA ZENAIDA </v>
      </c>
      <c r="M45" s="26" t="s">
        <v>536</v>
      </c>
      <c r="N45" s="26" t="s">
        <v>54</v>
      </c>
      <c r="O45" s="26" t="s">
        <v>66</v>
      </c>
      <c r="P45" s="26" t="s">
        <v>66</v>
      </c>
      <c r="Q45" s="26" t="s">
        <v>50</v>
      </c>
      <c r="R45" s="38">
        <v>46113</v>
      </c>
      <c r="S45" s="38">
        <v>46142</v>
      </c>
      <c r="T45" s="19"/>
      <c r="U45" s="19">
        <v>1</v>
      </c>
      <c r="V45" s="19">
        <v>1</v>
      </c>
      <c r="W45" s="19">
        <v>1</v>
      </c>
      <c r="X45" s="22"/>
      <c r="Y45" s="19"/>
      <c r="Z45" s="19"/>
      <c r="AA45" s="19"/>
      <c r="AB45" s="19">
        <v>1</v>
      </c>
      <c r="AC45" s="19">
        <v>1</v>
      </c>
      <c r="AD45" s="19">
        <v>1</v>
      </c>
      <c r="AE45" s="22"/>
      <c r="AF45" s="19"/>
      <c r="AG45" s="19"/>
      <c r="AH45" s="19"/>
      <c r="AI45" s="19">
        <v>1</v>
      </c>
      <c r="AJ45" s="19">
        <v>1</v>
      </c>
      <c r="AK45" s="19">
        <v>1</v>
      </c>
      <c r="AL45" s="22"/>
      <c r="AM45" s="19"/>
      <c r="AN45" s="19"/>
      <c r="AO45" s="19"/>
      <c r="AP45" s="19">
        <v>1</v>
      </c>
      <c r="AQ45" s="19">
        <v>1</v>
      </c>
      <c r="AR45" s="19">
        <v>1</v>
      </c>
      <c r="AS45" s="22"/>
      <c r="AT45" s="19"/>
      <c r="AU45" s="19"/>
      <c r="AV45" s="19"/>
      <c r="AW45" s="19">
        <v>1</v>
      </c>
      <c r="AX45" s="19">
        <f>SUM(T45:AW45)</f>
        <v>13</v>
      </c>
      <c r="AY45" s="20"/>
      <c r="AZ45" s="19"/>
      <c r="BA45" s="20"/>
      <c r="BB45" s="49"/>
    </row>
    <row r="46" spans="1:54" ht="13.5" customHeight="1" x14ac:dyDescent="0.2">
      <c r="A46" s="121" t="s">
        <v>583</v>
      </c>
      <c r="B46" s="112" t="s">
        <v>100</v>
      </c>
      <c r="C46" s="88" t="s">
        <v>102</v>
      </c>
      <c r="D46" s="89" t="s">
        <v>102</v>
      </c>
      <c r="E46" s="90">
        <v>494</v>
      </c>
      <c r="F46" s="90" t="s">
        <v>2312</v>
      </c>
      <c r="G46" s="87" t="s">
        <v>2024</v>
      </c>
      <c r="H46" s="37"/>
      <c r="I46" s="26"/>
      <c r="J46" s="37">
        <v>0.5</v>
      </c>
      <c r="K46" s="37" t="s">
        <v>53</v>
      </c>
      <c r="L46" s="91" t="str">
        <f>VLOOKUP(Tabla411[[#This Row],[BTL CVE]],tblPDV[#All],13,0)</f>
        <v xml:space="preserve">MONROY GONZALEZ MARIA ZENAIDA </v>
      </c>
      <c r="M46" s="26" t="s">
        <v>536</v>
      </c>
      <c r="N46" s="88"/>
      <c r="O46" s="88"/>
      <c r="P46" s="26" t="s">
        <v>49</v>
      </c>
      <c r="Q46" s="26" t="s">
        <v>50</v>
      </c>
      <c r="R46" s="93">
        <v>46113</v>
      </c>
      <c r="S46" s="93">
        <v>46142</v>
      </c>
      <c r="T46" s="94">
        <v>1</v>
      </c>
      <c r="U46" s="94">
        <v>1</v>
      </c>
      <c r="V46" s="94">
        <v>1</v>
      </c>
      <c r="W46" s="94">
        <v>1</v>
      </c>
      <c r="X46" s="22"/>
      <c r="Y46" s="94">
        <v>1</v>
      </c>
      <c r="Z46" s="94">
        <v>1</v>
      </c>
      <c r="AA46" s="94">
        <v>1</v>
      </c>
      <c r="AB46" s="94">
        <v>1</v>
      </c>
      <c r="AC46" s="94">
        <v>1</v>
      </c>
      <c r="AD46" s="94">
        <v>1</v>
      </c>
      <c r="AE46" s="22"/>
      <c r="AF46" s="94">
        <v>1</v>
      </c>
      <c r="AG46" s="94">
        <v>1</v>
      </c>
      <c r="AH46" s="94">
        <v>1</v>
      </c>
      <c r="AI46" s="94">
        <v>1</v>
      </c>
      <c r="AJ46" s="94">
        <v>1</v>
      </c>
      <c r="AK46" s="94">
        <v>1</v>
      </c>
      <c r="AL46" s="22"/>
      <c r="AM46" s="94">
        <v>1</v>
      </c>
      <c r="AN46" s="94">
        <v>1</v>
      </c>
      <c r="AO46" s="94">
        <v>1</v>
      </c>
      <c r="AP46" s="94">
        <v>1</v>
      </c>
      <c r="AQ46" s="94">
        <v>1</v>
      </c>
      <c r="AR46" s="94">
        <v>1</v>
      </c>
      <c r="AS46" s="22"/>
      <c r="AT46" s="94">
        <v>1</v>
      </c>
      <c r="AU46" s="94">
        <v>1</v>
      </c>
      <c r="AV46" s="94">
        <v>1</v>
      </c>
      <c r="AW46" s="94">
        <v>1</v>
      </c>
      <c r="AX46" s="95">
        <f>SUM(T46:AW46)</f>
        <v>26</v>
      </c>
      <c r="AY46" s="20"/>
      <c r="AZ46" s="96"/>
      <c r="BA46" s="20"/>
      <c r="BB46" s="97" t="s">
        <v>2385</v>
      </c>
    </row>
    <row r="47" spans="1:54" ht="13.5" customHeight="1" x14ac:dyDescent="0.2">
      <c r="A47" s="104" t="s">
        <v>582</v>
      </c>
      <c r="B47" s="86" t="s">
        <v>100</v>
      </c>
      <c r="C47" s="26" t="s">
        <v>101</v>
      </c>
      <c r="D47" s="86" t="s">
        <v>101</v>
      </c>
      <c r="E47" s="26">
        <v>65</v>
      </c>
      <c r="F47" s="26" t="s">
        <v>2150</v>
      </c>
      <c r="G47" s="35" t="s">
        <v>1978</v>
      </c>
      <c r="H47" s="37">
        <v>1</v>
      </c>
      <c r="I47" s="37" t="s">
        <v>47</v>
      </c>
      <c r="J47" s="37">
        <v>1</v>
      </c>
      <c r="K47" s="37" t="s">
        <v>47</v>
      </c>
      <c r="L47" s="35" t="str">
        <f>VLOOKUP(Tabla411[[#This Row],[BTL CVE]],tblPDV[#All],13,0)</f>
        <v xml:space="preserve">ESTRADA NAVA MIRIAM ROCIO </v>
      </c>
      <c r="M47" s="26" t="s">
        <v>536</v>
      </c>
      <c r="N47" s="26" t="s">
        <v>54</v>
      </c>
      <c r="O47" s="26" t="s">
        <v>49</v>
      </c>
      <c r="P47" s="26" t="s">
        <v>49</v>
      </c>
      <c r="Q47" s="26" t="s">
        <v>50</v>
      </c>
      <c r="R47" s="38">
        <v>46113</v>
      </c>
      <c r="S47" s="38">
        <v>46142</v>
      </c>
      <c r="T47" s="19">
        <v>1</v>
      </c>
      <c r="U47" s="19">
        <v>1</v>
      </c>
      <c r="V47" s="19">
        <v>1</v>
      </c>
      <c r="W47" s="19">
        <v>1</v>
      </c>
      <c r="X47" s="22"/>
      <c r="Y47" s="19">
        <v>1</v>
      </c>
      <c r="Z47" s="19">
        <v>1</v>
      </c>
      <c r="AA47" s="19">
        <v>1</v>
      </c>
      <c r="AB47" s="19">
        <v>1</v>
      </c>
      <c r="AC47" s="19">
        <v>1</v>
      </c>
      <c r="AD47" s="19">
        <v>1</v>
      </c>
      <c r="AE47" s="22"/>
      <c r="AF47" s="19">
        <v>1</v>
      </c>
      <c r="AG47" s="19">
        <v>1</v>
      </c>
      <c r="AH47" s="19">
        <v>1</v>
      </c>
      <c r="AI47" s="19">
        <v>1</v>
      </c>
      <c r="AJ47" s="19">
        <v>1</v>
      </c>
      <c r="AK47" s="19">
        <v>1</v>
      </c>
      <c r="AL47" s="22"/>
      <c r="AM47" s="19">
        <v>1</v>
      </c>
      <c r="AN47" s="19">
        <v>1</v>
      </c>
      <c r="AO47" s="19">
        <v>1</v>
      </c>
      <c r="AP47" s="19">
        <v>1</v>
      </c>
      <c r="AQ47" s="19">
        <v>1</v>
      </c>
      <c r="AR47" s="19">
        <v>1</v>
      </c>
      <c r="AS47" s="22"/>
      <c r="AT47" s="19">
        <v>1</v>
      </c>
      <c r="AU47" s="19">
        <v>1</v>
      </c>
      <c r="AV47" s="19">
        <v>1</v>
      </c>
      <c r="AW47" s="19">
        <v>1</v>
      </c>
      <c r="AX47" s="19">
        <f>SUM(T47:AW47)</f>
        <v>26</v>
      </c>
      <c r="AY47" s="20"/>
      <c r="AZ47" s="19"/>
      <c r="BA47" s="20"/>
      <c r="BB47" s="49"/>
    </row>
    <row r="48" spans="1:54" ht="13.5" customHeight="1" x14ac:dyDescent="0.2">
      <c r="A48" s="104" t="s">
        <v>784</v>
      </c>
      <c r="B48" s="86" t="s">
        <v>104</v>
      </c>
      <c r="C48" s="26" t="s">
        <v>148</v>
      </c>
      <c r="D48" s="35" t="s">
        <v>149</v>
      </c>
      <c r="E48" s="26">
        <v>53</v>
      </c>
      <c r="F48" s="26" t="s">
        <v>2144</v>
      </c>
      <c r="G48" s="35" t="s">
        <v>1990</v>
      </c>
      <c r="H48" s="37">
        <v>0.33333333333333331</v>
      </c>
      <c r="I48" s="37" t="s">
        <v>53</v>
      </c>
      <c r="J48" s="109">
        <v>0.33333333333333298</v>
      </c>
      <c r="K48" s="37" t="s">
        <v>53</v>
      </c>
      <c r="L48" s="35" t="str">
        <f>VLOOKUP(Tabla411[[#This Row],[BTL CVE]],tblPDV[#All],13,0)</f>
        <v>FLORES SALDAÑA JAVIER</v>
      </c>
      <c r="M48" s="26" t="s">
        <v>506</v>
      </c>
      <c r="N48" s="26" t="s">
        <v>54</v>
      </c>
      <c r="O48" s="26" t="s">
        <v>150</v>
      </c>
      <c r="P48" s="26" t="s">
        <v>150</v>
      </c>
      <c r="Q48" s="26" t="s">
        <v>50</v>
      </c>
      <c r="R48" s="38">
        <v>46113</v>
      </c>
      <c r="S48" s="38">
        <v>46142</v>
      </c>
      <c r="T48" s="19">
        <v>1</v>
      </c>
      <c r="U48" s="19">
        <v>1</v>
      </c>
      <c r="V48" s="19"/>
      <c r="W48" s="19"/>
      <c r="X48" s="22"/>
      <c r="Y48" s="19"/>
      <c r="Z48" s="19"/>
      <c r="AA48" s="19">
        <v>1</v>
      </c>
      <c r="AB48" s="19">
        <v>1</v>
      </c>
      <c r="AC48" s="19"/>
      <c r="AD48" s="19"/>
      <c r="AE48" s="22"/>
      <c r="AF48" s="19"/>
      <c r="AG48" s="19"/>
      <c r="AH48" s="19">
        <v>1</v>
      </c>
      <c r="AI48" s="19">
        <v>1</v>
      </c>
      <c r="AJ48" s="19"/>
      <c r="AK48" s="19"/>
      <c r="AL48" s="22"/>
      <c r="AM48" s="19"/>
      <c r="AN48" s="19"/>
      <c r="AO48" s="19">
        <v>1</v>
      </c>
      <c r="AP48" s="19">
        <v>1</v>
      </c>
      <c r="AQ48" s="19"/>
      <c r="AR48" s="19"/>
      <c r="AS48" s="22"/>
      <c r="AT48" s="19"/>
      <c r="AU48" s="19"/>
      <c r="AV48" s="19">
        <v>1</v>
      </c>
      <c r="AW48" s="19">
        <v>1</v>
      </c>
      <c r="AX48" s="19">
        <f>SUM(T48:AW48)</f>
        <v>10</v>
      </c>
      <c r="AY48" s="20"/>
      <c r="AZ48" s="19"/>
      <c r="BA48" s="20"/>
      <c r="BB48" s="49"/>
    </row>
    <row r="49" spans="1:54" ht="13.5" customHeight="1" x14ac:dyDescent="0.2">
      <c r="A49" s="104" t="s">
        <v>785</v>
      </c>
      <c r="B49" s="86" t="s">
        <v>104</v>
      </c>
      <c r="C49" s="26" t="s">
        <v>151</v>
      </c>
      <c r="D49" s="35" t="s">
        <v>152</v>
      </c>
      <c r="E49" s="26">
        <v>53</v>
      </c>
      <c r="F49" s="26" t="s">
        <v>2144</v>
      </c>
      <c r="G49" s="35" t="s">
        <v>1990</v>
      </c>
      <c r="H49" s="37">
        <v>0.33333333333333331</v>
      </c>
      <c r="I49" s="37" t="s">
        <v>53</v>
      </c>
      <c r="J49" s="109">
        <v>0.33333333333333298</v>
      </c>
      <c r="K49" s="37" t="s">
        <v>53</v>
      </c>
      <c r="L49" s="35" t="str">
        <f>VLOOKUP(Tabla411[[#This Row],[BTL CVE]],tblPDV[#All],13,0)</f>
        <v>FLORES SALDAÑA JAVIER</v>
      </c>
      <c r="M49" s="26" t="s">
        <v>506</v>
      </c>
      <c r="N49" s="26" t="s">
        <v>54</v>
      </c>
      <c r="O49" s="26" t="s">
        <v>153</v>
      </c>
      <c r="P49" s="26" t="s">
        <v>153</v>
      </c>
      <c r="Q49" s="26" t="s">
        <v>50</v>
      </c>
      <c r="R49" s="38">
        <v>46113</v>
      </c>
      <c r="S49" s="38">
        <v>46142</v>
      </c>
      <c r="T49" s="19"/>
      <c r="U49" s="19"/>
      <c r="V49" s="19">
        <v>1</v>
      </c>
      <c r="W49" s="19">
        <v>1</v>
      </c>
      <c r="X49" s="22"/>
      <c r="Y49" s="19"/>
      <c r="Z49" s="19"/>
      <c r="AA49" s="19"/>
      <c r="AB49" s="19"/>
      <c r="AC49" s="19">
        <v>1</v>
      </c>
      <c r="AD49" s="19">
        <v>1</v>
      </c>
      <c r="AE49" s="22"/>
      <c r="AF49" s="19"/>
      <c r="AG49" s="19"/>
      <c r="AH49" s="19"/>
      <c r="AI49" s="19"/>
      <c r="AJ49" s="19">
        <v>1</v>
      </c>
      <c r="AK49" s="19">
        <v>1</v>
      </c>
      <c r="AL49" s="22"/>
      <c r="AM49" s="19"/>
      <c r="AN49" s="19"/>
      <c r="AO49" s="19"/>
      <c r="AP49" s="19"/>
      <c r="AQ49" s="19">
        <v>1</v>
      </c>
      <c r="AR49" s="19">
        <v>1</v>
      </c>
      <c r="AS49" s="22"/>
      <c r="AT49" s="19"/>
      <c r="AU49" s="19"/>
      <c r="AV49" s="19"/>
      <c r="AW49" s="19"/>
      <c r="AX49" s="19">
        <f>SUM(T49:AW49)</f>
        <v>8</v>
      </c>
      <c r="AY49" s="20"/>
      <c r="AZ49" s="19"/>
      <c r="BA49" s="20"/>
      <c r="BB49" s="49"/>
    </row>
    <row r="50" spans="1:54" ht="13.5" customHeight="1" x14ac:dyDescent="0.2">
      <c r="A50" s="104" t="s">
        <v>602</v>
      </c>
      <c r="B50" s="86" t="s">
        <v>104</v>
      </c>
      <c r="C50" s="26" t="s">
        <v>145</v>
      </c>
      <c r="D50" s="35" t="s">
        <v>146</v>
      </c>
      <c r="E50" s="26">
        <v>53</v>
      </c>
      <c r="F50" s="26" t="s">
        <v>2144</v>
      </c>
      <c r="G50" s="35" t="s">
        <v>1990</v>
      </c>
      <c r="H50" s="37">
        <v>0.33333333333333331</v>
      </c>
      <c r="I50" s="37" t="s">
        <v>53</v>
      </c>
      <c r="J50" s="109">
        <v>0.33333333333333298</v>
      </c>
      <c r="K50" s="37" t="s">
        <v>53</v>
      </c>
      <c r="L50" s="35" t="str">
        <f>VLOOKUP(Tabla411[[#This Row],[BTL CVE]],tblPDV[#All],13,0)</f>
        <v>FLORES SALDAÑA JAVIER</v>
      </c>
      <c r="M50" s="26" t="s">
        <v>506</v>
      </c>
      <c r="N50" s="26" t="s">
        <v>54</v>
      </c>
      <c r="O50" s="26" t="s">
        <v>147</v>
      </c>
      <c r="P50" s="26" t="s">
        <v>147</v>
      </c>
      <c r="Q50" s="26" t="s">
        <v>50</v>
      </c>
      <c r="R50" s="38">
        <v>46113</v>
      </c>
      <c r="S50" s="38">
        <v>46142</v>
      </c>
      <c r="T50" s="19"/>
      <c r="U50" s="19"/>
      <c r="V50" s="19"/>
      <c r="W50" s="19"/>
      <c r="X50" s="22"/>
      <c r="Y50" s="19">
        <v>1</v>
      </c>
      <c r="Z50" s="19">
        <v>1</v>
      </c>
      <c r="AA50" s="19"/>
      <c r="AB50" s="19"/>
      <c r="AC50" s="19"/>
      <c r="AD50" s="19"/>
      <c r="AE50" s="22"/>
      <c r="AF50" s="19">
        <v>1</v>
      </c>
      <c r="AG50" s="19">
        <v>1</v>
      </c>
      <c r="AH50" s="19"/>
      <c r="AI50" s="19"/>
      <c r="AJ50" s="19"/>
      <c r="AK50" s="19"/>
      <c r="AL50" s="22"/>
      <c r="AM50" s="19">
        <v>1</v>
      </c>
      <c r="AN50" s="19">
        <v>1</v>
      </c>
      <c r="AO50" s="19"/>
      <c r="AP50" s="19"/>
      <c r="AQ50" s="19"/>
      <c r="AR50" s="19"/>
      <c r="AS50" s="22"/>
      <c r="AT50" s="19">
        <v>1</v>
      </c>
      <c r="AU50" s="19">
        <v>1</v>
      </c>
      <c r="AV50" s="19"/>
      <c r="AW50" s="19"/>
      <c r="AX50" s="19">
        <f>SUM(T50:AW50)</f>
        <v>8</v>
      </c>
      <c r="AY50" s="20"/>
      <c r="AZ50" s="19"/>
      <c r="BA50" s="20"/>
      <c r="BB50" s="49"/>
    </row>
    <row r="51" spans="1:54" ht="13.5" customHeight="1" x14ac:dyDescent="0.2">
      <c r="A51" s="104" t="s">
        <v>587</v>
      </c>
      <c r="B51" s="86" t="s">
        <v>104</v>
      </c>
      <c r="C51" s="40" t="s">
        <v>111</v>
      </c>
      <c r="D51" s="35" t="s">
        <v>112</v>
      </c>
      <c r="E51" s="26">
        <v>229</v>
      </c>
      <c r="F51" s="26" t="s">
        <v>2223</v>
      </c>
      <c r="G51" s="35" t="s">
        <v>1979</v>
      </c>
      <c r="H51" s="37">
        <v>0.5</v>
      </c>
      <c r="I51" s="37" t="s">
        <v>53</v>
      </c>
      <c r="J51" s="37">
        <v>0.5</v>
      </c>
      <c r="K51" s="37" t="s">
        <v>53</v>
      </c>
      <c r="L51" s="35" t="str">
        <f>VLOOKUP(Tabla411[[#This Row],[BTL CVE]],tblPDV[#All],13,0)</f>
        <v xml:space="preserve">ANIMAS SAUCEDO ANA CRISTINA </v>
      </c>
      <c r="M51" s="26" t="s">
        <v>503</v>
      </c>
      <c r="N51" s="26" t="s">
        <v>54</v>
      </c>
      <c r="O51" s="26" t="s">
        <v>66</v>
      </c>
      <c r="P51" s="26" t="s">
        <v>66</v>
      </c>
      <c r="Q51" s="26" t="s">
        <v>50</v>
      </c>
      <c r="R51" s="38">
        <v>46113</v>
      </c>
      <c r="S51" s="38">
        <v>46142</v>
      </c>
      <c r="T51" s="19"/>
      <c r="U51" s="19">
        <v>1</v>
      </c>
      <c r="V51" s="19">
        <v>1</v>
      </c>
      <c r="W51" s="19">
        <v>1</v>
      </c>
      <c r="X51" s="22"/>
      <c r="Y51" s="19"/>
      <c r="Z51" s="19"/>
      <c r="AA51" s="19"/>
      <c r="AB51" s="19">
        <v>1</v>
      </c>
      <c r="AC51" s="19">
        <v>1</v>
      </c>
      <c r="AD51" s="19">
        <v>1</v>
      </c>
      <c r="AE51" s="22"/>
      <c r="AF51" s="19"/>
      <c r="AG51" s="19"/>
      <c r="AH51" s="19"/>
      <c r="AI51" s="19">
        <v>1</v>
      </c>
      <c r="AJ51" s="19">
        <v>1</v>
      </c>
      <c r="AK51" s="19">
        <v>1</v>
      </c>
      <c r="AL51" s="22"/>
      <c r="AM51" s="19"/>
      <c r="AN51" s="19"/>
      <c r="AO51" s="19"/>
      <c r="AP51" s="19">
        <v>1</v>
      </c>
      <c r="AQ51" s="19">
        <v>1</v>
      </c>
      <c r="AR51" s="19">
        <v>1</v>
      </c>
      <c r="AS51" s="22"/>
      <c r="AT51" s="19"/>
      <c r="AU51" s="19"/>
      <c r="AV51" s="19"/>
      <c r="AW51" s="19">
        <v>1</v>
      </c>
      <c r="AX51" s="19">
        <f>SUM(T51:AW51)</f>
        <v>13</v>
      </c>
      <c r="AY51" s="20"/>
      <c r="AZ51" s="19"/>
      <c r="BA51" s="20"/>
      <c r="BB51" s="49"/>
    </row>
    <row r="52" spans="1:54" ht="13.5" customHeight="1" x14ac:dyDescent="0.2">
      <c r="A52" s="104" t="s">
        <v>586</v>
      </c>
      <c r="B52" s="86" t="s">
        <v>104</v>
      </c>
      <c r="C52" s="37" t="s">
        <v>109</v>
      </c>
      <c r="D52" s="35" t="s">
        <v>110</v>
      </c>
      <c r="E52" s="26">
        <v>229</v>
      </c>
      <c r="F52" s="26" t="s">
        <v>2223</v>
      </c>
      <c r="G52" s="35" t="s">
        <v>1979</v>
      </c>
      <c r="H52" s="37">
        <v>0.5</v>
      </c>
      <c r="I52" s="37" t="s">
        <v>53</v>
      </c>
      <c r="J52" s="37">
        <v>0.5</v>
      </c>
      <c r="K52" s="37" t="s">
        <v>53</v>
      </c>
      <c r="L52" s="35" t="str">
        <f>VLOOKUP(Tabla411[[#This Row],[BTL CVE]],tblPDV[#All],13,0)</f>
        <v xml:space="preserve">ANIMAS SAUCEDO ANA CRISTINA </v>
      </c>
      <c r="M52" s="26" t="s">
        <v>503</v>
      </c>
      <c r="N52" s="26" t="s">
        <v>54</v>
      </c>
      <c r="O52" s="26" t="s">
        <v>55</v>
      </c>
      <c r="P52" s="26" t="s">
        <v>55</v>
      </c>
      <c r="Q52" s="26" t="s">
        <v>50</v>
      </c>
      <c r="R52" s="38">
        <v>46113</v>
      </c>
      <c r="S52" s="38">
        <v>46142</v>
      </c>
      <c r="T52" s="19">
        <v>1</v>
      </c>
      <c r="U52" s="19"/>
      <c r="V52" s="19"/>
      <c r="W52" s="19"/>
      <c r="X52" s="22"/>
      <c r="Y52" s="19">
        <v>1</v>
      </c>
      <c r="Z52" s="19">
        <v>1</v>
      </c>
      <c r="AA52" s="19">
        <v>1</v>
      </c>
      <c r="AB52" s="19"/>
      <c r="AC52" s="19"/>
      <c r="AD52" s="19"/>
      <c r="AE52" s="22"/>
      <c r="AF52" s="19">
        <v>1</v>
      </c>
      <c r="AG52" s="19">
        <v>1</v>
      </c>
      <c r="AH52" s="19">
        <v>1</v>
      </c>
      <c r="AI52" s="19"/>
      <c r="AJ52" s="19"/>
      <c r="AK52" s="19"/>
      <c r="AL52" s="22"/>
      <c r="AM52" s="19">
        <v>1</v>
      </c>
      <c r="AN52" s="19">
        <v>1</v>
      </c>
      <c r="AO52" s="19">
        <v>1</v>
      </c>
      <c r="AP52" s="19"/>
      <c r="AQ52" s="19"/>
      <c r="AR52" s="19"/>
      <c r="AS52" s="22"/>
      <c r="AT52" s="19">
        <v>1</v>
      </c>
      <c r="AU52" s="19">
        <v>1</v>
      </c>
      <c r="AV52" s="19">
        <v>1</v>
      </c>
      <c r="AW52" s="19"/>
      <c r="AX52" s="19">
        <f>SUM(T52:AW52)</f>
        <v>13</v>
      </c>
      <c r="AY52" s="20"/>
      <c r="AZ52" s="19"/>
      <c r="BA52" s="20"/>
      <c r="BB52" s="49"/>
    </row>
    <row r="53" spans="1:54" ht="13.5" customHeight="1" x14ac:dyDescent="0.2">
      <c r="A53" s="104" t="s">
        <v>592</v>
      </c>
      <c r="B53" s="86" t="s">
        <v>104</v>
      </c>
      <c r="C53" s="26" t="s">
        <v>123</v>
      </c>
      <c r="D53" s="35" t="s">
        <v>124</v>
      </c>
      <c r="E53" s="26">
        <v>310</v>
      </c>
      <c r="F53" s="26" t="s">
        <v>2250</v>
      </c>
      <c r="G53" s="35" t="s">
        <v>1982</v>
      </c>
      <c r="H53" s="37">
        <v>0.5</v>
      </c>
      <c r="I53" s="37" t="s">
        <v>53</v>
      </c>
      <c r="J53" s="37">
        <v>0.5</v>
      </c>
      <c r="K53" s="37" t="s">
        <v>53</v>
      </c>
      <c r="L53" s="35" t="str">
        <f>VLOOKUP(Tabla411[[#This Row],[BTL CVE]],tblPDV[#All],13,0)</f>
        <v xml:space="preserve">FERNANDEZ SANCHEZ MIGUEL ANGEL </v>
      </c>
      <c r="M53" s="26" t="s">
        <v>122</v>
      </c>
      <c r="N53" s="26" t="s">
        <v>54</v>
      </c>
      <c r="O53" s="26" t="s">
        <v>66</v>
      </c>
      <c r="P53" s="26" t="s">
        <v>66</v>
      </c>
      <c r="Q53" s="26" t="s">
        <v>50</v>
      </c>
      <c r="R53" s="38">
        <v>46113</v>
      </c>
      <c r="S53" s="38">
        <v>46142</v>
      </c>
      <c r="T53" s="19"/>
      <c r="U53" s="19">
        <v>1</v>
      </c>
      <c r="V53" s="19">
        <v>1</v>
      </c>
      <c r="W53" s="19">
        <v>1</v>
      </c>
      <c r="X53" s="22"/>
      <c r="Y53" s="19"/>
      <c r="Z53" s="19"/>
      <c r="AA53" s="19"/>
      <c r="AB53" s="19">
        <v>1</v>
      </c>
      <c r="AC53" s="19">
        <v>1</v>
      </c>
      <c r="AD53" s="19">
        <v>1</v>
      </c>
      <c r="AE53" s="22"/>
      <c r="AF53" s="19"/>
      <c r="AG53" s="19"/>
      <c r="AH53" s="19"/>
      <c r="AI53" s="19">
        <v>1</v>
      </c>
      <c r="AJ53" s="19">
        <v>1</v>
      </c>
      <c r="AK53" s="19">
        <v>1</v>
      </c>
      <c r="AL53" s="22"/>
      <c r="AM53" s="19"/>
      <c r="AN53" s="19"/>
      <c r="AO53" s="19"/>
      <c r="AP53" s="19">
        <v>1</v>
      </c>
      <c r="AQ53" s="19">
        <v>1</v>
      </c>
      <c r="AR53" s="19">
        <v>1</v>
      </c>
      <c r="AS53" s="22"/>
      <c r="AT53" s="19"/>
      <c r="AU53" s="19"/>
      <c r="AV53" s="19"/>
      <c r="AW53" s="19">
        <v>1</v>
      </c>
      <c r="AX53" s="19">
        <f>SUM(T53:AW53)</f>
        <v>13</v>
      </c>
      <c r="AY53" s="20"/>
      <c r="AZ53" s="19"/>
      <c r="BA53" s="20"/>
      <c r="BB53" s="49"/>
    </row>
    <row r="54" spans="1:54" ht="13.5" customHeight="1" x14ac:dyDescent="0.2">
      <c r="A54" s="104" t="s">
        <v>591</v>
      </c>
      <c r="B54" s="105" t="s">
        <v>104</v>
      </c>
      <c r="C54" s="26" t="s">
        <v>120</v>
      </c>
      <c r="D54" s="35" t="s">
        <v>121</v>
      </c>
      <c r="E54" s="26">
        <v>310</v>
      </c>
      <c r="F54" s="26" t="s">
        <v>2250</v>
      </c>
      <c r="G54" s="35" t="s">
        <v>1982</v>
      </c>
      <c r="H54" s="37">
        <v>0.5</v>
      </c>
      <c r="I54" s="37" t="s">
        <v>53</v>
      </c>
      <c r="J54" s="37">
        <v>0.5</v>
      </c>
      <c r="K54" s="37" t="s">
        <v>53</v>
      </c>
      <c r="L54" s="35" t="str">
        <f>VLOOKUP(Tabla411[[#This Row],[BTL CVE]],tblPDV[#All],13,0)</f>
        <v xml:space="preserve">FERNANDEZ SANCHEZ MIGUEL ANGEL </v>
      </c>
      <c r="M54" s="26" t="s">
        <v>122</v>
      </c>
      <c r="N54" s="26" t="s">
        <v>54</v>
      </c>
      <c r="O54" s="26" t="s">
        <v>55</v>
      </c>
      <c r="P54" s="26" t="s">
        <v>55</v>
      </c>
      <c r="Q54" s="26" t="s">
        <v>50</v>
      </c>
      <c r="R54" s="38">
        <v>46113</v>
      </c>
      <c r="S54" s="38">
        <v>46142</v>
      </c>
      <c r="T54" s="19">
        <v>1</v>
      </c>
      <c r="U54" s="19"/>
      <c r="V54" s="19"/>
      <c r="W54" s="19"/>
      <c r="X54" s="22"/>
      <c r="Y54" s="19">
        <v>1</v>
      </c>
      <c r="Z54" s="19">
        <v>1</v>
      </c>
      <c r="AA54" s="19">
        <v>1</v>
      </c>
      <c r="AB54" s="19"/>
      <c r="AC54" s="19"/>
      <c r="AD54" s="19"/>
      <c r="AE54" s="22"/>
      <c r="AF54" s="19">
        <v>1</v>
      </c>
      <c r="AG54" s="19">
        <v>1</v>
      </c>
      <c r="AH54" s="19">
        <v>1</v>
      </c>
      <c r="AI54" s="19"/>
      <c r="AJ54" s="19"/>
      <c r="AK54" s="19"/>
      <c r="AL54" s="22"/>
      <c r="AM54" s="19">
        <v>1</v>
      </c>
      <c r="AN54" s="19">
        <v>1</v>
      </c>
      <c r="AO54" s="19">
        <v>1</v>
      </c>
      <c r="AP54" s="19"/>
      <c r="AQ54" s="19"/>
      <c r="AR54" s="19"/>
      <c r="AS54" s="22"/>
      <c r="AT54" s="19">
        <v>1</v>
      </c>
      <c r="AU54" s="19">
        <v>1</v>
      </c>
      <c r="AV54" s="19">
        <v>1</v>
      </c>
      <c r="AW54" s="19"/>
      <c r="AX54" s="19">
        <f>SUM(T54:AW54)</f>
        <v>13</v>
      </c>
      <c r="AY54" s="20"/>
      <c r="AZ54" s="19"/>
      <c r="BA54" s="20"/>
      <c r="BB54" s="49"/>
    </row>
    <row r="55" spans="1:54" ht="13.5" customHeight="1" x14ac:dyDescent="0.2">
      <c r="A55" s="104" t="s">
        <v>596</v>
      </c>
      <c r="B55" s="105" t="s">
        <v>104</v>
      </c>
      <c r="C55" s="26" t="s">
        <v>134</v>
      </c>
      <c r="D55" s="35" t="s">
        <v>135</v>
      </c>
      <c r="E55" s="26">
        <v>149</v>
      </c>
      <c r="F55" s="26" t="s">
        <v>2193</v>
      </c>
      <c r="G55" s="35" t="s">
        <v>1983</v>
      </c>
      <c r="H55" s="37">
        <v>0.5</v>
      </c>
      <c r="I55" s="37" t="s">
        <v>53</v>
      </c>
      <c r="J55" s="37">
        <v>0.5</v>
      </c>
      <c r="K55" s="37" t="s">
        <v>53</v>
      </c>
      <c r="L55" s="35" t="str">
        <f>VLOOKUP(Tabla411[[#This Row],[BTL CVE]],tblPDV[#All],13,0)</f>
        <v xml:space="preserve">CARREÑO MONREAL MARIA TERESA </v>
      </c>
      <c r="M55" s="26" t="s">
        <v>133</v>
      </c>
      <c r="N55" s="26" t="s">
        <v>1522</v>
      </c>
      <c r="O55" s="26" t="s">
        <v>55</v>
      </c>
      <c r="P55" s="26" t="s">
        <v>55</v>
      </c>
      <c r="Q55" s="26" t="s">
        <v>50</v>
      </c>
      <c r="R55" s="38">
        <v>46113</v>
      </c>
      <c r="S55" s="38">
        <v>46142</v>
      </c>
      <c r="T55" s="19">
        <v>1</v>
      </c>
      <c r="U55" s="19"/>
      <c r="V55" s="19"/>
      <c r="W55" s="19"/>
      <c r="X55" s="22"/>
      <c r="Y55" s="19">
        <v>1</v>
      </c>
      <c r="Z55" s="19">
        <v>1</v>
      </c>
      <c r="AA55" s="19">
        <v>1</v>
      </c>
      <c r="AB55" s="19"/>
      <c r="AC55" s="19"/>
      <c r="AD55" s="19"/>
      <c r="AE55" s="22"/>
      <c r="AF55" s="19">
        <v>1</v>
      </c>
      <c r="AG55" s="19">
        <v>1</v>
      </c>
      <c r="AH55" s="19">
        <v>1</v>
      </c>
      <c r="AI55" s="19"/>
      <c r="AJ55" s="19"/>
      <c r="AK55" s="19"/>
      <c r="AL55" s="22"/>
      <c r="AM55" s="19">
        <v>1</v>
      </c>
      <c r="AN55" s="19">
        <v>1</v>
      </c>
      <c r="AO55" s="19">
        <v>1</v>
      </c>
      <c r="AP55" s="19"/>
      <c r="AQ55" s="19"/>
      <c r="AR55" s="19"/>
      <c r="AS55" s="22"/>
      <c r="AT55" s="19">
        <v>1</v>
      </c>
      <c r="AU55" s="19">
        <v>1</v>
      </c>
      <c r="AV55" s="19">
        <v>1</v>
      </c>
      <c r="AW55" s="19"/>
      <c r="AX55" s="19">
        <f>SUM(T55:AW55)</f>
        <v>13</v>
      </c>
      <c r="AY55" s="20"/>
      <c r="AZ55" s="19"/>
      <c r="BA55" s="20"/>
      <c r="BB55" s="49"/>
    </row>
    <row r="56" spans="1:54" ht="13.5" customHeight="1" x14ac:dyDescent="0.2">
      <c r="A56" s="104" t="s">
        <v>595</v>
      </c>
      <c r="B56" s="105" t="s">
        <v>104</v>
      </c>
      <c r="C56" s="26" t="s">
        <v>131</v>
      </c>
      <c r="D56" s="35" t="s">
        <v>132</v>
      </c>
      <c r="E56" s="26">
        <v>149</v>
      </c>
      <c r="F56" s="26" t="s">
        <v>2193</v>
      </c>
      <c r="G56" s="35" t="s">
        <v>1983</v>
      </c>
      <c r="H56" s="37">
        <v>0.5</v>
      </c>
      <c r="I56" s="37" t="s">
        <v>53</v>
      </c>
      <c r="J56" s="37">
        <v>0.5</v>
      </c>
      <c r="K56" s="37" t="s">
        <v>53</v>
      </c>
      <c r="L56" s="35" t="str">
        <f>VLOOKUP(Tabla411[[#This Row],[BTL CVE]],tblPDV[#All],13,0)</f>
        <v xml:space="preserve">CARREÑO MONREAL MARIA TERESA </v>
      </c>
      <c r="M56" s="26" t="s">
        <v>133</v>
      </c>
      <c r="N56" s="26" t="s">
        <v>1522</v>
      </c>
      <c r="O56" s="26" t="s">
        <v>66</v>
      </c>
      <c r="P56" s="26" t="s">
        <v>66</v>
      </c>
      <c r="Q56" s="26" t="s">
        <v>50</v>
      </c>
      <c r="R56" s="38">
        <v>46113</v>
      </c>
      <c r="S56" s="38">
        <v>46142</v>
      </c>
      <c r="T56" s="19"/>
      <c r="U56" s="19">
        <v>1</v>
      </c>
      <c r="V56" s="19">
        <v>1</v>
      </c>
      <c r="W56" s="19">
        <v>1</v>
      </c>
      <c r="X56" s="22"/>
      <c r="Y56" s="19"/>
      <c r="Z56" s="19"/>
      <c r="AA56" s="19"/>
      <c r="AB56" s="19">
        <v>1</v>
      </c>
      <c r="AC56" s="19">
        <v>1</v>
      </c>
      <c r="AD56" s="19">
        <v>1</v>
      </c>
      <c r="AE56" s="22"/>
      <c r="AF56" s="19"/>
      <c r="AG56" s="19"/>
      <c r="AH56" s="19"/>
      <c r="AI56" s="19">
        <v>1</v>
      </c>
      <c r="AJ56" s="19">
        <v>1</v>
      </c>
      <c r="AK56" s="19">
        <v>1</v>
      </c>
      <c r="AL56" s="22"/>
      <c r="AM56" s="19"/>
      <c r="AN56" s="19"/>
      <c r="AO56" s="19"/>
      <c r="AP56" s="19">
        <v>1</v>
      </c>
      <c r="AQ56" s="19">
        <v>1</v>
      </c>
      <c r="AR56" s="19">
        <v>1</v>
      </c>
      <c r="AS56" s="22"/>
      <c r="AT56" s="19"/>
      <c r="AU56" s="19"/>
      <c r="AV56" s="19"/>
      <c r="AW56" s="19">
        <v>1</v>
      </c>
      <c r="AX56" s="19">
        <f>SUM(T56:AW56)</f>
        <v>13</v>
      </c>
      <c r="AY56" s="20"/>
      <c r="AZ56" s="19"/>
      <c r="BA56" s="20"/>
      <c r="BB56" s="49"/>
    </row>
    <row r="57" spans="1:54" ht="13.5" customHeight="1" x14ac:dyDescent="0.2">
      <c r="A57" s="104" t="s">
        <v>598</v>
      </c>
      <c r="B57" s="105" t="s">
        <v>104</v>
      </c>
      <c r="C57" s="26" t="s">
        <v>139</v>
      </c>
      <c r="D57" s="35" t="s">
        <v>140</v>
      </c>
      <c r="E57" s="26">
        <v>354</v>
      </c>
      <c r="F57" s="26" t="s">
        <v>2264</v>
      </c>
      <c r="G57" s="35" t="s">
        <v>138</v>
      </c>
      <c r="H57" s="37">
        <v>0.5</v>
      </c>
      <c r="I57" s="37" t="s">
        <v>53</v>
      </c>
      <c r="J57" s="37">
        <v>0.5</v>
      </c>
      <c r="K57" s="37" t="s">
        <v>53</v>
      </c>
      <c r="L57" s="35" t="str">
        <f>VLOOKUP(Tabla411[[#This Row],[BTL CVE]],tblPDV[#All],13,0)</f>
        <v xml:space="preserve">CARREÑO MONREAL MARIA TERESA </v>
      </c>
      <c r="M57" s="26" t="s">
        <v>128</v>
      </c>
      <c r="N57" s="26" t="s">
        <v>54</v>
      </c>
      <c r="O57" s="26" t="s">
        <v>66</v>
      </c>
      <c r="P57" s="26" t="s">
        <v>66</v>
      </c>
      <c r="Q57" s="26" t="s">
        <v>50</v>
      </c>
      <c r="R57" s="38">
        <v>46113</v>
      </c>
      <c r="S57" s="38">
        <v>46142</v>
      </c>
      <c r="T57" s="19"/>
      <c r="U57" s="19">
        <v>1</v>
      </c>
      <c r="V57" s="19">
        <v>1</v>
      </c>
      <c r="W57" s="19">
        <v>1</v>
      </c>
      <c r="X57" s="22"/>
      <c r="Y57" s="19"/>
      <c r="Z57" s="19"/>
      <c r="AA57" s="19"/>
      <c r="AB57" s="19">
        <v>1</v>
      </c>
      <c r="AC57" s="19">
        <v>1</v>
      </c>
      <c r="AD57" s="19">
        <v>1</v>
      </c>
      <c r="AE57" s="22"/>
      <c r="AF57" s="19"/>
      <c r="AG57" s="19"/>
      <c r="AH57" s="19"/>
      <c r="AI57" s="19">
        <v>1</v>
      </c>
      <c r="AJ57" s="19">
        <v>1</v>
      </c>
      <c r="AK57" s="19">
        <v>1</v>
      </c>
      <c r="AL57" s="22"/>
      <c r="AM57" s="19"/>
      <c r="AN57" s="19"/>
      <c r="AO57" s="19"/>
      <c r="AP57" s="19">
        <v>1</v>
      </c>
      <c r="AQ57" s="19">
        <v>1</v>
      </c>
      <c r="AR57" s="19">
        <v>1</v>
      </c>
      <c r="AS57" s="22"/>
      <c r="AT57" s="19"/>
      <c r="AU57" s="19"/>
      <c r="AV57" s="19"/>
      <c r="AW57" s="19">
        <v>1</v>
      </c>
      <c r="AX57" s="19">
        <f>SUM(T57:AW57)</f>
        <v>13</v>
      </c>
      <c r="AY57" s="20"/>
      <c r="AZ57" s="19"/>
      <c r="BA57" s="20"/>
      <c r="BB57" s="49"/>
    </row>
    <row r="58" spans="1:54" ht="13.5" customHeight="1" x14ac:dyDescent="0.2">
      <c r="A58" s="104" t="s">
        <v>597</v>
      </c>
      <c r="B58" s="105" t="s">
        <v>104</v>
      </c>
      <c r="C58" s="26" t="s">
        <v>136</v>
      </c>
      <c r="D58" s="35" t="s">
        <v>137</v>
      </c>
      <c r="E58" s="26">
        <v>354</v>
      </c>
      <c r="F58" s="26" t="s">
        <v>2264</v>
      </c>
      <c r="G58" s="35" t="s">
        <v>138</v>
      </c>
      <c r="H58" s="37">
        <v>0.5</v>
      </c>
      <c r="I58" s="37" t="s">
        <v>53</v>
      </c>
      <c r="J58" s="37">
        <v>0.5</v>
      </c>
      <c r="K58" s="37" t="s">
        <v>53</v>
      </c>
      <c r="L58" s="35" t="str">
        <f>VLOOKUP(Tabla411[[#This Row],[BTL CVE]],tblPDV[#All],13,0)</f>
        <v xml:space="preserve">CARREÑO MONREAL MARIA TERESA </v>
      </c>
      <c r="M58" s="26" t="s">
        <v>128</v>
      </c>
      <c r="N58" s="26" t="s">
        <v>54</v>
      </c>
      <c r="O58" s="26" t="s">
        <v>55</v>
      </c>
      <c r="P58" s="26" t="s">
        <v>55</v>
      </c>
      <c r="Q58" s="26" t="s">
        <v>50</v>
      </c>
      <c r="R58" s="38">
        <v>46113</v>
      </c>
      <c r="S58" s="38">
        <v>46142</v>
      </c>
      <c r="T58" s="19">
        <v>1</v>
      </c>
      <c r="U58" s="19"/>
      <c r="V58" s="19"/>
      <c r="W58" s="19"/>
      <c r="X58" s="22"/>
      <c r="Y58" s="19">
        <v>1</v>
      </c>
      <c r="Z58" s="19">
        <v>1</v>
      </c>
      <c r="AA58" s="19">
        <v>1</v>
      </c>
      <c r="AB58" s="19"/>
      <c r="AC58" s="19"/>
      <c r="AD58" s="19"/>
      <c r="AE58" s="22"/>
      <c r="AF58" s="19">
        <v>1</v>
      </c>
      <c r="AG58" s="19">
        <v>1</v>
      </c>
      <c r="AH58" s="19">
        <v>1</v>
      </c>
      <c r="AI58" s="19"/>
      <c r="AJ58" s="19"/>
      <c r="AK58" s="19"/>
      <c r="AL58" s="22"/>
      <c r="AM58" s="19">
        <v>1</v>
      </c>
      <c r="AN58" s="19">
        <v>1</v>
      </c>
      <c r="AO58" s="19">
        <v>1</v>
      </c>
      <c r="AP58" s="19"/>
      <c r="AQ58" s="19"/>
      <c r="AR58" s="19"/>
      <c r="AS58" s="22"/>
      <c r="AT58" s="19">
        <v>1</v>
      </c>
      <c r="AU58" s="19">
        <v>1</v>
      </c>
      <c r="AV58" s="19">
        <v>1</v>
      </c>
      <c r="AW58" s="19"/>
      <c r="AX58" s="19">
        <f>SUM(T58:AW58)</f>
        <v>13</v>
      </c>
      <c r="AY58" s="20"/>
      <c r="AZ58" s="19"/>
      <c r="BA58" s="20"/>
      <c r="BB58" s="49"/>
    </row>
    <row r="59" spans="1:54" ht="13.5" customHeight="1" x14ac:dyDescent="0.2">
      <c r="A59" s="104" t="s">
        <v>614</v>
      </c>
      <c r="B59" s="86" t="s">
        <v>104</v>
      </c>
      <c r="C59" s="26" t="s">
        <v>178</v>
      </c>
      <c r="D59" s="54" t="s">
        <v>179</v>
      </c>
      <c r="E59" s="26">
        <v>463</v>
      </c>
      <c r="F59" s="26" t="s">
        <v>2297</v>
      </c>
      <c r="G59" s="35" t="s">
        <v>1495</v>
      </c>
      <c r="H59" s="37"/>
      <c r="I59" s="37"/>
      <c r="J59" s="109">
        <v>0.33333333333333298</v>
      </c>
      <c r="K59" s="37" t="s">
        <v>53</v>
      </c>
      <c r="L59" s="35" t="str">
        <f>VLOOKUP(Tabla411[[#This Row],[BTL CVE]],tblPDV[#All],13,0)</f>
        <v xml:space="preserve">GUTIERREZ ROMERO MARUJA BETTY </v>
      </c>
      <c r="M59" s="26" t="s">
        <v>502</v>
      </c>
      <c r="N59" s="26" t="s">
        <v>54</v>
      </c>
      <c r="O59" s="26" t="s">
        <v>66</v>
      </c>
      <c r="P59" s="26" t="s">
        <v>66</v>
      </c>
      <c r="Q59" s="26" t="s">
        <v>50</v>
      </c>
      <c r="R59" s="38">
        <v>46113</v>
      </c>
      <c r="S59" s="38">
        <v>46134</v>
      </c>
      <c r="T59" s="19"/>
      <c r="U59" s="19">
        <v>1</v>
      </c>
      <c r="V59" s="19">
        <v>1</v>
      </c>
      <c r="W59" s="19">
        <v>1</v>
      </c>
      <c r="X59" s="22"/>
      <c r="Y59" s="19"/>
      <c r="Z59" s="19"/>
      <c r="AA59" s="19"/>
      <c r="AB59" s="19">
        <v>1</v>
      </c>
      <c r="AC59" s="19">
        <v>1</v>
      </c>
      <c r="AD59" s="19">
        <v>1</v>
      </c>
      <c r="AE59" s="22"/>
      <c r="AF59" s="19"/>
      <c r="AG59" s="19"/>
      <c r="AH59" s="19"/>
      <c r="AI59" s="19">
        <v>1</v>
      </c>
      <c r="AJ59" s="19">
        <v>1</v>
      </c>
      <c r="AK59" s="19">
        <v>1</v>
      </c>
      <c r="AL59" s="22"/>
      <c r="AM59" s="19"/>
      <c r="AN59" s="19"/>
      <c r="AO59" s="19"/>
      <c r="AP59" s="19">
        <v>1</v>
      </c>
      <c r="AQ59" s="19">
        <v>1</v>
      </c>
      <c r="AR59" s="19">
        <v>1</v>
      </c>
      <c r="AS59" s="22"/>
      <c r="AT59" s="19"/>
      <c r="AU59" s="19"/>
      <c r="AV59" s="19"/>
      <c r="AW59" s="19">
        <v>1</v>
      </c>
      <c r="AX59" s="19">
        <f>SUM(T59:AW59)</f>
        <v>13</v>
      </c>
      <c r="AY59" s="20"/>
      <c r="AZ59" s="19"/>
      <c r="BA59" s="20"/>
      <c r="BB59" s="49"/>
    </row>
    <row r="60" spans="1:54" ht="13.5" customHeight="1" x14ac:dyDescent="0.2">
      <c r="A60" s="104" t="s">
        <v>613</v>
      </c>
      <c r="B60" s="86" t="s">
        <v>104</v>
      </c>
      <c r="C60" s="26" t="s">
        <v>176</v>
      </c>
      <c r="D60" s="54" t="s">
        <v>177</v>
      </c>
      <c r="E60" s="26">
        <v>463</v>
      </c>
      <c r="F60" s="26" t="s">
        <v>2297</v>
      </c>
      <c r="G60" s="35" t="s">
        <v>1495</v>
      </c>
      <c r="H60" s="37"/>
      <c r="I60" s="37"/>
      <c r="J60" s="109">
        <v>0.33333333333333298</v>
      </c>
      <c r="K60" s="37" t="s">
        <v>53</v>
      </c>
      <c r="L60" s="35" t="str">
        <f>VLOOKUP(Tabla411[[#This Row],[BTL CVE]],tblPDV[#All],13,0)</f>
        <v xml:space="preserve">GUTIERREZ ROMERO MARUJA BETTY </v>
      </c>
      <c r="M60" s="26" t="s">
        <v>502</v>
      </c>
      <c r="N60" s="26" t="s">
        <v>54</v>
      </c>
      <c r="O60" s="26" t="s">
        <v>55</v>
      </c>
      <c r="P60" s="26" t="s">
        <v>55</v>
      </c>
      <c r="Q60" s="26" t="s">
        <v>50</v>
      </c>
      <c r="R60" s="38">
        <v>46113</v>
      </c>
      <c r="S60" s="38">
        <v>46134</v>
      </c>
      <c r="T60" s="19">
        <v>1</v>
      </c>
      <c r="U60" s="19"/>
      <c r="V60" s="19"/>
      <c r="W60" s="19"/>
      <c r="X60" s="22"/>
      <c r="Y60" s="19">
        <v>1</v>
      </c>
      <c r="Z60" s="19">
        <v>1</v>
      </c>
      <c r="AA60" s="19">
        <v>1</v>
      </c>
      <c r="AB60" s="19"/>
      <c r="AC60" s="19"/>
      <c r="AD60" s="19"/>
      <c r="AE60" s="22"/>
      <c r="AF60" s="19">
        <v>1</v>
      </c>
      <c r="AG60" s="19">
        <v>1</v>
      </c>
      <c r="AH60" s="19">
        <v>1</v>
      </c>
      <c r="AI60" s="19"/>
      <c r="AJ60" s="19"/>
      <c r="AK60" s="19"/>
      <c r="AL60" s="22"/>
      <c r="AM60" s="19">
        <v>1</v>
      </c>
      <c r="AN60" s="19">
        <v>1</v>
      </c>
      <c r="AO60" s="19">
        <v>1</v>
      </c>
      <c r="AP60" s="19"/>
      <c r="AQ60" s="19"/>
      <c r="AR60" s="19"/>
      <c r="AS60" s="22"/>
      <c r="AT60" s="19">
        <v>1</v>
      </c>
      <c r="AU60" s="19">
        <v>1</v>
      </c>
      <c r="AV60" s="19">
        <v>1</v>
      </c>
      <c r="AW60" s="19"/>
      <c r="AX60" s="19">
        <f>SUM(T60:AW60)</f>
        <v>13</v>
      </c>
      <c r="AY60" s="20"/>
      <c r="AZ60" s="19"/>
      <c r="BA60" s="20"/>
      <c r="BB60" s="49"/>
    </row>
    <row r="61" spans="1:54" ht="13.5" customHeight="1" x14ac:dyDescent="0.2">
      <c r="A61" s="104" t="s">
        <v>635</v>
      </c>
      <c r="B61" s="86" t="s">
        <v>104</v>
      </c>
      <c r="C61" s="26" t="s">
        <v>422</v>
      </c>
      <c r="D61" s="35" t="s">
        <v>423</v>
      </c>
      <c r="E61" s="26">
        <v>487</v>
      </c>
      <c r="F61" s="26" t="s">
        <v>2309</v>
      </c>
      <c r="G61" s="35" t="s">
        <v>1988</v>
      </c>
      <c r="H61" s="37">
        <v>0.5</v>
      </c>
      <c r="I61" s="37" t="s">
        <v>53</v>
      </c>
      <c r="J61" s="37">
        <v>0.5</v>
      </c>
      <c r="K61" s="37" t="s">
        <v>53</v>
      </c>
      <c r="L61" s="35" t="str">
        <f>VLOOKUP(Tabla411[[#This Row],[BTL CVE]],tblPDV[#All],13,0)</f>
        <v>MONTAGNER OLIVARES MIGUEL ANGEL</v>
      </c>
      <c r="M61" s="26" t="s">
        <v>536</v>
      </c>
      <c r="N61" s="26" t="s">
        <v>54</v>
      </c>
      <c r="O61" s="26" t="s">
        <v>66</v>
      </c>
      <c r="P61" s="26" t="s">
        <v>66</v>
      </c>
      <c r="Q61" s="26" t="s">
        <v>50</v>
      </c>
      <c r="R61" s="38">
        <v>46113</v>
      </c>
      <c r="S61" s="38">
        <v>46142</v>
      </c>
      <c r="T61" s="19"/>
      <c r="U61" s="19">
        <v>1</v>
      </c>
      <c r="V61" s="19">
        <v>1</v>
      </c>
      <c r="W61" s="19">
        <v>1</v>
      </c>
      <c r="X61" s="22"/>
      <c r="Y61" s="19"/>
      <c r="Z61" s="19"/>
      <c r="AA61" s="19"/>
      <c r="AB61" s="19">
        <v>1</v>
      </c>
      <c r="AC61" s="19">
        <v>1</v>
      </c>
      <c r="AD61" s="19">
        <v>1</v>
      </c>
      <c r="AE61" s="22"/>
      <c r="AF61" s="19"/>
      <c r="AG61" s="19"/>
      <c r="AH61" s="19"/>
      <c r="AI61" s="19">
        <v>1</v>
      </c>
      <c r="AJ61" s="19">
        <v>1</v>
      </c>
      <c r="AK61" s="19">
        <v>1</v>
      </c>
      <c r="AL61" s="22"/>
      <c r="AM61" s="19"/>
      <c r="AN61" s="19"/>
      <c r="AO61" s="19"/>
      <c r="AP61" s="19">
        <v>1</v>
      </c>
      <c r="AQ61" s="19">
        <v>1</v>
      </c>
      <c r="AR61" s="19">
        <v>1</v>
      </c>
      <c r="AS61" s="22"/>
      <c r="AT61" s="19"/>
      <c r="AU61" s="19"/>
      <c r="AV61" s="19"/>
      <c r="AW61" s="19">
        <v>1</v>
      </c>
      <c r="AX61" s="19">
        <f>SUM(T61:AW61)</f>
        <v>13</v>
      </c>
      <c r="AY61" s="20"/>
      <c r="AZ61" s="19"/>
      <c r="BA61" s="20"/>
      <c r="BB61" s="49"/>
    </row>
    <row r="62" spans="1:54" ht="13.5" customHeight="1" x14ac:dyDescent="0.2">
      <c r="A62" s="104" t="s">
        <v>638</v>
      </c>
      <c r="B62" s="86" t="s">
        <v>104</v>
      </c>
      <c r="C62" s="26" t="s">
        <v>434</v>
      </c>
      <c r="D62" s="35" t="s">
        <v>435</v>
      </c>
      <c r="E62" s="26">
        <v>487</v>
      </c>
      <c r="F62" s="26" t="s">
        <v>2309</v>
      </c>
      <c r="G62" s="35" t="s">
        <v>1988</v>
      </c>
      <c r="H62" s="37">
        <v>0.5</v>
      </c>
      <c r="I62" s="37" t="s">
        <v>53</v>
      </c>
      <c r="J62" s="37">
        <v>0.5</v>
      </c>
      <c r="K62" s="37" t="s">
        <v>53</v>
      </c>
      <c r="L62" s="35" t="str">
        <f>VLOOKUP(Tabla411[[#This Row],[BTL CVE]],tblPDV[#All],13,0)</f>
        <v>MONTAGNER OLIVARES MIGUEL ANGEL</v>
      </c>
      <c r="M62" s="26" t="s">
        <v>536</v>
      </c>
      <c r="N62" s="26" t="s">
        <v>54</v>
      </c>
      <c r="O62" s="26" t="s">
        <v>55</v>
      </c>
      <c r="P62" s="26" t="s">
        <v>55</v>
      </c>
      <c r="Q62" s="26" t="s">
        <v>50</v>
      </c>
      <c r="R62" s="38">
        <v>46113</v>
      </c>
      <c r="S62" s="38">
        <v>46142</v>
      </c>
      <c r="T62" s="19">
        <v>1</v>
      </c>
      <c r="U62" s="19"/>
      <c r="V62" s="19"/>
      <c r="W62" s="19"/>
      <c r="X62" s="22"/>
      <c r="Y62" s="19">
        <v>1</v>
      </c>
      <c r="Z62" s="19">
        <v>1</v>
      </c>
      <c r="AA62" s="19">
        <v>1</v>
      </c>
      <c r="AB62" s="19"/>
      <c r="AC62" s="19"/>
      <c r="AD62" s="19"/>
      <c r="AE62" s="22"/>
      <c r="AF62" s="19">
        <v>1</v>
      </c>
      <c r="AG62" s="19">
        <v>1</v>
      </c>
      <c r="AH62" s="19">
        <v>1</v>
      </c>
      <c r="AI62" s="19"/>
      <c r="AJ62" s="19"/>
      <c r="AK62" s="19"/>
      <c r="AL62" s="22"/>
      <c r="AM62" s="19">
        <v>1</v>
      </c>
      <c r="AN62" s="19">
        <v>1</v>
      </c>
      <c r="AO62" s="19">
        <v>1</v>
      </c>
      <c r="AP62" s="19"/>
      <c r="AQ62" s="19"/>
      <c r="AR62" s="19"/>
      <c r="AS62" s="22"/>
      <c r="AT62" s="19">
        <v>1</v>
      </c>
      <c r="AU62" s="19">
        <v>1</v>
      </c>
      <c r="AV62" s="19">
        <v>1</v>
      </c>
      <c r="AW62" s="19"/>
      <c r="AX62" s="19">
        <f>SUM(T62:AW62)</f>
        <v>13</v>
      </c>
      <c r="AY62" s="20"/>
      <c r="AZ62" s="19"/>
      <c r="BA62" s="20"/>
      <c r="BB62" s="49"/>
    </row>
    <row r="63" spans="1:54" ht="13.5" customHeight="1" x14ac:dyDescent="0.2">
      <c r="A63" s="104" t="s">
        <v>614</v>
      </c>
      <c r="B63" s="86" t="s">
        <v>104</v>
      </c>
      <c r="C63" s="26" t="s">
        <v>178</v>
      </c>
      <c r="D63" s="35" t="s">
        <v>179</v>
      </c>
      <c r="E63" s="26">
        <v>463</v>
      </c>
      <c r="F63" s="26" t="s">
        <v>2297</v>
      </c>
      <c r="G63" s="35" t="s">
        <v>1516</v>
      </c>
      <c r="H63" s="37">
        <v>0.5</v>
      </c>
      <c r="I63" s="37" t="s">
        <v>53</v>
      </c>
      <c r="J63" s="109">
        <v>0.33333333333333298</v>
      </c>
      <c r="K63" s="37" t="s">
        <v>53</v>
      </c>
      <c r="L63" s="35" t="str">
        <f>VLOOKUP(Tabla411[[#This Row],[BTL CVE]],tblPDV[#All],13,0)</f>
        <v xml:space="preserve">GUTIERREZ ROMERO MARUJA BETTY </v>
      </c>
      <c r="M63" s="26" t="s">
        <v>502</v>
      </c>
      <c r="N63" s="26" t="s">
        <v>54</v>
      </c>
      <c r="O63" s="26" t="s">
        <v>66</v>
      </c>
      <c r="P63" s="26" t="s">
        <v>66</v>
      </c>
      <c r="Q63" s="26" t="s">
        <v>50</v>
      </c>
      <c r="R63" s="38">
        <v>46135</v>
      </c>
      <c r="S63" s="38">
        <v>46142</v>
      </c>
      <c r="T63" s="19"/>
      <c r="U63" s="19"/>
      <c r="V63" s="19"/>
      <c r="W63" s="19"/>
      <c r="X63" s="22"/>
      <c r="Y63" s="19"/>
      <c r="Z63" s="19"/>
      <c r="AA63" s="19"/>
      <c r="AB63" s="19"/>
      <c r="AC63" s="19"/>
      <c r="AD63" s="19"/>
      <c r="AE63" s="22"/>
      <c r="AF63" s="19"/>
      <c r="AG63" s="19"/>
      <c r="AH63" s="19"/>
      <c r="AI63" s="19"/>
      <c r="AJ63" s="19"/>
      <c r="AK63" s="19"/>
      <c r="AL63" s="22"/>
      <c r="AM63" s="19"/>
      <c r="AN63" s="19"/>
      <c r="AO63" s="19"/>
      <c r="AP63" s="19">
        <v>1</v>
      </c>
      <c r="AQ63" s="19">
        <v>1</v>
      </c>
      <c r="AR63" s="19">
        <v>1</v>
      </c>
      <c r="AS63" s="22"/>
      <c r="AT63" s="19"/>
      <c r="AU63" s="19"/>
      <c r="AV63" s="19"/>
      <c r="AW63" s="19">
        <v>1</v>
      </c>
      <c r="AX63" s="19">
        <f>SUM(T63:AW63)</f>
        <v>4</v>
      </c>
      <c r="AY63" s="20"/>
      <c r="AZ63" s="19"/>
      <c r="BA63" s="20"/>
      <c r="BB63" s="49"/>
    </row>
    <row r="64" spans="1:54" ht="13.5" customHeight="1" x14ac:dyDescent="0.2">
      <c r="A64" s="104" t="s">
        <v>613</v>
      </c>
      <c r="B64" s="86" t="s">
        <v>104</v>
      </c>
      <c r="C64" s="26" t="s">
        <v>176</v>
      </c>
      <c r="D64" s="35" t="s">
        <v>177</v>
      </c>
      <c r="E64" s="26">
        <v>463</v>
      </c>
      <c r="F64" s="26" t="s">
        <v>2297</v>
      </c>
      <c r="G64" s="35" t="s">
        <v>1516</v>
      </c>
      <c r="H64" s="37">
        <v>0.5</v>
      </c>
      <c r="I64" s="37" t="s">
        <v>53</v>
      </c>
      <c r="J64" s="109">
        <v>0.33333333333333298</v>
      </c>
      <c r="K64" s="37" t="s">
        <v>53</v>
      </c>
      <c r="L64" s="35" t="str">
        <f>VLOOKUP(Tabla411[[#This Row],[BTL CVE]],tblPDV[#All],13,0)</f>
        <v xml:space="preserve">GUTIERREZ ROMERO MARUJA BETTY </v>
      </c>
      <c r="M64" s="26" t="s">
        <v>502</v>
      </c>
      <c r="N64" s="26" t="s">
        <v>54</v>
      </c>
      <c r="O64" s="26" t="s">
        <v>55</v>
      </c>
      <c r="P64" s="26" t="s">
        <v>55</v>
      </c>
      <c r="Q64" s="26" t="s">
        <v>50</v>
      </c>
      <c r="R64" s="38">
        <v>46135</v>
      </c>
      <c r="S64" s="38">
        <v>46142</v>
      </c>
      <c r="T64" s="19"/>
      <c r="U64" s="19"/>
      <c r="V64" s="19"/>
      <c r="W64" s="19"/>
      <c r="X64" s="22"/>
      <c r="Y64" s="19"/>
      <c r="Z64" s="19"/>
      <c r="AA64" s="19"/>
      <c r="AB64" s="19"/>
      <c r="AC64" s="19"/>
      <c r="AD64" s="19"/>
      <c r="AE64" s="22"/>
      <c r="AF64" s="19"/>
      <c r="AG64" s="19"/>
      <c r="AH64" s="19"/>
      <c r="AI64" s="19"/>
      <c r="AJ64" s="19"/>
      <c r="AK64" s="19"/>
      <c r="AL64" s="22"/>
      <c r="AM64" s="19"/>
      <c r="AN64" s="19"/>
      <c r="AO64" s="19"/>
      <c r="AP64" s="19"/>
      <c r="AQ64" s="19"/>
      <c r="AR64" s="19"/>
      <c r="AS64" s="22"/>
      <c r="AT64" s="19">
        <v>1</v>
      </c>
      <c r="AU64" s="19">
        <v>1</v>
      </c>
      <c r="AV64" s="19">
        <v>1</v>
      </c>
      <c r="AW64" s="19"/>
      <c r="AX64" s="19">
        <f>SUM(T64:AW64)</f>
        <v>3</v>
      </c>
      <c r="AY64" s="20"/>
      <c r="AZ64" s="19"/>
      <c r="BA64" s="20"/>
      <c r="BB64" s="49"/>
    </row>
    <row r="65" spans="1:54" ht="13.5" customHeight="1" x14ac:dyDescent="0.2">
      <c r="A65" s="104" t="s">
        <v>609</v>
      </c>
      <c r="B65" s="86" t="s">
        <v>104</v>
      </c>
      <c r="C65" s="26" t="s">
        <v>166</v>
      </c>
      <c r="D65" s="35" t="s">
        <v>167</v>
      </c>
      <c r="E65" s="26">
        <v>554</v>
      </c>
      <c r="F65" s="26" t="s">
        <v>2342</v>
      </c>
      <c r="G65" s="35" t="s">
        <v>1543</v>
      </c>
      <c r="H65" s="37">
        <v>0.5</v>
      </c>
      <c r="I65" s="37" t="s">
        <v>53</v>
      </c>
      <c r="J65" s="37">
        <v>0.5</v>
      </c>
      <c r="K65" s="37" t="s">
        <v>53</v>
      </c>
      <c r="L65" s="35" t="str">
        <f>VLOOKUP(Tabla411[[#This Row],[BTL CVE]],tblPDV[#All],13,0)</f>
        <v xml:space="preserve">AGUIRRE CAMACHO ATZIN SUSANA </v>
      </c>
      <c r="M65" s="26" t="s">
        <v>536</v>
      </c>
      <c r="N65" s="26" t="s">
        <v>54</v>
      </c>
      <c r="O65" s="26" t="s">
        <v>66</v>
      </c>
      <c r="P65" s="26" t="s">
        <v>66</v>
      </c>
      <c r="Q65" s="26" t="s">
        <v>50</v>
      </c>
      <c r="R65" s="38">
        <v>46113</v>
      </c>
      <c r="S65" s="38">
        <v>46142</v>
      </c>
      <c r="T65" s="19"/>
      <c r="U65" s="19">
        <v>1</v>
      </c>
      <c r="V65" s="19">
        <v>1</v>
      </c>
      <c r="W65" s="19">
        <v>1</v>
      </c>
      <c r="X65" s="22"/>
      <c r="Y65" s="19"/>
      <c r="Z65" s="19"/>
      <c r="AA65" s="19"/>
      <c r="AB65" s="19">
        <v>1</v>
      </c>
      <c r="AC65" s="19">
        <v>1</v>
      </c>
      <c r="AD65" s="19">
        <v>1</v>
      </c>
      <c r="AE65" s="22"/>
      <c r="AF65" s="19"/>
      <c r="AG65" s="19"/>
      <c r="AH65" s="19"/>
      <c r="AI65" s="19">
        <v>1</v>
      </c>
      <c r="AJ65" s="19">
        <v>1</v>
      </c>
      <c r="AK65" s="19">
        <v>1</v>
      </c>
      <c r="AL65" s="22"/>
      <c r="AM65" s="19"/>
      <c r="AN65" s="19"/>
      <c r="AO65" s="19"/>
      <c r="AP65" s="19">
        <v>1</v>
      </c>
      <c r="AQ65" s="19">
        <v>1</v>
      </c>
      <c r="AR65" s="19">
        <v>1</v>
      </c>
      <c r="AS65" s="22"/>
      <c r="AT65" s="19"/>
      <c r="AU65" s="19"/>
      <c r="AV65" s="19"/>
      <c r="AW65" s="19">
        <v>1</v>
      </c>
      <c r="AX65" s="19">
        <f>SUM(T65:AW65)</f>
        <v>13</v>
      </c>
      <c r="AY65" s="20"/>
      <c r="AZ65" s="19"/>
      <c r="BA65" s="20"/>
      <c r="BB65" s="49"/>
    </row>
    <row r="66" spans="1:54" ht="13.5" customHeight="1" x14ac:dyDescent="0.2">
      <c r="A66" s="104" t="s">
        <v>788</v>
      </c>
      <c r="B66" s="86" t="s">
        <v>104</v>
      </c>
      <c r="C66" s="26" t="s">
        <v>196</v>
      </c>
      <c r="D66" s="35" t="s">
        <v>197</v>
      </c>
      <c r="E66" s="26">
        <v>554</v>
      </c>
      <c r="F66" s="26" t="s">
        <v>2342</v>
      </c>
      <c r="G66" s="35" t="s">
        <v>1543</v>
      </c>
      <c r="H66" s="37">
        <v>0.5</v>
      </c>
      <c r="I66" s="37" t="s">
        <v>53</v>
      </c>
      <c r="J66" s="37">
        <v>0.5</v>
      </c>
      <c r="K66" s="37" t="s">
        <v>53</v>
      </c>
      <c r="L66" s="35" t="str">
        <f>VLOOKUP(Tabla411[[#This Row],[BTL CVE]],tblPDV[#All],13,0)</f>
        <v xml:space="preserve">AGUIRRE CAMACHO ATZIN SUSANA </v>
      </c>
      <c r="M66" s="26" t="s">
        <v>536</v>
      </c>
      <c r="N66" s="26" t="s">
        <v>54</v>
      </c>
      <c r="O66" s="26" t="s">
        <v>55</v>
      </c>
      <c r="P66" s="26" t="s">
        <v>55</v>
      </c>
      <c r="Q66" s="26" t="s">
        <v>50</v>
      </c>
      <c r="R66" s="38">
        <v>46113</v>
      </c>
      <c r="S66" s="38">
        <v>46142</v>
      </c>
      <c r="T66" s="19">
        <v>1</v>
      </c>
      <c r="U66" s="19"/>
      <c r="V66" s="19"/>
      <c r="W66" s="19"/>
      <c r="X66" s="22"/>
      <c r="Y66" s="19">
        <v>1</v>
      </c>
      <c r="Z66" s="19">
        <v>1</v>
      </c>
      <c r="AA66" s="19">
        <v>1</v>
      </c>
      <c r="AB66" s="19"/>
      <c r="AC66" s="19"/>
      <c r="AD66" s="19"/>
      <c r="AE66" s="22"/>
      <c r="AF66" s="19">
        <v>1</v>
      </c>
      <c r="AG66" s="19">
        <v>1</v>
      </c>
      <c r="AH66" s="19">
        <v>1</v>
      </c>
      <c r="AI66" s="19"/>
      <c r="AJ66" s="19"/>
      <c r="AK66" s="19"/>
      <c r="AL66" s="22"/>
      <c r="AM66" s="19">
        <v>1</v>
      </c>
      <c r="AN66" s="19">
        <v>1</v>
      </c>
      <c r="AO66" s="19">
        <v>1</v>
      </c>
      <c r="AP66" s="19"/>
      <c r="AQ66" s="19"/>
      <c r="AR66" s="19"/>
      <c r="AS66" s="22"/>
      <c r="AT66" s="19">
        <v>1</v>
      </c>
      <c r="AU66" s="19">
        <v>1</v>
      </c>
      <c r="AV66" s="19">
        <v>1</v>
      </c>
      <c r="AW66" s="19"/>
      <c r="AX66" s="19">
        <f>SUM(T66:AW66)</f>
        <v>13</v>
      </c>
      <c r="AY66" s="20"/>
      <c r="AZ66" s="19"/>
      <c r="BA66" s="20"/>
      <c r="BB66" s="49"/>
    </row>
    <row r="67" spans="1:54" ht="13.5" customHeight="1" x14ac:dyDescent="0.2">
      <c r="A67" s="104" t="s">
        <v>611</v>
      </c>
      <c r="B67" s="86" t="s">
        <v>104</v>
      </c>
      <c r="C67" s="26" t="s">
        <v>171</v>
      </c>
      <c r="D67" s="35" t="s">
        <v>172</v>
      </c>
      <c r="E67" s="26">
        <v>293</v>
      </c>
      <c r="F67" s="26" t="s">
        <v>2243</v>
      </c>
      <c r="G67" s="35" t="s">
        <v>170</v>
      </c>
      <c r="H67" s="37">
        <v>0.5</v>
      </c>
      <c r="I67" s="37" t="s">
        <v>53</v>
      </c>
      <c r="J67" s="37">
        <v>0.5</v>
      </c>
      <c r="K67" s="37" t="s">
        <v>53</v>
      </c>
      <c r="L67" s="35" t="str">
        <f>VLOOKUP(Tabla411[[#This Row],[BTL CVE]],tblPDV[#All],13,0)</f>
        <v xml:space="preserve">AVILA BELTRAN GLORIA MARIBEL </v>
      </c>
      <c r="M67" s="26" t="s">
        <v>117</v>
      </c>
      <c r="N67" s="26" t="s">
        <v>1525</v>
      </c>
      <c r="O67" s="26" t="s">
        <v>55</v>
      </c>
      <c r="P67" s="26" t="s">
        <v>55</v>
      </c>
      <c r="Q67" s="26" t="s">
        <v>2085</v>
      </c>
      <c r="R67" s="38">
        <v>46113</v>
      </c>
      <c r="S67" s="38">
        <v>46142</v>
      </c>
      <c r="T67" s="19">
        <v>1</v>
      </c>
      <c r="U67" s="19"/>
      <c r="V67" s="19"/>
      <c r="W67" s="22"/>
      <c r="X67" s="19"/>
      <c r="Y67" s="19">
        <v>1</v>
      </c>
      <c r="Z67" s="19">
        <v>1</v>
      </c>
      <c r="AA67" s="19">
        <v>1</v>
      </c>
      <c r="AB67" s="19"/>
      <c r="AC67" s="19"/>
      <c r="AD67" s="22"/>
      <c r="AE67" s="19"/>
      <c r="AF67" s="19">
        <v>1</v>
      </c>
      <c r="AG67" s="19">
        <v>1</v>
      </c>
      <c r="AH67" s="19">
        <v>1</v>
      </c>
      <c r="AI67" s="19"/>
      <c r="AJ67" s="19"/>
      <c r="AK67" s="22"/>
      <c r="AL67" s="19"/>
      <c r="AM67" s="19">
        <v>1</v>
      </c>
      <c r="AN67" s="19">
        <v>1</v>
      </c>
      <c r="AO67" s="19">
        <v>1</v>
      </c>
      <c r="AP67" s="19"/>
      <c r="AQ67" s="19"/>
      <c r="AR67" s="22"/>
      <c r="AS67" s="19"/>
      <c r="AT67" s="19">
        <v>1</v>
      </c>
      <c r="AU67" s="19">
        <v>1</v>
      </c>
      <c r="AV67" s="19">
        <v>1</v>
      </c>
      <c r="AW67" s="19"/>
      <c r="AX67" s="19">
        <f>SUM(T67:AW67)</f>
        <v>13</v>
      </c>
      <c r="AY67" s="20"/>
      <c r="AZ67" s="19"/>
      <c r="BA67" s="20"/>
      <c r="BB67" s="49" t="s">
        <v>2383</v>
      </c>
    </row>
    <row r="68" spans="1:54" ht="13.5" customHeight="1" x14ac:dyDescent="0.2">
      <c r="A68" s="104" t="s">
        <v>610</v>
      </c>
      <c r="B68" s="86" t="s">
        <v>104</v>
      </c>
      <c r="C68" s="26" t="s">
        <v>168</v>
      </c>
      <c r="D68" s="35" t="s">
        <v>169</v>
      </c>
      <c r="E68" s="26">
        <v>293</v>
      </c>
      <c r="F68" s="26" t="s">
        <v>2243</v>
      </c>
      <c r="G68" s="35" t="s">
        <v>170</v>
      </c>
      <c r="H68" s="37">
        <v>0.5</v>
      </c>
      <c r="I68" s="37" t="s">
        <v>53</v>
      </c>
      <c r="J68" s="37">
        <v>0.5</v>
      </c>
      <c r="K68" s="37" t="s">
        <v>53</v>
      </c>
      <c r="L68" s="35" t="str">
        <f>VLOOKUP(Tabla411[[#This Row],[BTL CVE]],tblPDV[#All],13,0)</f>
        <v xml:space="preserve">AVILA BELTRAN GLORIA MARIBEL </v>
      </c>
      <c r="M68" s="26" t="s">
        <v>117</v>
      </c>
      <c r="N68" s="26" t="s">
        <v>1525</v>
      </c>
      <c r="O68" s="26" t="s">
        <v>539</v>
      </c>
      <c r="P68" s="26" t="s">
        <v>539</v>
      </c>
      <c r="Q68" s="26" t="s">
        <v>2085</v>
      </c>
      <c r="R68" s="38">
        <v>46113</v>
      </c>
      <c r="S68" s="38">
        <v>46142</v>
      </c>
      <c r="T68" s="19"/>
      <c r="U68" s="19">
        <v>1</v>
      </c>
      <c r="V68" s="19">
        <v>1</v>
      </c>
      <c r="W68" s="22"/>
      <c r="X68" s="19">
        <v>1</v>
      </c>
      <c r="Y68" s="19"/>
      <c r="Z68" s="19"/>
      <c r="AA68" s="19"/>
      <c r="AB68" s="19">
        <v>1</v>
      </c>
      <c r="AC68" s="19">
        <v>1</v>
      </c>
      <c r="AD68" s="22"/>
      <c r="AE68" s="19">
        <v>1</v>
      </c>
      <c r="AF68" s="19"/>
      <c r="AG68" s="19"/>
      <c r="AH68" s="19"/>
      <c r="AI68" s="19">
        <v>1</v>
      </c>
      <c r="AJ68" s="19">
        <v>1</v>
      </c>
      <c r="AK68" s="22"/>
      <c r="AL68" s="19">
        <v>1</v>
      </c>
      <c r="AM68" s="19"/>
      <c r="AN68" s="19"/>
      <c r="AO68" s="19"/>
      <c r="AP68" s="19">
        <v>1</v>
      </c>
      <c r="AQ68" s="19">
        <v>1</v>
      </c>
      <c r="AR68" s="22"/>
      <c r="AS68" s="19">
        <v>1</v>
      </c>
      <c r="AT68" s="19"/>
      <c r="AU68" s="19"/>
      <c r="AV68" s="19"/>
      <c r="AW68" s="19">
        <v>1</v>
      </c>
      <c r="AX68" s="19">
        <f>SUM(T68:AW68)</f>
        <v>13</v>
      </c>
      <c r="AY68" s="20"/>
      <c r="AZ68" s="19"/>
      <c r="BA68" s="20"/>
      <c r="BB68" s="49" t="s">
        <v>2383</v>
      </c>
    </row>
    <row r="69" spans="1:54" ht="13.5" customHeight="1" x14ac:dyDescent="0.2">
      <c r="A69" s="104" t="s">
        <v>630</v>
      </c>
      <c r="B69" s="86" t="s">
        <v>104</v>
      </c>
      <c r="C69" s="26" t="s">
        <v>467</v>
      </c>
      <c r="D69" s="35" t="s">
        <v>468</v>
      </c>
      <c r="E69" s="26">
        <v>594</v>
      </c>
      <c r="F69" s="26" t="s">
        <v>2396</v>
      </c>
      <c r="G69" s="35" t="s">
        <v>2359</v>
      </c>
      <c r="H69" s="37">
        <v>0.5</v>
      </c>
      <c r="I69" s="37" t="s">
        <v>53</v>
      </c>
      <c r="J69" s="37">
        <v>0.5</v>
      </c>
      <c r="K69" s="37" t="s">
        <v>53</v>
      </c>
      <c r="L69" s="35" t="str">
        <f>VLOOKUP(Tabla411[[#This Row],[BTL CVE]],tblPDV[#All],13,0)</f>
        <v>ALVAREZ GARCIA ADRIANA YULISMA</v>
      </c>
      <c r="M69" s="26" t="s">
        <v>503</v>
      </c>
      <c r="N69" s="26" t="s">
        <v>54</v>
      </c>
      <c r="O69" s="26" t="s">
        <v>66</v>
      </c>
      <c r="P69" s="26" t="s">
        <v>66</v>
      </c>
      <c r="Q69" s="26" t="s">
        <v>50</v>
      </c>
      <c r="R69" s="38">
        <v>46113</v>
      </c>
      <c r="S69" s="38">
        <v>46142</v>
      </c>
      <c r="T69" s="19"/>
      <c r="U69" s="19">
        <v>1</v>
      </c>
      <c r="V69" s="19">
        <v>1</v>
      </c>
      <c r="W69" s="19">
        <v>1</v>
      </c>
      <c r="X69" s="22"/>
      <c r="Y69" s="19"/>
      <c r="Z69" s="19"/>
      <c r="AA69" s="19"/>
      <c r="AB69" s="19">
        <v>1</v>
      </c>
      <c r="AC69" s="19">
        <v>1</v>
      </c>
      <c r="AD69" s="19">
        <v>1</v>
      </c>
      <c r="AE69" s="22"/>
      <c r="AF69" s="19"/>
      <c r="AG69" s="19"/>
      <c r="AH69" s="19"/>
      <c r="AI69" s="19">
        <v>1</v>
      </c>
      <c r="AJ69" s="19">
        <v>1</v>
      </c>
      <c r="AK69" s="19">
        <v>1</v>
      </c>
      <c r="AL69" s="22"/>
      <c r="AM69" s="19"/>
      <c r="AN69" s="19"/>
      <c r="AO69" s="19"/>
      <c r="AP69" s="19">
        <v>1</v>
      </c>
      <c r="AQ69" s="19">
        <v>1</v>
      </c>
      <c r="AR69" s="19">
        <v>1</v>
      </c>
      <c r="AS69" s="22"/>
      <c r="AT69" s="19"/>
      <c r="AU69" s="19"/>
      <c r="AV69" s="19"/>
      <c r="AW69" s="19">
        <v>1</v>
      </c>
      <c r="AX69" s="19">
        <f>SUM(T69:AW69)</f>
        <v>13</v>
      </c>
      <c r="AY69" s="20"/>
      <c r="AZ69" s="19"/>
      <c r="BA69" s="20"/>
      <c r="BB69" s="49"/>
    </row>
    <row r="70" spans="1:54" ht="13.5" customHeight="1" x14ac:dyDescent="0.2">
      <c r="A70" s="104" t="s">
        <v>629</v>
      </c>
      <c r="B70" s="86" t="s">
        <v>104</v>
      </c>
      <c r="C70" s="26" t="s">
        <v>465</v>
      </c>
      <c r="D70" s="35" t="s">
        <v>466</v>
      </c>
      <c r="E70" s="26">
        <v>594</v>
      </c>
      <c r="F70" s="26" t="s">
        <v>2396</v>
      </c>
      <c r="G70" s="35" t="s">
        <v>2359</v>
      </c>
      <c r="H70" s="37">
        <v>0.5</v>
      </c>
      <c r="I70" s="37" t="s">
        <v>53</v>
      </c>
      <c r="J70" s="37">
        <v>0.5</v>
      </c>
      <c r="K70" s="37" t="s">
        <v>53</v>
      </c>
      <c r="L70" s="35" t="str">
        <f>VLOOKUP(Tabla411[[#This Row],[BTL CVE]],tblPDV[#All],13,0)</f>
        <v>ALVAREZ GARCIA ADRIANA YULISMA</v>
      </c>
      <c r="M70" s="26" t="s">
        <v>503</v>
      </c>
      <c r="N70" s="26" t="s">
        <v>54</v>
      </c>
      <c r="O70" s="26" t="s">
        <v>55</v>
      </c>
      <c r="P70" s="26" t="s">
        <v>55</v>
      </c>
      <c r="Q70" s="26" t="s">
        <v>50</v>
      </c>
      <c r="R70" s="38">
        <v>46113</v>
      </c>
      <c r="S70" s="38">
        <v>46142</v>
      </c>
      <c r="T70" s="19">
        <v>1</v>
      </c>
      <c r="U70" s="19"/>
      <c r="V70" s="19"/>
      <c r="W70" s="19"/>
      <c r="X70" s="22"/>
      <c r="Y70" s="19">
        <v>1</v>
      </c>
      <c r="Z70" s="19">
        <v>1</v>
      </c>
      <c r="AA70" s="19">
        <v>1</v>
      </c>
      <c r="AB70" s="19"/>
      <c r="AC70" s="19"/>
      <c r="AD70" s="19"/>
      <c r="AE70" s="22"/>
      <c r="AF70" s="19">
        <v>1</v>
      </c>
      <c r="AG70" s="19">
        <v>1</v>
      </c>
      <c r="AH70" s="19">
        <v>1</v>
      </c>
      <c r="AI70" s="19"/>
      <c r="AJ70" s="19"/>
      <c r="AK70" s="19"/>
      <c r="AL70" s="22"/>
      <c r="AM70" s="19">
        <v>1</v>
      </c>
      <c r="AN70" s="19">
        <v>1</v>
      </c>
      <c r="AO70" s="19">
        <v>1</v>
      </c>
      <c r="AP70" s="19"/>
      <c r="AQ70" s="19"/>
      <c r="AR70" s="19"/>
      <c r="AS70" s="22"/>
      <c r="AT70" s="19">
        <v>1</v>
      </c>
      <c r="AU70" s="19">
        <v>1</v>
      </c>
      <c r="AV70" s="19">
        <v>1</v>
      </c>
      <c r="AW70" s="19"/>
      <c r="AX70" s="19">
        <f>SUM(T70:AW70)</f>
        <v>13</v>
      </c>
      <c r="AY70" s="20"/>
      <c r="AZ70" s="19"/>
      <c r="BA70" s="20"/>
      <c r="BB70" s="49"/>
    </row>
    <row r="71" spans="1:54" ht="13.5" customHeight="1" x14ac:dyDescent="0.2">
      <c r="A71" s="104" t="s">
        <v>631</v>
      </c>
      <c r="B71" s="86" t="s">
        <v>104</v>
      </c>
      <c r="C71" s="26" t="s">
        <v>473</v>
      </c>
      <c r="D71" s="35" t="s">
        <v>474</v>
      </c>
      <c r="E71" s="26">
        <v>535</v>
      </c>
      <c r="F71" s="26" t="s">
        <v>2329</v>
      </c>
      <c r="G71" s="35" t="s">
        <v>1548</v>
      </c>
      <c r="H71" s="37">
        <v>0.5</v>
      </c>
      <c r="I71" s="37" t="s">
        <v>53</v>
      </c>
      <c r="J71" s="37">
        <v>0.5</v>
      </c>
      <c r="K71" s="37" t="s">
        <v>53</v>
      </c>
      <c r="L71" s="35" t="str">
        <f>VLOOKUP(Tabla411[[#This Row],[BTL CVE]],tblPDV[#All],13,0)</f>
        <v>ALVAREZ GARCIA ADRIANA YULISMA</v>
      </c>
      <c r="M71" s="26" t="s">
        <v>503</v>
      </c>
      <c r="N71" s="26" t="s">
        <v>54</v>
      </c>
      <c r="O71" s="37" t="s">
        <v>55</v>
      </c>
      <c r="P71" s="37" t="s">
        <v>55</v>
      </c>
      <c r="Q71" s="26" t="s">
        <v>50</v>
      </c>
      <c r="R71" s="38">
        <v>46113</v>
      </c>
      <c r="S71" s="38">
        <v>46142</v>
      </c>
      <c r="T71" s="19">
        <v>1</v>
      </c>
      <c r="U71" s="19"/>
      <c r="V71" s="19"/>
      <c r="W71" s="19"/>
      <c r="X71" s="22"/>
      <c r="Y71" s="19">
        <v>1</v>
      </c>
      <c r="Z71" s="19">
        <v>1</v>
      </c>
      <c r="AA71" s="19">
        <v>1</v>
      </c>
      <c r="AB71" s="19"/>
      <c r="AC71" s="19"/>
      <c r="AD71" s="19"/>
      <c r="AE71" s="22"/>
      <c r="AF71" s="19">
        <v>1</v>
      </c>
      <c r="AG71" s="19">
        <v>1</v>
      </c>
      <c r="AH71" s="19">
        <v>1</v>
      </c>
      <c r="AI71" s="19"/>
      <c r="AJ71" s="19"/>
      <c r="AK71" s="19"/>
      <c r="AL71" s="22"/>
      <c r="AM71" s="19">
        <v>1</v>
      </c>
      <c r="AN71" s="19">
        <v>1</v>
      </c>
      <c r="AO71" s="19">
        <v>1</v>
      </c>
      <c r="AP71" s="19"/>
      <c r="AQ71" s="19"/>
      <c r="AR71" s="19"/>
      <c r="AS71" s="22"/>
      <c r="AT71" s="19">
        <v>1</v>
      </c>
      <c r="AU71" s="19">
        <v>1</v>
      </c>
      <c r="AV71" s="19">
        <v>1</v>
      </c>
      <c r="AW71" s="19"/>
      <c r="AX71" s="19">
        <f>SUM(T71:AW71)</f>
        <v>13</v>
      </c>
      <c r="AY71" s="20"/>
      <c r="AZ71" s="19"/>
      <c r="BA71" s="20"/>
      <c r="BB71" s="49"/>
    </row>
    <row r="72" spans="1:54" ht="13.5" customHeight="1" x14ac:dyDescent="0.2">
      <c r="A72" s="104" t="s">
        <v>632</v>
      </c>
      <c r="B72" s="86" t="s">
        <v>104</v>
      </c>
      <c r="C72" s="26" t="s">
        <v>476</v>
      </c>
      <c r="D72" s="35" t="s">
        <v>477</v>
      </c>
      <c r="E72" s="26">
        <v>535</v>
      </c>
      <c r="F72" s="26" t="s">
        <v>2329</v>
      </c>
      <c r="G72" s="35" t="s">
        <v>1548</v>
      </c>
      <c r="H72" s="37">
        <v>0.5</v>
      </c>
      <c r="I72" s="37" t="s">
        <v>53</v>
      </c>
      <c r="J72" s="37">
        <v>0.5</v>
      </c>
      <c r="K72" s="37" t="s">
        <v>53</v>
      </c>
      <c r="L72" s="35" t="str">
        <f>VLOOKUP(Tabla411[[#This Row],[BTL CVE]],tblPDV[#All],13,0)</f>
        <v>ALVAREZ GARCIA ADRIANA YULISMA</v>
      </c>
      <c r="M72" s="26" t="s">
        <v>503</v>
      </c>
      <c r="N72" s="26" t="s">
        <v>54</v>
      </c>
      <c r="O72" s="37" t="s">
        <v>66</v>
      </c>
      <c r="P72" s="37" t="s">
        <v>66</v>
      </c>
      <c r="Q72" s="26" t="s">
        <v>50</v>
      </c>
      <c r="R72" s="38">
        <v>46113</v>
      </c>
      <c r="S72" s="38">
        <v>46142</v>
      </c>
      <c r="T72" s="19"/>
      <c r="U72" s="19">
        <v>1</v>
      </c>
      <c r="V72" s="19">
        <v>1</v>
      </c>
      <c r="W72" s="19">
        <v>1</v>
      </c>
      <c r="X72" s="22"/>
      <c r="Y72" s="19"/>
      <c r="Z72" s="19"/>
      <c r="AA72" s="19"/>
      <c r="AB72" s="19">
        <v>1</v>
      </c>
      <c r="AC72" s="19">
        <v>1</v>
      </c>
      <c r="AD72" s="19">
        <v>1</v>
      </c>
      <c r="AE72" s="22"/>
      <c r="AF72" s="19"/>
      <c r="AG72" s="19"/>
      <c r="AH72" s="19"/>
      <c r="AI72" s="19">
        <v>1</v>
      </c>
      <c r="AJ72" s="19">
        <v>1</v>
      </c>
      <c r="AK72" s="19">
        <v>1</v>
      </c>
      <c r="AL72" s="22"/>
      <c r="AM72" s="19"/>
      <c r="AN72" s="19"/>
      <c r="AO72" s="19"/>
      <c r="AP72" s="19">
        <v>1</v>
      </c>
      <c r="AQ72" s="19">
        <v>1</v>
      </c>
      <c r="AR72" s="19">
        <v>1</v>
      </c>
      <c r="AS72" s="22"/>
      <c r="AT72" s="19"/>
      <c r="AU72" s="19"/>
      <c r="AV72" s="19"/>
      <c r="AW72" s="19">
        <v>1</v>
      </c>
      <c r="AX72" s="19">
        <f>SUM(T72:AW72)</f>
        <v>13</v>
      </c>
      <c r="AY72" s="20"/>
      <c r="AZ72" s="19"/>
      <c r="BA72" s="20"/>
      <c r="BB72" s="49"/>
    </row>
    <row r="73" spans="1:54" ht="13.5" customHeight="1" x14ac:dyDescent="0.2">
      <c r="A73" s="104" t="s">
        <v>618</v>
      </c>
      <c r="B73" s="86" t="s">
        <v>104</v>
      </c>
      <c r="C73" s="26" t="s">
        <v>461</v>
      </c>
      <c r="D73" s="35" t="s">
        <v>462</v>
      </c>
      <c r="E73" s="26">
        <v>237</v>
      </c>
      <c r="F73" s="26" t="s">
        <v>2226</v>
      </c>
      <c r="G73" s="35" t="s">
        <v>513</v>
      </c>
      <c r="H73" s="37">
        <v>0.5</v>
      </c>
      <c r="I73" s="37" t="s">
        <v>53</v>
      </c>
      <c r="J73" s="37">
        <v>0.5</v>
      </c>
      <c r="K73" s="37" t="s">
        <v>53</v>
      </c>
      <c r="L73" s="35" t="str">
        <f>VLOOKUP(Tabla411[[#This Row],[BTL CVE]],tblPDV[#All],13,0)</f>
        <v xml:space="preserve">ANIMAS SAUCEDO ANA CRISTINA </v>
      </c>
      <c r="M73" s="26" t="s">
        <v>503</v>
      </c>
      <c r="N73" s="26" t="s">
        <v>54</v>
      </c>
      <c r="O73" s="26" t="s">
        <v>55</v>
      </c>
      <c r="P73" s="26" t="s">
        <v>55</v>
      </c>
      <c r="Q73" s="26" t="s">
        <v>50</v>
      </c>
      <c r="R73" s="38">
        <v>46113</v>
      </c>
      <c r="S73" s="38">
        <v>46142</v>
      </c>
      <c r="T73" s="19">
        <v>1</v>
      </c>
      <c r="U73" s="19"/>
      <c r="V73" s="19"/>
      <c r="W73" s="19"/>
      <c r="X73" s="22"/>
      <c r="Y73" s="19">
        <v>1</v>
      </c>
      <c r="Z73" s="19">
        <v>1</v>
      </c>
      <c r="AA73" s="19">
        <v>1</v>
      </c>
      <c r="AB73" s="19"/>
      <c r="AC73" s="19"/>
      <c r="AD73" s="19"/>
      <c r="AE73" s="22"/>
      <c r="AF73" s="19">
        <v>1</v>
      </c>
      <c r="AG73" s="19">
        <v>1</v>
      </c>
      <c r="AH73" s="19">
        <v>1</v>
      </c>
      <c r="AI73" s="19"/>
      <c r="AJ73" s="19"/>
      <c r="AK73" s="19"/>
      <c r="AL73" s="22"/>
      <c r="AM73" s="19">
        <v>1</v>
      </c>
      <c r="AN73" s="19">
        <v>1</v>
      </c>
      <c r="AO73" s="19">
        <v>1</v>
      </c>
      <c r="AP73" s="19"/>
      <c r="AQ73" s="19"/>
      <c r="AR73" s="19"/>
      <c r="AS73" s="22"/>
      <c r="AT73" s="19">
        <v>1</v>
      </c>
      <c r="AU73" s="19">
        <v>1</v>
      </c>
      <c r="AV73" s="19">
        <v>1</v>
      </c>
      <c r="AW73" s="19"/>
      <c r="AX73" s="19">
        <f>SUM(T73:AW73)</f>
        <v>13</v>
      </c>
      <c r="AY73" s="20"/>
      <c r="AZ73" s="19"/>
      <c r="BA73" s="20"/>
      <c r="BB73" s="49"/>
    </row>
    <row r="74" spans="1:54" ht="13.5" customHeight="1" x14ac:dyDescent="0.2">
      <c r="A74" s="104" t="s">
        <v>617</v>
      </c>
      <c r="B74" s="86" t="s">
        <v>104</v>
      </c>
      <c r="C74" s="26" t="s">
        <v>478</v>
      </c>
      <c r="D74" s="35" t="s">
        <v>479</v>
      </c>
      <c r="E74" s="26">
        <v>237</v>
      </c>
      <c r="F74" s="26" t="s">
        <v>2226</v>
      </c>
      <c r="G74" s="35" t="s">
        <v>513</v>
      </c>
      <c r="H74" s="37">
        <v>0.5</v>
      </c>
      <c r="I74" s="37" t="s">
        <v>53</v>
      </c>
      <c r="J74" s="37">
        <v>0.5</v>
      </c>
      <c r="K74" s="37" t="s">
        <v>53</v>
      </c>
      <c r="L74" s="35" t="str">
        <f>VLOOKUP(Tabla411[[#This Row],[BTL CVE]],tblPDV[#All],13,0)</f>
        <v xml:space="preserve">ANIMAS SAUCEDO ANA CRISTINA </v>
      </c>
      <c r="M74" s="26" t="s">
        <v>503</v>
      </c>
      <c r="N74" s="26" t="s">
        <v>54</v>
      </c>
      <c r="O74" s="26" t="s">
        <v>66</v>
      </c>
      <c r="P74" s="26" t="s">
        <v>66</v>
      </c>
      <c r="Q74" s="26" t="s">
        <v>50</v>
      </c>
      <c r="R74" s="38">
        <v>46113</v>
      </c>
      <c r="S74" s="38">
        <v>46142</v>
      </c>
      <c r="T74" s="19"/>
      <c r="U74" s="19">
        <v>1</v>
      </c>
      <c r="V74" s="19">
        <v>1</v>
      </c>
      <c r="W74" s="19">
        <v>1</v>
      </c>
      <c r="X74" s="22"/>
      <c r="Y74" s="19"/>
      <c r="Z74" s="19"/>
      <c r="AA74" s="19"/>
      <c r="AB74" s="19">
        <v>1</v>
      </c>
      <c r="AC74" s="19">
        <v>1</v>
      </c>
      <c r="AD74" s="19">
        <v>1</v>
      </c>
      <c r="AE74" s="22"/>
      <c r="AF74" s="19"/>
      <c r="AG74" s="19"/>
      <c r="AH74" s="19"/>
      <c r="AI74" s="19">
        <v>1</v>
      </c>
      <c r="AJ74" s="19">
        <v>1</v>
      </c>
      <c r="AK74" s="19">
        <v>1</v>
      </c>
      <c r="AL74" s="22"/>
      <c r="AM74" s="19"/>
      <c r="AN74" s="19"/>
      <c r="AO74" s="19"/>
      <c r="AP74" s="19">
        <v>1</v>
      </c>
      <c r="AQ74" s="19">
        <v>1</v>
      </c>
      <c r="AR74" s="19">
        <v>1</v>
      </c>
      <c r="AS74" s="22"/>
      <c r="AT74" s="19"/>
      <c r="AU74" s="19"/>
      <c r="AV74" s="19"/>
      <c r="AW74" s="19">
        <v>1</v>
      </c>
      <c r="AX74" s="19">
        <f>SUM(T74:AW74)</f>
        <v>13</v>
      </c>
      <c r="AY74" s="20"/>
      <c r="AZ74" s="19"/>
      <c r="BA74" s="20"/>
      <c r="BB74" s="49"/>
    </row>
    <row r="75" spans="1:54" ht="13.5" customHeight="1" x14ac:dyDescent="0.2">
      <c r="A75" s="104" t="s">
        <v>622</v>
      </c>
      <c r="B75" s="86" t="s">
        <v>104</v>
      </c>
      <c r="C75" s="26" t="s">
        <v>194</v>
      </c>
      <c r="D75" s="35" t="s">
        <v>195</v>
      </c>
      <c r="E75" s="26">
        <v>48</v>
      </c>
      <c r="F75" s="26" t="s">
        <v>2143</v>
      </c>
      <c r="G75" s="35" t="s">
        <v>1999</v>
      </c>
      <c r="H75" s="37">
        <v>0.5</v>
      </c>
      <c r="I75" s="37" t="s">
        <v>53</v>
      </c>
      <c r="J75" s="37">
        <v>0.5</v>
      </c>
      <c r="K75" s="37" t="s">
        <v>53</v>
      </c>
      <c r="L75" s="35" t="str">
        <f>VLOOKUP(Tabla411[[#This Row],[BTL CVE]],tblPDV[#All],13,0)</f>
        <v xml:space="preserve">LOPEZ ESTRADA SILVIA BERENICE </v>
      </c>
      <c r="M75" s="26" t="s">
        <v>502</v>
      </c>
      <c r="N75" s="26" t="s">
        <v>54</v>
      </c>
      <c r="O75" s="26" t="s">
        <v>66</v>
      </c>
      <c r="P75" s="26" t="s">
        <v>66</v>
      </c>
      <c r="Q75" s="26" t="s">
        <v>50</v>
      </c>
      <c r="R75" s="38">
        <v>46113</v>
      </c>
      <c r="S75" s="38">
        <v>46142</v>
      </c>
      <c r="T75" s="19"/>
      <c r="U75" s="19">
        <v>1</v>
      </c>
      <c r="V75" s="19">
        <v>1</v>
      </c>
      <c r="W75" s="19">
        <v>1</v>
      </c>
      <c r="X75" s="22"/>
      <c r="Y75" s="19"/>
      <c r="Z75" s="19"/>
      <c r="AA75" s="19"/>
      <c r="AB75" s="19">
        <v>1</v>
      </c>
      <c r="AC75" s="19">
        <v>1</v>
      </c>
      <c r="AD75" s="19">
        <v>1</v>
      </c>
      <c r="AE75" s="22"/>
      <c r="AF75" s="19"/>
      <c r="AG75" s="19"/>
      <c r="AH75" s="19"/>
      <c r="AI75" s="19">
        <v>1</v>
      </c>
      <c r="AJ75" s="19">
        <v>1</v>
      </c>
      <c r="AK75" s="19">
        <v>1</v>
      </c>
      <c r="AL75" s="22"/>
      <c r="AM75" s="19"/>
      <c r="AN75" s="19"/>
      <c r="AO75" s="19"/>
      <c r="AP75" s="19">
        <v>1</v>
      </c>
      <c r="AQ75" s="19">
        <v>1</v>
      </c>
      <c r="AR75" s="19">
        <v>1</v>
      </c>
      <c r="AS75" s="22"/>
      <c r="AT75" s="19"/>
      <c r="AU75" s="19"/>
      <c r="AV75" s="19"/>
      <c r="AW75" s="19">
        <v>1</v>
      </c>
      <c r="AX75" s="19">
        <f>SUM(T75:AW75)</f>
        <v>13</v>
      </c>
      <c r="AY75" s="20"/>
      <c r="AZ75" s="19"/>
      <c r="BA75" s="20"/>
      <c r="BB75" s="49"/>
    </row>
    <row r="76" spans="1:54" ht="13.5" customHeight="1" x14ac:dyDescent="0.2">
      <c r="A76" s="121" t="s">
        <v>637</v>
      </c>
      <c r="B76" s="112" t="s">
        <v>104</v>
      </c>
      <c r="C76" s="88" t="s">
        <v>432</v>
      </c>
      <c r="D76" s="89" t="s">
        <v>433</v>
      </c>
      <c r="E76" s="90">
        <v>112</v>
      </c>
      <c r="F76" s="90" t="s">
        <v>2174</v>
      </c>
      <c r="G76" s="87" t="s">
        <v>2020</v>
      </c>
      <c r="H76" s="37"/>
      <c r="I76" s="26"/>
      <c r="J76" s="37">
        <v>0.5</v>
      </c>
      <c r="K76" s="37" t="s">
        <v>53</v>
      </c>
      <c r="L76" s="91" t="str">
        <f>VLOOKUP(Tabla411[[#This Row],[BTL CVE]],tblPDV[#All],13,0)</f>
        <v>MONTAGNER OLIVARES MIGUEL ANGEL</v>
      </c>
      <c r="M76" s="26" t="s">
        <v>536</v>
      </c>
      <c r="N76" s="88"/>
      <c r="O76" s="88"/>
      <c r="P76" s="26" t="s">
        <v>49</v>
      </c>
      <c r="Q76" s="26" t="s">
        <v>50</v>
      </c>
      <c r="R76" s="93">
        <v>46113</v>
      </c>
      <c r="S76" s="93">
        <v>46142</v>
      </c>
      <c r="T76" s="19">
        <v>1</v>
      </c>
      <c r="U76" s="19">
        <v>1</v>
      </c>
      <c r="V76" s="19">
        <v>1</v>
      </c>
      <c r="W76" s="19">
        <v>1</v>
      </c>
      <c r="X76" s="22"/>
      <c r="Y76" s="19">
        <v>1</v>
      </c>
      <c r="Z76" s="19">
        <v>1</v>
      </c>
      <c r="AA76" s="19">
        <v>1</v>
      </c>
      <c r="AB76" s="19">
        <v>1</v>
      </c>
      <c r="AC76" s="19">
        <v>1</v>
      </c>
      <c r="AD76" s="19">
        <v>1</v>
      </c>
      <c r="AE76" s="22"/>
      <c r="AF76" s="19">
        <v>1</v>
      </c>
      <c r="AG76" s="19">
        <v>1</v>
      </c>
      <c r="AH76" s="19">
        <v>1</v>
      </c>
      <c r="AI76" s="19">
        <v>1</v>
      </c>
      <c r="AJ76" s="19">
        <v>1</v>
      </c>
      <c r="AK76" s="19">
        <v>1</v>
      </c>
      <c r="AL76" s="22"/>
      <c r="AM76" s="19">
        <v>1</v>
      </c>
      <c r="AN76" s="19">
        <v>1</v>
      </c>
      <c r="AO76" s="19">
        <v>1</v>
      </c>
      <c r="AP76" s="19">
        <v>1</v>
      </c>
      <c r="AQ76" s="19">
        <v>1</v>
      </c>
      <c r="AR76" s="19">
        <v>1</v>
      </c>
      <c r="AS76" s="22"/>
      <c r="AT76" s="19">
        <v>1</v>
      </c>
      <c r="AU76" s="19">
        <v>1</v>
      </c>
      <c r="AV76" s="19">
        <v>1</v>
      </c>
      <c r="AW76" s="19">
        <v>1</v>
      </c>
      <c r="AX76" s="95">
        <f>SUM(T76:AW76)</f>
        <v>26</v>
      </c>
      <c r="AY76" s="20"/>
      <c r="AZ76" s="96"/>
      <c r="BA76" s="20"/>
      <c r="BB76" s="97" t="s">
        <v>2385</v>
      </c>
    </row>
    <row r="77" spans="1:54" ht="13.5" customHeight="1" x14ac:dyDescent="0.2">
      <c r="A77" s="104" t="s">
        <v>621</v>
      </c>
      <c r="B77" s="86" t="s">
        <v>104</v>
      </c>
      <c r="C77" s="26" t="s">
        <v>192</v>
      </c>
      <c r="D77" s="35" t="s">
        <v>193</v>
      </c>
      <c r="E77" s="26">
        <v>48</v>
      </c>
      <c r="F77" s="26" t="s">
        <v>2143</v>
      </c>
      <c r="G77" s="35" t="s">
        <v>1999</v>
      </c>
      <c r="H77" s="37">
        <v>0.5</v>
      </c>
      <c r="I77" s="37" t="s">
        <v>53</v>
      </c>
      <c r="J77" s="37">
        <v>0.5</v>
      </c>
      <c r="K77" s="37" t="s">
        <v>53</v>
      </c>
      <c r="L77" s="35" t="str">
        <f>VLOOKUP(Tabla411[[#This Row],[BTL CVE]],tblPDV[#All],13,0)</f>
        <v xml:space="preserve">LOPEZ ESTRADA SILVIA BERENICE </v>
      </c>
      <c r="M77" s="26" t="s">
        <v>502</v>
      </c>
      <c r="N77" s="26" t="s">
        <v>54</v>
      </c>
      <c r="O77" s="26" t="s">
        <v>55</v>
      </c>
      <c r="P77" s="26" t="s">
        <v>55</v>
      </c>
      <c r="Q77" s="26" t="s">
        <v>50</v>
      </c>
      <c r="R77" s="38">
        <v>46113</v>
      </c>
      <c r="S77" s="38">
        <v>46142</v>
      </c>
      <c r="T77" s="19">
        <v>1</v>
      </c>
      <c r="U77" s="19"/>
      <c r="V77" s="19"/>
      <c r="W77" s="19"/>
      <c r="X77" s="22"/>
      <c r="Y77" s="19">
        <v>1</v>
      </c>
      <c r="Z77" s="19">
        <v>1</v>
      </c>
      <c r="AA77" s="19">
        <v>1</v>
      </c>
      <c r="AB77" s="19"/>
      <c r="AC77" s="19"/>
      <c r="AD77" s="19"/>
      <c r="AE77" s="22"/>
      <c r="AF77" s="19">
        <v>1</v>
      </c>
      <c r="AG77" s="19">
        <v>1</v>
      </c>
      <c r="AH77" s="19">
        <v>1</v>
      </c>
      <c r="AI77" s="19"/>
      <c r="AJ77" s="19"/>
      <c r="AK77" s="19"/>
      <c r="AL77" s="22"/>
      <c r="AM77" s="19">
        <v>1</v>
      </c>
      <c r="AN77" s="19">
        <v>1</v>
      </c>
      <c r="AO77" s="19">
        <v>1</v>
      </c>
      <c r="AP77" s="19"/>
      <c r="AQ77" s="19"/>
      <c r="AR77" s="19"/>
      <c r="AS77" s="22"/>
      <c r="AT77" s="19">
        <v>1</v>
      </c>
      <c r="AU77" s="19">
        <v>1</v>
      </c>
      <c r="AV77" s="19">
        <v>1</v>
      </c>
      <c r="AW77" s="19"/>
      <c r="AX77" s="19">
        <f>SUM(T77:AW77)</f>
        <v>13</v>
      </c>
      <c r="AY77" s="20"/>
      <c r="AZ77" s="19"/>
      <c r="BA77" s="20"/>
      <c r="BB77" s="49"/>
    </row>
    <row r="78" spans="1:54" ht="13.5" customHeight="1" x14ac:dyDescent="0.2">
      <c r="A78" s="104" t="s">
        <v>608</v>
      </c>
      <c r="B78" s="86" t="s">
        <v>104</v>
      </c>
      <c r="C78" s="26" t="s">
        <v>164</v>
      </c>
      <c r="D78" s="35" t="s">
        <v>165</v>
      </c>
      <c r="E78" s="26">
        <v>109</v>
      </c>
      <c r="F78" s="26" t="s">
        <v>2172</v>
      </c>
      <c r="G78" s="35" t="s">
        <v>2000</v>
      </c>
      <c r="H78" s="37">
        <v>0.5</v>
      </c>
      <c r="I78" s="37" t="s">
        <v>53</v>
      </c>
      <c r="J78" s="37">
        <v>0.5</v>
      </c>
      <c r="K78" s="37" t="s">
        <v>53</v>
      </c>
      <c r="L78" s="35" t="str">
        <f>VLOOKUP(Tabla411[[#This Row],[BTL CVE]],tblPDV[#All],13,0)</f>
        <v xml:space="preserve">AGUIRRE CAMACHO ATZIN SUSANA </v>
      </c>
      <c r="M78" s="26" t="s">
        <v>536</v>
      </c>
      <c r="N78" s="26" t="s">
        <v>54</v>
      </c>
      <c r="O78" s="26" t="s">
        <v>55</v>
      </c>
      <c r="P78" s="26" t="s">
        <v>55</v>
      </c>
      <c r="Q78" s="26" t="s">
        <v>50</v>
      </c>
      <c r="R78" s="38">
        <v>46113</v>
      </c>
      <c r="S78" s="38">
        <v>46142</v>
      </c>
      <c r="T78" s="19">
        <v>1</v>
      </c>
      <c r="U78" s="19"/>
      <c r="V78" s="19"/>
      <c r="W78" s="19"/>
      <c r="X78" s="22"/>
      <c r="Y78" s="19">
        <v>1</v>
      </c>
      <c r="Z78" s="19">
        <v>1</v>
      </c>
      <c r="AA78" s="19">
        <v>1</v>
      </c>
      <c r="AB78" s="19"/>
      <c r="AC78" s="19"/>
      <c r="AD78" s="19"/>
      <c r="AE78" s="22"/>
      <c r="AF78" s="19">
        <v>1</v>
      </c>
      <c r="AG78" s="19">
        <v>1</v>
      </c>
      <c r="AH78" s="19">
        <v>1</v>
      </c>
      <c r="AI78" s="19"/>
      <c r="AJ78" s="19"/>
      <c r="AK78" s="19"/>
      <c r="AL78" s="22"/>
      <c r="AM78" s="19">
        <v>1</v>
      </c>
      <c r="AN78" s="19">
        <v>1</v>
      </c>
      <c r="AO78" s="19">
        <v>1</v>
      </c>
      <c r="AP78" s="19"/>
      <c r="AQ78" s="19"/>
      <c r="AR78" s="19"/>
      <c r="AS78" s="22"/>
      <c r="AT78" s="19">
        <v>1</v>
      </c>
      <c r="AU78" s="19">
        <v>1</v>
      </c>
      <c r="AV78" s="19">
        <v>1</v>
      </c>
      <c r="AW78" s="19"/>
      <c r="AX78" s="19">
        <f>SUM(T78:AW78)</f>
        <v>13</v>
      </c>
      <c r="AY78" s="20"/>
      <c r="AZ78" s="19"/>
      <c r="BA78" s="20"/>
      <c r="BB78" s="49"/>
    </row>
    <row r="79" spans="1:54" ht="13.5" customHeight="1" x14ac:dyDescent="0.2">
      <c r="A79" s="104" t="s">
        <v>789</v>
      </c>
      <c r="B79" s="86" t="s">
        <v>104</v>
      </c>
      <c r="C79" s="26" t="s">
        <v>198</v>
      </c>
      <c r="D79" s="35" t="s">
        <v>199</v>
      </c>
      <c r="E79" s="26">
        <v>109</v>
      </c>
      <c r="F79" s="26" t="s">
        <v>2172</v>
      </c>
      <c r="G79" s="35" t="s">
        <v>2000</v>
      </c>
      <c r="H79" s="37">
        <v>0.5</v>
      </c>
      <c r="I79" s="37" t="s">
        <v>53</v>
      </c>
      <c r="J79" s="37">
        <v>0.5</v>
      </c>
      <c r="K79" s="37" t="s">
        <v>53</v>
      </c>
      <c r="L79" s="35" t="str">
        <f>VLOOKUP(Tabla411[[#This Row],[BTL CVE]],tblPDV[#All],13,0)</f>
        <v xml:space="preserve">AGUIRRE CAMACHO ATZIN SUSANA </v>
      </c>
      <c r="M79" s="26" t="s">
        <v>536</v>
      </c>
      <c r="N79" s="26" t="s">
        <v>54</v>
      </c>
      <c r="O79" s="26" t="s">
        <v>66</v>
      </c>
      <c r="P79" s="26" t="s">
        <v>66</v>
      </c>
      <c r="Q79" s="26" t="s">
        <v>50</v>
      </c>
      <c r="R79" s="38">
        <v>46113</v>
      </c>
      <c r="S79" s="38">
        <v>46142</v>
      </c>
      <c r="T79" s="19"/>
      <c r="U79" s="19">
        <v>1</v>
      </c>
      <c r="V79" s="19">
        <v>1</v>
      </c>
      <c r="W79" s="19">
        <v>1</v>
      </c>
      <c r="X79" s="22"/>
      <c r="Y79" s="19"/>
      <c r="Z79" s="19"/>
      <c r="AA79" s="19"/>
      <c r="AB79" s="19">
        <v>1</v>
      </c>
      <c r="AC79" s="19">
        <v>1</v>
      </c>
      <c r="AD79" s="19">
        <v>1</v>
      </c>
      <c r="AE79" s="22"/>
      <c r="AF79" s="19"/>
      <c r="AG79" s="19"/>
      <c r="AH79" s="19"/>
      <c r="AI79" s="19">
        <v>1</v>
      </c>
      <c r="AJ79" s="19">
        <v>1</v>
      </c>
      <c r="AK79" s="19">
        <v>1</v>
      </c>
      <c r="AL79" s="22"/>
      <c r="AM79" s="19"/>
      <c r="AN79" s="19"/>
      <c r="AO79" s="19"/>
      <c r="AP79" s="19">
        <v>1</v>
      </c>
      <c r="AQ79" s="19">
        <v>1</v>
      </c>
      <c r="AR79" s="19">
        <v>1</v>
      </c>
      <c r="AS79" s="22"/>
      <c r="AT79" s="19"/>
      <c r="AU79" s="19"/>
      <c r="AV79" s="19"/>
      <c r="AW79" s="19">
        <v>1</v>
      </c>
      <c r="AX79" s="19">
        <f>SUM(T79:AW79)</f>
        <v>13</v>
      </c>
      <c r="AY79" s="20"/>
      <c r="AZ79" s="19"/>
      <c r="BA79" s="20"/>
      <c r="BB79" s="49"/>
    </row>
    <row r="80" spans="1:54" ht="13.5" customHeight="1" x14ac:dyDescent="0.2">
      <c r="A80" s="104" t="s">
        <v>624</v>
      </c>
      <c r="B80" s="86" t="s">
        <v>104</v>
      </c>
      <c r="C80" s="26" t="s">
        <v>203</v>
      </c>
      <c r="D80" s="35" t="s">
        <v>204</v>
      </c>
      <c r="E80" s="26">
        <v>457</v>
      </c>
      <c r="F80" s="26" t="s">
        <v>2294</v>
      </c>
      <c r="G80" s="35" t="s">
        <v>202</v>
      </c>
      <c r="H80" s="37">
        <v>0.5</v>
      </c>
      <c r="I80" s="37" t="s">
        <v>53</v>
      </c>
      <c r="J80" s="37">
        <v>0.5</v>
      </c>
      <c r="K80" s="37" t="s">
        <v>53</v>
      </c>
      <c r="L80" s="35" t="str">
        <f>VLOOKUP(Tabla411[[#This Row],[BTL CVE]],tblPDV[#All],13,0)</f>
        <v xml:space="preserve">GUTIERREZ ROMERO MARUJA BETTY </v>
      </c>
      <c r="M80" s="26" t="s">
        <v>502</v>
      </c>
      <c r="N80" s="26" t="s">
        <v>54</v>
      </c>
      <c r="O80" s="26" t="s">
        <v>66</v>
      </c>
      <c r="P80" s="26" t="s">
        <v>66</v>
      </c>
      <c r="Q80" s="26" t="s">
        <v>50</v>
      </c>
      <c r="R80" s="38">
        <v>46113</v>
      </c>
      <c r="S80" s="38">
        <v>46142</v>
      </c>
      <c r="T80" s="19"/>
      <c r="U80" s="19">
        <v>1</v>
      </c>
      <c r="V80" s="19">
        <v>1</v>
      </c>
      <c r="W80" s="19">
        <v>1</v>
      </c>
      <c r="X80" s="22"/>
      <c r="Y80" s="19"/>
      <c r="Z80" s="19"/>
      <c r="AA80" s="19"/>
      <c r="AB80" s="19">
        <v>1</v>
      </c>
      <c r="AC80" s="19">
        <v>1</v>
      </c>
      <c r="AD80" s="19">
        <v>1</v>
      </c>
      <c r="AE80" s="22"/>
      <c r="AF80" s="19"/>
      <c r="AG80" s="19"/>
      <c r="AH80" s="19"/>
      <c r="AI80" s="19">
        <v>1</v>
      </c>
      <c r="AJ80" s="19">
        <v>1</v>
      </c>
      <c r="AK80" s="19">
        <v>1</v>
      </c>
      <c r="AL80" s="22"/>
      <c r="AM80" s="19"/>
      <c r="AN80" s="19"/>
      <c r="AO80" s="19"/>
      <c r="AP80" s="19">
        <v>1</v>
      </c>
      <c r="AQ80" s="19">
        <v>1</v>
      </c>
      <c r="AR80" s="19">
        <v>1</v>
      </c>
      <c r="AS80" s="22"/>
      <c r="AT80" s="19"/>
      <c r="AU80" s="19"/>
      <c r="AV80" s="19"/>
      <c r="AW80" s="19">
        <v>1</v>
      </c>
      <c r="AX80" s="19">
        <f>SUM(T80:AW80)</f>
        <v>13</v>
      </c>
      <c r="AY80" s="20"/>
      <c r="AZ80" s="19"/>
      <c r="BA80" s="20"/>
      <c r="BB80" s="49"/>
    </row>
    <row r="81" spans="1:54" ht="13.5" customHeight="1" x14ac:dyDescent="0.2">
      <c r="A81" s="104" t="s">
        <v>623</v>
      </c>
      <c r="B81" s="86" t="s">
        <v>104</v>
      </c>
      <c r="C81" s="26" t="s">
        <v>200</v>
      </c>
      <c r="D81" s="35" t="s">
        <v>201</v>
      </c>
      <c r="E81" s="26">
        <v>457</v>
      </c>
      <c r="F81" s="26" t="s">
        <v>2294</v>
      </c>
      <c r="G81" s="35" t="s">
        <v>202</v>
      </c>
      <c r="H81" s="37">
        <v>0.5</v>
      </c>
      <c r="I81" s="37" t="s">
        <v>53</v>
      </c>
      <c r="J81" s="37">
        <v>0.5</v>
      </c>
      <c r="K81" s="37" t="s">
        <v>53</v>
      </c>
      <c r="L81" s="35" t="str">
        <f>VLOOKUP(Tabla411[[#This Row],[BTL CVE]],tblPDV[#All],13,0)</f>
        <v xml:space="preserve">GUTIERREZ ROMERO MARUJA BETTY </v>
      </c>
      <c r="M81" s="26" t="s">
        <v>502</v>
      </c>
      <c r="N81" s="26" t="s">
        <v>54</v>
      </c>
      <c r="O81" s="26" t="s">
        <v>55</v>
      </c>
      <c r="P81" s="26" t="s">
        <v>55</v>
      </c>
      <c r="Q81" s="26" t="s">
        <v>50</v>
      </c>
      <c r="R81" s="38">
        <v>46113</v>
      </c>
      <c r="S81" s="38">
        <v>46142</v>
      </c>
      <c r="T81" s="19">
        <v>1</v>
      </c>
      <c r="U81" s="19"/>
      <c r="V81" s="19"/>
      <c r="W81" s="19"/>
      <c r="X81" s="22"/>
      <c r="Y81" s="19">
        <v>1</v>
      </c>
      <c r="Z81" s="19">
        <v>1</v>
      </c>
      <c r="AA81" s="19">
        <v>1</v>
      </c>
      <c r="AB81" s="19"/>
      <c r="AC81" s="19"/>
      <c r="AD81" s="19"/>
      <c r="AE81" s="22"/>
      <c r="AF81" s="19">
        <v>1</v>
      </c>
      <c r="AG81" s="19">
        <v>1</v>
      </c>
      <c r="AH81" s="19">
        <v>1</v>
      </c>
      <c r="AI81" s="19"/>
      <c r="AJ81" s="19"/>
      <c r="AK81" s="19"/>
      <c r="AL81" s="22"/>
      <c r="AM81" s="19">
        <v>1</v>
      </c>
      <c r="AN81" s="19">
        <v>1</v>
      </c>
      <c r="AO81" s="19">
        <v>1</v>
      </c>
      <c r="AP81" s="19"/>
      <c r="AQ81" s="19"/>
      <c r="AR81" s="19"/>
      <c r="AS81" s="22"/>
      <c r="AT81" s="19">
        <v>1</v>
      </c>
      <c r="AU81" s="19">
        <v>1</v>
      </c>
      <c r="AV81" s="19">
        <v>1</v>
      </c>
      <c r="AW81" s="19"/>
      <c r="AX81" s="19">
        <f>SUM(T81:AW81)</f>
        <v>13</v>
      </c>
      <c r="AY81" s="20"/>
      <c r="AZ81" s="19"/>
      <c r="BA81" s="20"/>
      <c r="BB81" s="49"/>
    </row>
    <row r="82" spans="1:54" ht="13.5" customHeight="1" x14ac:dyDescent="0.2">
      <c r="A82" s="104" t="s">
        <v>790</v>
      </c>
      <c r="B82" s="86" t="s">
        <v>104</v>
      </c>
      <c r="C82" s="26" t="s">
        <v>469</v>
      </c>
      <c r="D82" s="35" t="s">
        <v>470</v>
      </c>
      <c r="E82" s="26"/>
      <c r="F82" s="26"/>
      <c r="G82" s="35" t="s">
        <v>2098</v>
      </c>
      <c r="H82" s="37">
        <v>0.5</v>
      </c>
      <c r="I82" s="37" t="s">
        <v>53</v>
      </c>
      <c r="J82" s="37">
        <v>0.5</v>
      </c>
      <c r="K82" s="37" t="s">
        <v>53</v>
      </c>
      <c r="L82" s="35" t="str">
        <f>VLOOKUP(Tabla411[[#This Row],[BTL CVE]],tblPDV[#All],13,0)</f>
        <v>ALVAREZ GARCIA ADRIANA YULISMA</v>
      </c>
      <c r="M82" s="26" t="s">
        <v>503</v>
      </c>
      <c r="N82" s="26" t="s">
        <v>54</v>
      </c>
      <c r="O82" s="37" t="s">
        <v>55</v>
      </c>
      <c r="P82" s="130" t="s">
        <v>55</v>
      </c>
      <c r="Q82" s="26" t="s">
        <v>50</v>
      </c>
      <c r="R82" s="38">
        <v>46113</v>
      </c>
      <c r="S82" s="38">
        <v>46142</v>
      </c>
      <c r="T82" s="19">
        <v>1</v>
      </c>
      <c r="U82" s="19"/>
      <c r="V82" s="19"/>
      <c r="W82" s="19"/>
      <c r="X82" s="22"/>
      <c r="Y82" s="19">
        <v>1</v>
      </c>
      <c r="Z82" s="19">
        <v>1</v>
      </c>
      <c r="AA82" s="19">
        <v>1</v>
      </c>
      <c r="AB82" s="19"/>
      <c r="AC82" s="19"/>
      <c r="AD82" s="19"/>
      <c r="AE82" s="22"/>
      <c r="AF82" s="19">
        <v>1</v>
      </c>
      <c r="AG82" s="19">
        <v>1</v>
      </c>
      <c r="AH82" s="19">
        <v>1</v>
      </c>
      <c r="AI82" s="19"/>
      <c r="AJ82" s="19"/>
      <c r="AK82" s="19"/>
      <c r="AL82" s="22"/>
      <c r="AM82" s="19">
        <v>1</v>
      </c>
      <c r="AN82" s="19">
        <v>1</v>
      </c>
      <c r="AO82" s="19">
        <v>1</v>
      </c>
      <c r="AP82" s="19"/>
      <c r="AQ82" s="19"/>
      <c r="AR82" s="19"/>
      <c r="AS82" s="22"/>
      <c r="AT82" s="19">
        <v>1</v>
      </c>
      <c r="AU82" s="19">
        <v>1</v>
      </c>
      <c r="AV82" s="19">
        <v>1</v>
      </c>
      <c r="AW82" s="19"/>
      <c r="AX82" s="19">
        <f>SUM(T82:AW82)</f>
        <v>13</v>
      </c>
      <c r="AY82" s="20"/>
      <c r="AZ82" s="19"/>
      <c r="BA82" s="20"/>
      <c r="BB82" s="49"/>
    </row>
    <row r="83" spans="1:54" ht="13.5" customHeight="1" x14ac:dyDescent="0.2">
      <c r="A83" s="104" t="s">
        <v>633</v>
      </c>
      <c r="B83" s="86" t="s">
        <v>104</v>
      </c>
      <c r="C83" s="26" t="s">
        <v>480</v>
      </c>
      <c r="D83" s="35" t="s">
        <v>481</v>
      </c>
      <c r="E83" s="26"/>
      <c r="F83" s="26"/>
      <c r="G83" s="35" t="s">
        <v>2098</v>
      </c>
      <c r="H83" s="37">
        <v>0.5</v>
      </c>
      <c r="I83" s="37" t="s">
        <v>53</v>
      </c>
      <c r="J83" s="37">
        <v>0.5</v>
      </c>
      <c r="K83" s="37" t="s">
        <v>53</v>
      </c>
      <c r="L83" s="35" t="str">
        <f>VLOOKUP(Tabla411[[#This Row],[BTL CVE]],tblPDV[#All],13,0)</f>
        <v>ALVAREZ GARCIA ADRIANA YULISMA</v>
      </c>
      <c r="M83" s="26" t="s">
        <v>503</v>
      </c>
      <c r="N83" s="26" t="s">
        <v>54</v>
      </c>
      <c r="O83" s="37" t="s">
        <v>66</v>
      </c>
      <c r="P83" s="130" t="s">
        <v>66</v>
      </c>
      <c r="Q83" s="26" t="s">
        <v>50</v>
      </c>
      <c r="R83" s="38">
        <v>46113</v>
      </c>
      <c r="S83" s="38">
        <v>46142</v>
      </c>
      <c r="T83" s="19"/>
      <c r="U83" s="19">
        <v>1</v>
      </c>
      <c r="V83" s="19">
        <v>1</v>
      </c>
      <c r="W83" s="19">
        <v>1</v>
      </c>
      <c r="X83" s="22"/>
      <c r="Y83" s="19"/>
      <c r="Z83" s="19"/>
      <c r="AA83" s="19"/>
      <c r="AB83" s="19">
        <v>1</v>
      </c>
      <c r="AC83" s="19">
        <v>1</v>
      </c>
      <c r="AD83" s="19">
        <v>1</v>
      </c>
      <c r="AE83" s="22"/>
      <c r="AF83" s="19"/>
      <c r="AG83" s="19"/>
      <c r="AH83" s="19"/>
      <c r="AI83" s="19">
        <v>1</v>
      </c>
      <c r="AJ83" s="19">
        <v>1</v>
      </c>
      <c r="AK83" s="19">
        <v>1</v>
      </c>
      <c r="AL83" s="22"/>
      <c r="AM83" s="19"/>
      <c r="AN83" s="19"/>
      <c r="AO83" s="19"/>
      <c r="AP83" s="19">
        <v>1</v>
      </c>
      <c r="AQ83" s="19">
        <v>1</v>
      </c>
      <c r="AR83" s="19">
        <v>1</v>
      </c>
      <c r="AS83" s="22"/>
      <c r="AT83" s="19"/>
      <c r="AU83" s="19"/>
      <c r="AV83" s="19"/>
      <c r="AW83" s="19">
        <v>1</v>
      </c>
      <c r="AX83" s="19">
        <f>SUM(T83:AW83)</f>
        <v>13</v>
      </c>
      <c r="AY83" s="20"/>
      <c r="AZ83" s="19"/>
      <c r="BA83" s="20"/>
      <c r="BB83" s="49"/>
    </row>
    <row r="84" spans="1:54" ht="13.5" customHeight="1" x14ac:dyDescent="0.2">
      <c r="A84" s="104" t="s">
        <v>604</v>
      </c>
      <c r="B84" s="86" t="s">
        <v>104</v>
      </c>
      <c r="C84" s="26" t="s">
        <v>156</v>
      </c>
      <c r="D84" s="35" t="s">
        <v>157</v>
      </c>
      <c r="E84" s="26"/>
      <c r="F84" s="26"/>
      <c r="G84" s="35" t="s">
        <v>2098</v>
      </c>
      <c r="H84" s="37">
        <v>0.5</v>
      </c>
      <c r="I84" s="37" t="s">
        <v>53</v>
      </c>
      <c r="J84" s="37">
        <v>0.5</v>
      </c>
      <c r="K84" s="37" t="s">
        <v>53</v>
      </c>
      <c r="L84" s="35" t="str">
        <f>VLOOKUP(Tabla411[[#This Row],[BTL CVE]],tblPDV[#All],13,0)</f>
        <v>ALVAREZ GARCIA ADRIANA YULISMA</v>
      </c>
      <c r="M84" s="26" t="s">
        <v>503</v>
      </c>
      <c r="N84" s="26" t="s">
        <v>54</v>
      </c>
      <c r="O84" s="26" t="s">
        <v>55</v>
      </c>
      <c r="P84" s="88" t="s">
        <v>55</v>
      </c>
      <c r="Q84" s="26" t="s">
        <v>50</v>
      </c>
      <c r="R84" s="38">
        <v>46113</v>
      </c>
      <c r="S84" s="38">
        <v>46142</v>
      </c>
      <c r="T84" s="19">
        <v>1</v>
      </c>
      <c r="U84" s="19"/>
      <c r="V84" s="19"/>
      <c r="W84" s="19"/>
      <c r="X84" s="22"/>
      <c r="Y84" s="19">
        <v>1</v>
      </c>
      <c r="Z84" s="19">
        <v>1</v>
      </c>
      <c r="AA84" s="19">
        <v>1</v>
      </c>
      <c r="AB84" s="19"/>
      <c r="AC84" s="19"/>
      <c r="AD84" s="19"/>
      <c r="AE84" s="22"/>
      <c r="AF84" s="19">
        <v>1</v>
      </c>
      <c r="AG84" s="19">
        <v>1</v>
      </c>
      <c r="AH84" s="19">
        <v>1</v>
      </c>
      <c r="AI84" s="19"/>
      <c r="AJ84" s="19"/>
      <c r="AK84" s="19"/>
      <c r="AL84" s="22"/>
      <c r="AM84" s="19">
        <v>1</v>
      </c>
      <c r="AN84" s="19">
        <v>1</v>
      </c>
      <c r="AO84" s="19">
        <v>1</v>
      </c>
      <c r="AP84" s="19"/>
      <c r="AQ84" s="19"/>
      <c r="AR84" s="19"/>
      <c r="AS84" s="22"/>
      <c r="AT84" s="19">
        <v>1</v>
      </c>
      <c r="AU84" s="19">
        <v>1</v>
      </c>
      <c r="AV84" s="19">
        <v>1</v>
      </c>
      <c r="AW84" s="19"/>
      <c r="AX84" s="19">
        <f>SUM(T84:AW84)</f>
        <v>13</v>
      </c>
      <c r="AY84" s="20"/>
      <c r="AZ84" s="19"/>
      <c r="BA84" s="20"/>
      <c r="BB84" s="49"/>
    </row>
    <row r="85" spans="1:54" ht="13.5" customHeight="1" x14ac:dyDescent="0.2">
      <c r="A85" s="104" t="s">
        <v>605</v>
      </c>
      <c r="B85" s="86" t="s">
        <v>104</v>
      </c>
      <c r="C85" s="26" t="s">
        <v>158</v>
      </c>
      <c r="D85" s="35" t="s">
        <v>159</v>
      </c>
      <c r="E85" s="26"/>
      <c r="F85" s="26"/>
      <c r="G85" s="35" t="s">
        <v>2098</v>
      </c>
      <c r="H85" s="37">
        <v>0.5</v>
      </c>
      <c r="I85" s="37" t="s">
        <v>53</v>
      </c>
      <c r="J85" s="37">
        <v>0.5</v>
      </c>
      <c r="K85" s="37" t="s">
        <v>53</v>
      </c>
      <c r="L85" s="35" t="str">
        <f>VLOOKUP(Tabla411[[#This Row],[BTL CVE]],tblPDV[#All],13,0)</f>
        <v>ALVAREZ GARCIA ADRIANA YULISMA</v>
      </c>
      <c r="M85" s="26" t="s">
        <v>503</v>
      </c>
      <c r="N85" s="26" t="s">
        <v>54</v>
      </c>
      <c r="O85" s="26" t="s">
        <v>66</v>
      </c>
      <c r="P85" s="88" t="s">
        <v>66</v>
      </c>
      <c r="Q85" s="26" t="s">
        <v>50</v>
      </c>
      <c r="R85" s="38">
        <v>46113</v>
      </c>
      <c r="S85" s="38">
        <v>46142</v>
      </c>
      <c r="T85" s="19"/>
      <c r="U85" s="19">
        <v>1</v>
      </c>
      <c r="V85" s="19">
        <v>1</v>
      </c>
      <c r="W85" s="19">
        <v>1</v>
      </c>
      <c r="X85" s="22"/>
      <c r="Y85" s="19"/>
      <c r="Z85" s="19"/>
      <c r="AA85" s="19"/>
      <c r="AB85" s="19">
        <v>1</v>
      </c>
      <c r="AC85" s="19">
        <v>1</v>
      </c>
      <c r="AD85" s="19">
        <v>1</v>
      </c>
      <c r="AE85" s="22"/>
      <c r="AF85" s="19"/>
      <c r="AG85" s="19"/>
      <c r="AH85" s="19"/>
      <c r="AI85" s="19">
        <v>1</v>
      </c>
      <c r="AJ85" s="19">
        <v>1</v>
      </c>
      <c r="AK85" s="19">
        <v>1</v>
      </c>
      <c r="AL85" s="22"/>
      <c r="AM85" s="19"/>
      <c r="AN85" s="19"/>
      <c r="AO85" s="19"/>
      <c r="AP85" s="19">
        <v>1</v>
      </c>
      <c r="AQ85" s="19">
        <v>1</v>
      </c>
      <c r="AR85" s="19">
        <v>1</v>
      </c>
      <c r="AS85" s="22"/>
      <c r="AT85" s="19"/>
      <c r="AU85" s="19"/>
      <c r="AV85" s="19"/>
      <c r="AW85" s="19">
        <v>1</v>
      </c>
      <c r="AX85" s="19">
        <f>SUM(T85:AW85)</f>
        <v>13</v>
      </c>
      <c r="AY85" s="20"/>
      <c r="AZ85" s="19"/>
      <c r="BA85" s="20"/>
      <c r="BB85" s="49"/>
    </row>
    <row r="86" spans="1:54" ht="13.5" customHeight="1" x14ac:dyDescent="0.2">
      <c r="A86" s="104" t="s">
        <v>593</v>
      </c>
      <c r="B86" s="86" t="s">
        <v>104</v>
      </c>
      <c r="C86" s="26" t="s">
        <v>125</v>
      </c>
      <c r="D86" s="35" t="s">
        <v>126</v>
      </c>
      <c r="E86" s="26"/>
      <c r="F86" s="26"/>
      <c r="G86" s="35" t="s">
        <v>2098</v>
      </c>
      <c r="H86" s="37">
        <v>1</v>
      </c>
      <c r="I86" s="37" t="s">
        <v>47</v>
      </c>
      <c r="J86" s="37">
        <v>1</v>
      </c>
      <c r="K86" s="37" t="s">
        <v>47</v>
      </c>
      <c r="L86" s="35" t="str">
        <f>VLOOKUP(Tabla411[[#This Row],[BTL CVE]],tblPDV[#All],13,0)</f>
        <v xml:space="preserve">CARREÑO MONREAL MARIA TERESA </v>
      </c>
      <c r="M86" s="26" t="s">
        <v>128</v>
      </c>
      <c r="N86" s="26" t="s">
        <v>54</v>
      </c>
      <c r="O86" s="26" t="s">
        <v>49</v>
      </c>
      <c r="P86" s="88" t="s">
        <v>49</v>
      </c>
      <c r="Q86" s="26" t="s">
        <v>50</v>
      </c>
      <c r="R86" s="38">
        <v>46113</v>
      </c>
      <c r="S86" s="38">
        <v>46142</v>
      </c>
      <c r="T86" s="19">
        <v>1</v>
      </c>
      <c r="U86" s="19">
        <v>1</v>
      </c>
      <c r="V86" s="19">
        <v>1</v>
      </c>
      <c r="W86" s="19">
        <v>1</v>
      </c>
      <c r="X86" s="22"/>
      <c r="Y86" s="19">
        <v>1</v>
      </c>
      <c r="Z86" s="19">
        <v>1</v>
      </c>
      <c r="AA86" s="19">
        <v>1</v>
      </c>
      <c r="AB86" s="19">
        <v>1</v>
      </c>
      <c r="AC86" s="19">
        <v>1</v>
      </c>
      <c r="AD86" s="19">
        <v>1</v>
      </c>
      <c r="AE86" s="22"/>
      <c r="AF86" s="19">
        <v>1</v>
      </c>
      <c r="AG86" s="19">
        <v>1</v>
      </c>
      <c r="AH86" s="19">
        <v>1</v>
      </c>
      <c r="AI86" s="19">
        <v>1</v>
      </c>
      <c r="AJ86" s="19">
        <v>1</v>
      </c>
      <c r="AK86" s="19">
        <v>1</v>
      </c>
      <c r="AL86" s="22"/>
      <c r="AM86" s="19">
        <v>1</v>
      </c>
      <c r="AN86" s="19">
        <v>1</v>
      </c>
      <c r="AO86" s="19">
        <v>1</v>
      </c>
      <c r="AP86" s="19">
        <v>1</v>
      </c>
      <c r="AQ86" s="19">
        <v>1</v>
      </c>
      <c r="AR86" s="19">
        <v>1</v>
      </c>
      <c r="AS86" s="22"/>
      <c r="AT86" s="19">
        <v>1</v>
      </c>
      <c r="AU86" s="19">
        <v>1</v>
      </c>
      <c r="AV86" s="19">
        <v>1</v>
      </c>
      <c r="AW86" s="19">
        <v>1</v>
      </c>
      <c r="AX86" s="19">
        <f>SUM(T86:AW86)</f>
        <v>26</v>
      </c>
      <c r="AY86" s="20"/>
      <c r="AZ86" s="19"/>
      <c r="BA86" s="20"/>
      <c r="BB86" s="49"/>
    </row>
    <row r="87" spans="1:54" ht="13.5" customHeight="1" x14ac:dyDescent="0.2">
      <c r="A87" s="104" t="s">
        <v>585</v>
      </c>
      <c r="B87" s="86" t="s">
        <v>104</v>
      </c>
      <c r="C87" s="26" t="s">
        <v>105</v>
      </c>
      <c r="D87" s="35" t="s">
        <v>106</v>
      </c>
      <c r="E87" s="26">
        <v>439</v>
      </c>
      <c r="F87" s="26" t="s">
        <v>2287</v>
      </c>
      <c r="G87" s="35" t="s">
        <v>107</v>
      </c>
      <c r="H87" s="37">
        <v>1</v>
      </c>
      <c r="I87" s="37" t="s">
        <v>47</v>
      </c>
      <c r="J87" s="37">
        <v>1</v>
      </c>
      <c r="K87" s="37" t="s">
        <v>47</v>
      </c>
      <c r="L87" s="35" t="str">
        <f>VLOOKUP(Tabla411[[#This Row],[BTL CVE]],tblPDV[#All],13,0)</f>
        <v>FLORES SALDAÑA JAVIER</v>
      </c>
      <c r="M87" s="26" t="s">
        <v>108</v>
      </c>
      <c r="N87" s="26" t="s">
        <v>54</v>
      </c>
      <c r="O87" s="26" t="s">
        <v>49</v>
      </c>
      <c r="P87" s="26" t="s">
        <v>49</v>
      </c>
      <c r="Q87" s="26" t="s">
        <v>50</v>
      </c>
      <c r="R87" s="38">
        <v>46113</v>
      </c>
      <c r="S87" s="38">
        <v>46142</v>
      </c>
      <c r="T87" s="19">
        <v>1</v>
      </c>
      <c r="U87" s="19">
        <v>1</v>
      </c>
      <c r="V87" s="19">
        <v>1</v>
      </c>
      <c r="W87" s="19">
        <v>1</v>
      </c>
      <c r="X87" s="22"/>
      <c r="Y87" s="19">
        <v>1</v>
      </c>
      <c r="Z87" s="19">
        <v>1</v>
      </c>
      <c r="AA87" s="19">
        <v>1</v>
      </c>
      <c r="AB87" s="19">
        <v>1</v>
      </c>
      <c r="AC87" s="19">
        <v>1</v>
      </c>
      <c r="AD87" s="19">
        <v>1</v>
      </c>
      <c r="AE87" s="22"/>
      <c r="AF87" s="19">
        <v>1</v>
      </c>
      <c r="AG87" s="19">
        <v>1</v>
      </c>
      <c r="AH87" s="19">
        <v>1</v>
      </c>
      <c r="AI87" s="19">
        <v>1</v>
      </c>
      <c r="AJ87" s="19">
        <v>1</v>
      </c>
      <c r="AK87" s="19">
        <v>1</v>
      </c>
      <c r="AL87" s="22"/>
      <c r="AM87" s="19">
        <v>1</v>
      </c>
      <c r="AN87" s="19">
        <v>1</v>
      </c>
      <c r="AO87" s="19">
        <v>1</v>
      </c>
      <c r="AP87" s="19">
        <v>1</v>
      </c>
      <c r="AQ87" s="19">
        <v>1</v>
      </c>
      <c r="AR87" s="19">
        <v>1</v>
      </c>
      <c r="AS87" s="22"/>
      <c r="AT87" s="19">
        <v>1</v>
      </c>
      <c r="AU87" s="19">
        <v>1</v>
      </c>
      <c r="AV87" s="19">
        <v>1</v>
      </c>
      <c r="AW87" s="19">
        <v>1</v>
      </c>
      <c r="AX87" s="19">
        <f>SUM(T87:AW87)</f>
        <v>26</v>
      </c>
      <c r="AY87" s="20"/>
      <c r="AZ87" s="19"/>
      <c r="BA87" s="20"/>
      <c r="BB87" s="49"/>
    </row>
    <row r="88" spans="1:54" ht="13.5" customHeight="1" x14ac:dyDescent="0.2">
      <c r="A88" s="104" t="s">
        <v>625</v>
      </c>
      <c r="B88" s="105" t="s">
        <v>104</v>
      </c>
      <c r="C88" s="26" t="s">
        <v>205</v>
      </c>
      <c r="D88" s="35" t="s">
        <v>1541</v>
      </c>
      <c r="E88" s="26">
        <v>551</v>
      </c>
      <c r="F88" s="26" t="s">
        <v>2341</v>
      </c>
      <c r="G88" s="35" t="s">
        <v>1546</v>
      </c>
      <c r="H88" s="37">
        <v>1</v>
      </c>
      <c r="I88" s="37" t="s">
        <v>47</v>
      </c>
      <c r="J88" s="37">
        <v>1</v>
      </c>
      <c r="K88" s="26" t="s">
        <v>47</v>
      </c>
      <c r="L88" s="35" t="str">
        <f>VLOOKUP(Tabla411[[#This Row],[BTL CVE]],tblPDV[#All],13,0)</f>
        <v xml:space="preserve">REYES AYBAR LILIANA </v>
      </c>
      <c r="M88" s="26" t="s">
        <v>536</v>
      </c>
      <c r="N88" s="26" t="s">
        <v>54</v>
      </c>
      <c r="O88" s="26" t="s">
        <v>49</v>
      </c>
      <c r="P88" s="26" t="s">
        <v>49</v>
      </c>
      <c r="Q88" s="26" t="s">
        <v>50</v>
      </c>
      <c r="R88" s="38">
        <v>46113</v>
      </c>
      <c r="S88" s="38">
        <v>46142</v>
      </c>
      <c r="T88" s="19">
        <v>1</v>
      </c>
      <c r="U88" s="19">
        <v>1</v>
      </c>
      <c r="V88" s="19">
        <v>1</v>
      </c>
      <c r="W88" s="19">
        <v>1</v>
      </c>
      <c r="X88" s="22"/>
      <c r="Y88" s="19">
        <v>1</v>
      </c>
      <c r="Z88" s="19">
        <v>1</v>
      </c>
      <c r="AA88" s="19">
        <v>1</v>
      </c>
      <c r="AB88" s="19">
        <v>1</v>
      </c>
      <c r="AC88" s="19">
        <v>1</v>
      </c>
      <c r="AD88" s="19">
        <v>1</v>
      </c>
      <c r="AE88" s="22"/>
      <c r="AF88" s="19">
        <v>1</v>
      </c>
      <c r="AG88" s="19">
        <v>1</v>
      </c>
      <c r="AH88" s="19">
        <v>1</v>
      </c>
      <c r="AI88" s="19">
        <v>1</v>
      </c>
      <c r="AJ88" s="19">
        <v>1</v>
      </c>
      <c r="AK88" s="19">
        <v>1</v>
      </c>
      <c r="AL88" s="22"/>
      <c r="AM88" s="19">
        <v>1</v>
      </c>
      <c r="AN88" s="19">
        <v>1</v>
      </c>
      <c r="AO88" s="19">
        <v>1</v>
      </c>
      <c r="AP88" s="19">
        <v>1</v>
      </c>
      <c r="AQ88" s="19">
        <v>1</v>
      </c>
      <c r="AR88" s="19">
        <v>1</v>
      </c>
      <c r="AS88" s="22"/>
      <c r="AT88" s="19">
        <v>1</v>
      </c>
      <c r="AU88" s="19">
        <v>1</v>
      </c>
      <c r="AV88" s="19">
        <v>1</v>
      </c>
      <c r="AW88" s="19">
        <v>1</v>
      </c>
      <c r="AX88" s="19">
        <f>SUM(T88:AW88)</f>
        <v>26</v>
      </c>
      <c r="AY88" s="20"/>
      <c r="AZ88" s="19"/>
      <c r="BA88" s="20"/>
      <c r="BB88" s="49"/>
    </row>
    <row r="89" spans="1:54" ht="13.5" customHeight="1" x14ac:dyDescent="0.2">
      <c r="A89" s="104" t="s">
        <v>626</v>
      </c>
      <c r="B89" s="86" t="s">
        <v>104</v>
      </c>
      <c r="C89" s="26" t="s">
        <v>209</v>
      </c>
      <c r="D89" s="35" t="s">
        <v>210</v>
      </c>
      <c r="E89" s="26">
        <v>337</v>
      </c>
      <c r="F89" s="26" t="s">
        <v>2257</v>
      </c>
      <c r="G89" s="35" t="s">
        <v>282</v>
      </c>
      <c r="H89" s="37">
        <v>1</v>
      </c>
      <c r="I89" s="37" t="s">
        <v>47</v>
      </c>
      <c r="J89" s="37">
        <v>1</v>
      </c>
      <c r="K89" s="37" t="s">
        <v>47</v>
      </c>
      <c r="L89" s="35" t="str">
        <f>VLOOKUP(Tabla411[[#This Row],[BTL CVE]],tblPDV[#All],13,0)</f>
        <v xml:space="preserve">REYES AYBAR LILIANA </v>
      </c>
      <c r="M89" s="26" t="s">
        <v>536</v>
      </c>
      <c r="N89" s="26" t="s">
        <v>54</v>
      </c>
      <c r="O89" s="26" t="s">
        <v>49</v>
      </c>
      <c r="P89" s="26" t="s">
        <v>49</v>
      </c>
      <c r="Q89" s="26" t="s">
        <v>50</v>
      </c>
      <c r="R89" s="38">
        <v>46113</v>
      </c>
      <c r="S89" s="38">
        <v>46142</v>
      </c>
      <c r="T89" s="19">
        <v>1</v>
      </c>
      <c r="U89" s="19">
        <v>1</v>
      </c>
      <c r="V89" s="19">
        <v>1</v>
      </c>
      <c r="W89" s="19">
        <v>1</v>
      </c>
      <c r="X89" s="22"/>
      <c r="Y89" s="19">
        <v>1</v>
      </c>
      <c r="Z89" s="19">
        <v>1</v>
      </c>
      <c r="AA89" s="19">
        <v>1</v>
      </c>
      <c r="AB89" s="19">
        <v>1</v>
      </c>
      <c r="AC89" s="19">
        <v>1</v>
      </c>
      <c r="AD89" s="19">
        <v>1</v>
      </c>
      <c r="AE89" s="22"/>
      <c r="AF89" s="19">
        <v>1</v>
      </c>
      <c r="AG89" s="19">
        <v>1</v>
      </c>
      <c r="AH89" s="19">
        <v>1</v>
      </c>
      <c r="AI89" s="19">
        <v>1</v>
      </c>
      <c r="AJ89" s="19">
        <v>1</v>
      </c>
      <c r="AK89" s="19">
        <v>1</v>
      </c>
      <c r="AL89" s="22"/>
      <c r="AM89" s="19">
        <v>1</v>
      </c>
      <c r="AN89" s="19">
        <v>1</v>
      </c>
      <c r="AO89" s="19">
        <v>1</v>
      </c>
      <c r="AP89" s="19">
        <v>1</v>
      </c>
      <c r="AQ89" s="19">
        <v>1</v>
      </c>
      <c r="AR89" s="19">
        <v>1</v>
      </c>
      <c r="AS89" s="22"/>
      <c r="AT89" s="19">
        <v>1</v>
      </c>
      <c r="AU89" s="19">
        <v>1</v>
      </c>
      <c r="AV89" s="19">
        <v>1</v>
      </c>
      <c r="AW89" s="19">
        <v>1</v>
      </c>
      <c r="AX89" s="19">
        <f>SUM(T89:AW89)</f>
        <v>26</v>
      </c>
      <c r="AY89" s="20"/>
      <c r="AZ89" s="19"/>
      <c r="BA89" s="20"/>
      <c r="BB89" s="49"/>
    </row>
    <row r="90" spans="1:54" ht="13.5" customHeight="1" x14ac:dyDescent="0.2">
      <c r="A90" s="121" t="s">
        <v>635</v>
      </c>
      <c r="B90" s="112" t="s">
        <v>104</v>
      </c>
      <c r="C90" s="88" t="s">
        <v>422</v>
      </c>
      <c r="D90" s="89" t="s">
        <v>423</v>
      </c>
      <c r="E90" s="90">
        <v>156</v>
      </c>
      <c r="F90" s="90" t="s">
        <v>2197</v>
      </c>
      <c r="G90" s="87" t="s">
        <v>527</v>
      </c>
      <c r="H90" s="37"/>
      <c r="I90" s="37"/>
      <c r="J90" s="37">
        <v>0.5</v>
      </c>
      <c r="K90" s="37" t="s">
        <v>53</v>
      </c>
      <c r="L90" s="91" t="str">
        <f>VLOOKUP(Tabla411[[#This Row],[BTL CVE]],tblPDV[#All],13,0)</f>
        <v>MONTAGNER OLIVARES MIGUEL ANGEL</v>
      </c>
      <c r="M90" s="26" t="s">
        <v>536</v>
      </c>
      <c r="N90" s="88"/>
      <c r="O90" s="88"/>
      <c r="P90" s="26" t="s">
        <v>49</v>
      </c>
      <c r="Q90" s="26" t="s">
        <v>50</v>
      </c>
      <c r="R90" s="93">
        <v>46113</v>
      </c>
      <c r="S90" s="93">
        <v>46142</v>
      </c>
      <c r="T90" s="94">
        <v>1</v>
      </c>
      <c r="U90" s="94">
        <v>1</v>
      </c>
      <c r="V90" s="94">
        <v>1</v>
      </c>
      <c r="W90" s="94">
        <v>1</v>
      </c>
      <c r="X90" s="22"/>
      <c r="Y90" s="94">
        <v>1</v>
      </c>
      <c r="Z90" s="94">
        <v>1</v>
      </c>
      <c r="AA90" s="94">
        <v>1</v>
      </c>
      <c r="AB90" s="94">
        <v>1</v>
      </c>
      <c r="AC90" s="94">
        <v>1</v>
      </c>
      <c r="AD90" s="94">
        <v>1</v>
      </c>
      <c r="AE90" s="22"/>
      <c r="AF90" s="94">
        <v>1</v>
      </c>
      <c r="AG90" s="94">
        <v>1</v>
      </c>
      <c r="AH90" s="94">
        <v>1</v>
      </c>
      <c r="AI90" s="94">
        <v>1</v>
      </c>
      <c r="AJ90" s="94">
        <v>1</v>
      </c>
      <c r="AK90" s="94">
        <v>1</v>
      </c>
      <c r="AL90" s="22"/>
      <c r="AM90" s="94">
        <v>1</v>
      </c>
      <c r="AN90" s="94">
        <v>1</v>
      </c>
      <c r="AO90" s="94">
        <v>1</v>
      </c>
      <c r="AP90" s="94">
        <v>1</v>
      </c>
      <c r="AQ90" s="94">
        <v>1</v>
      </c>
      <c r="AR90" s="94">
        <v>1</v>
      </c>
      <c r="AS90" s="22"/>
      <c r="AT90" s="94">
        <v>1</v>
      </c>
      <c r="AU90" s="94">
        <v>1</v>
      </c>
      <c r="AV90" s="94">
        <v>1</v>
      </c>
      <c r="AW90" s="94">
        <v>1</v>
      </c>
      <c r="AX90" s="95">
        <f>SUM(T90:AW90)</f>
        <v>26</v>
      </c>
      <c r="AY90" s="20"/>
      <c r="AZ90" s="96"/>
      <c r="BA90" s="20"/>
      <c r="BB90" s="97" t="s">
        <v>2385</v>
      </c>
    </row>
    <row r="91" spans="1:54" ht="13.5" customHeight="1" x14ac:dyDescent="0.2">
      <c r="A91" s="104" t="s">
        <v>628</v>
      </c>
      <c r="B91" s="86" t="s">
        <v>104</v>
      </c>
      <c r="C91" s="26" t="s">
        <v>497</v>
      </c>
      <c r="D91" s="35" t="s">
        <v>498</v>
      </c>
      <c r="E91" s="26">
        <v>532</v>
      </c>
      <c r="F91" s="26" t="s">
        <v>2327</v>
      </c>
      <c r="G91" s="35" t="s">
        <v>1551</v>
      </c>
      <c r="H91" s="37">
        <v>1</v>
      </c>
      <c r="I91" s="37" t="s">
        <v>47</v>
      </c>
      <c r="J91" s="37">
        <v>1</v>
      </c>
      <c r="K91" s="37" t="s">
        <v>47</v>
      </c>
      <c r="L91" s="35" t="str">
        <f>VLOOKUP(Tabla411[[#This Row],[BTL CVE]],tblPDV[#All],13,0)</f>
        <v>VACANTE</v>
      </c>
      <c r="M91" s="26" t="s">
        <v>541</v>
      </c>
      <c r="N91" s="26" t="s">
        <v>54</v>
      </c>
      <c r="O91" s="26" t="s">
        <v>49</v>
      </c>
      <c r="P91" s="26" t="s">
        <v>49</v>
      </c>
      <c r="Q91" s="26" t="s">
        <v>50</v>
      </c>
      <c r="R91" s="38">
        <v>46113</v>
      </c>
      <c r="S91" s="38">
        <v>46142</v>
      </c>
      <c r="T91" s="19">
        <v>1</v>
      </c>
      <c r="U91" s="19">
        <v>1</v>
      </c>
      <c r="V91" s="19">
        <v>1</v>
      </c>
      <c r="W91" s="19">
        <v>1</v>
      </c>
      <c r="X91" s="22"/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22"/>
      <c r="AF91" s="19">
        <v>1</v>
      </c>
      <c r="AG91" s="19">
        <v>1</v>
      </c>
      <c r="AH91" s="19">
        <v>1</v>
      </c>
      <c r="AI91" s="19">
        <v>1</v>
      </c>
      <c r="AJ91" s="19">
        <v>1</v>
      </c>
      <c r="AK91" s="19">
        <v>1</v>
      </c>
      <c r="AL91" s="22"/>
      <c r="AM91" s="19">
        <v>1</v>
      </c>
      <c r="AN91" s="19">
        <v>1</v>
      </c>
      <c r="AO91" s="19">
        <v>1</v>
      </c>
      <c r="AP91" s="19">
        <v>1</v>
      </c>
      <c r="AQ91" s="19">
        <v>1</v>
      </c>
      <c r="AR91" s="19">
        <v>1</v>
      </c>
      <c r="AS91" s="22"/>
      <c r="AT91" s="19">
        <v>1</v>
      </c>
      <c r="AU91" s="19">
        <v>1</v>
      </c>
      <c r="AV91" s="19">
        <v>1</v>
      </c>
      <c r="AW91" s="19">
        <v>1</v>
      </c>
      <c r="AX91" s="19">
        <f>SUM(T91:AW91)</f>
        <v>26</v>
      </c>
      <c r="AY91" s="20"/>
      <c r="AZ91" s="19"/>
      <c r="BA91" s="20"/>
      <c r="BB91" s="49"/>
    </row>
    <row r="92" spans="1:54" ht="13.5" customHeight="1" x14ac:dyDescent="0.2">
      <c r="A92" s="104" t="s">
        <v>589</v>
      </c>
      <c r="B92" s="86" t="s">
        <v>104</v>
      </c>
      <c r="C92" s="26" t="s">
        <v>115</v>
      </c>
      <c r="D92" s="35" t="s">
        <v>116</v>
      </c>
      <c r="E92" s="26">
        <v>150</v>
      </c>
      <c r="F92" s="26" t="s">
        <v>2194</v>
      </c>
      <c r="G92" s="35" t="s">
        <v>1980</v>
      </c>
      <c r="H92" s="37">
        <v>1</v>
      </c>
      <c r="I92" s="37" t="s">
        <v>47</v>
      </c>
      <c r="J92" s="37">
        <v>1</v>
      </c>
      <c r="K92" s="37" t="s">
        <v>47</v>
      </c>
      <c r="L92" s="35" t="str">
        <f>VLOOKUP(Tabla411[[#This Row],[BTL CVE]],tblPDV[#All],13,0)</f>
        <v xml:space="preserve">AVILA BELTRAN GLORIA MARIBEL </v>
      </c>
      <c r="M92" s="26" t="s">
        <v>117</v>
      </c>
      <c r="N92" s="26" t="s">
        <v>1525</v>
      </c>
      <c r="O92" s="26" t="s">
        <v>49</v>
      </c>
      <c r="P92" s="26" t="s">
        <v>49</v>
      </c>
      <c r="Q92" s="26" t="s">
        <v>50</v>
      </c>
      <c r="R92" s="38">
        <v>46113</v>
      </c>
      <c r="S92" s="38">
        <v>46142</v>
      </c>
      <c r="T92" s="19">
        <v>1</v>
      </c>
      <c r="U92" s="19">
        <v>1</v>
      </c>
      <c r="V92" s="19">
        <v>1</v>
      </c>
      <c r="W92" s="19">
        <v>1</v>
      </c>
      <c r="X92" s="22"/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22"/>
      <c r="AF92" s="19">
        <v>1</v>
      </c>
      <c r="AG92" s="19">
        <v>1</v>
      </c>
      <c r="AH92" s="19">
        <v>1</v>
      </c>
      <c r="AI92" s="19">
        <v>1</v>
      </c>
      <c r="AJ92" s="19">
        <v>1</v>
      </c>
      <c r="AK92" s="19">
        <v>1</v>
      </c>
      <c r="AL92" s="22"/>
      <c r="AM92" s="19">
        <v>1</v>
      </c>
      <c r="AN92" s="19">
        <v>1</v>
      </c>
      <c r="AO92" s="19">
        <v>1</v>
      </c>
      <c r="AP92" s="19">
        <v>1</v>
      </c>
      <c r="AQ92" s="19">
        <v>1</v>
      </c>
      <c r="AR92" s="19">
        <v>1</v>
      </c>
      <c r="AS92" s="22"/>
      <c r="AT92" s="19">
        <v>1</v>
      </c>
      <c r="AU92" s="19">
        <v>1</v>
      </c>
      <c r="AV92" s="19">
        <v>1</v>
      </c>
      <c r="AW92" s="19">
        <v>1</v>
      </c>
      <c r="AX92" s="19">
        <f>SUM(T92:AW92)</f>
        <v>26</v>
      </c>
      <c r="AY92" s="20"/>
      <c r="AZ92" s="19"/>
      <c r="BA92" s="20"/>
      <c r="BB92" s="49"/>
    </row>
    <row r="93" spans="1:54" ht="13.5" customHeight="1" x14ac:dyDescent="0.2">
      <c r="A93" s="104" t="s">
        <v>590</v>
      </c>
      <c r="B93" s="86" t="s">
        <v>104</v>
      </c>
      <c r="C93" s="26" t="s">
        <v>118</v>
      </c>
      <c r="D93" s="35" t="s">
        <v>119</v>
      </c>
      <c r="E93" s="26">
        <v>61</v>
      </c>
      <c r="F93" s="26" t="s">
        <v>2148</v>
      </c>
      <c r="G93" s="35" t="s">
        <v>1981</v>
      </c>
      <c r="H93" s="37">
        <v>1</v>
      </c>
      <c r="I93" s="37" t="s">
        <v>47</v>
      </c>
      <c r="J93" s="37">
        <v>1</v>
      </c>
      <c r="K93" s="37" t="s">
        <v>47</v>
      </c>
      <c r="L93" s="35" t="str">
        <f>VLOOKUP(Tabla411[[#This Row],[BTL CVE]],tblPDV[#All],13,0)</f>
        <v xml:space="preserve">BAUTISTA CORONA REYNA </v>
      </c>
      <c r="M93" s="26" t="s">
        <v>505</v>
      </c>
      <c r="N93" s="26" t="s">
        <v>54</v>
      </c>
      <c r="O93" s="26" t="s">
        <v>49</v>
      </c>
      <c r="P93" s="26" t="s">
        <v>49</v>
      </c>
      <c r="Q93" s="26" t="s">
        <v>50</v>
      </c>
      <c r="R93" s="38">
        <v>46113</v>
      </c>
      <c r="S93" s="38">
        <v>46142</v>
      </c>
      <c r="T93" s="19">
        <v>1</v>
      </c>
      <c r="U93" s="19">
        <v>1</v>
      </c>
      <c r="V93" s="19">
        <v>1</v>
      </c>
      <c r="W93" s="19">
        <v>1</v>
      </c>
      <c r="X93" s="22"/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22"/>
      <c r="AF93" s="19">
        <v>1</v>
      </c>
      <c r="AG93" s="19">
        <v>1</v>
      </c>
      <c r="AH93" s="19">
        <v>1</v>
      </c>
      <c r="AI93" s="19">
        <v>1</v>
      </c>
      <c r="AJ93" s="19">
        <v>1</v>
      </c>
      <c r="AK93" s="19">
        <v>1</v>
      </c>
      <c r="AL93" s="22"/>
      <c r="AM93" s="19">
        <v>1</v>
      </c>
      <c r="AN93" s="19">
        <v>1</v>
      </c>
      <c r="AO93" s="19">
        <v>1</v>
      </c>
      <c r="AP93" s="19">
        <v>1</v>
      </c>
      <c r="AQ93" s="19">
        <v>1</v>
      </c>
      <c r="AR93" s="19">
        <v>1</v>
      </c>
      <c r="AS93" s="22"/>
      <c r="AT93" s="19">
        <v>1</v>
      </c>
      <c r="AU93" s="19">
        <v>1</v>
      </c>
      <c r="AV93" s="19">
        <v>1</v>
      </c>
      <c r="AW93" s="19">
        <v>1</v>
      </c>
      <c r="AX93" s="19">
        <f>SUM(T93:AW93)</f>
        <v>26</v>
      </c>
      <c r="AY93" s="20"/>
      <c r="AZ93" s="19"/>
      <c r="BA93" s="20"/>
      <c r="BB93" s="49"/>
    </row>
    <row r="94" spans="1:54" ht="13.5" customHeight="1" x14ac:dyDescent="0.2">
      <c r="A94" s="104" t="s">
        <v>2371</v>
      </c>
      <c r="B94" s="111" t="s">
        <v>104</v>
      </c>
      <c r="C94" s="68" t="s">
        <v>2373</v>
      </c>
      <c r="D94" s="35" t="s">
        <v>2374</v>
      </c>
      <c r="E94" s="26">
        <v>537</v>
      </c>
      <c r="F94" s="26" t="s">
        <v>2331</v>
      </c>
      <c r="G94" s="35" t="s">
        <v>1550</v>
      </c>
      <c r="H94" s="37">
        <v>1</v>
      </c>
      <c r="I94" s="37" t="s">
        <v>47</v>
      </c>
      <c r="J94" s="37">
        <v>0.5</v>
      </c>
      <c r="K94" s="37" t="s">
        <v>53</v>
      </c>
      <c r="L94" s="35" t="str">
        <f>VLOOKUP(Tabla411[[#This Row],[BTL CVE]],tblPDV[#All],13,0)</f>
        <v>FLORES SALDAÑA JAVIER</v>
      </c>
      <c r="M94" s="26" t="s">
        <v>108</v>
      </c>
      <c r="N94" s="26" t="s">
        <v>54</v>
      </c>
      <c r="O94" s="26" t="s">
        <v>49</v>
      </c>
      <c r="P94" s="26" t="s">
        <v>49</v>
      </c>
      <c r="Q94" s="26" t="s">
        <v>50</v>
      </c>
      <c r="R94" s="38">
        <v>46113</v>
      </c>
      <c r="S94" s="38">
        <v>46142</v>
      </c>
      <c r="T94" s="19">
        <v>1</v>
      </c>
      <c r="U94" s="19">
        <v>1</v>
      </c>
      <c r="V94" s="19">
        <v>1</v>
      </c>
      <c r="W94" s="19">
        <v>1</v>
      </c>
      <c r="X94" s="22"/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22"/>
      <c r="AF94" s="19">
        <v>1</v>
      </c>
      <c r="AG94" s="19">
        <v>1</v>
      </c>
      <c r="AH94" s="19">
        <v>1</v>
      </c>
      <c r="AI94" s="19">
        <v>1</v>
      </c>
      <c r="AJ94" s="19">
        <v>1</v>
      </c>
      <c r="AK94" s="19">
        <v>1</v>
      </c>
      <c r="AL94" s="22"/>
      <c r="AM94" s="19">
        <v>1</v>
      </c>
      <c r="AN94" s="19">
        <v>1</v>
      </c>
      <c r="AO94" s="19">
        <v>1</v>
      </c>
      <c r="AP94" s="19">
        <v>1</v>
      </c>
      <c r="AQ94" s="19">
        <v>1</v>
      </c>
      <c r="AR94" s="19">
        <v>1</v>
      </c>
      <c r="AS94" s="22"/>
      <c r="AT94" s="19">
        <v>1</v>
      </c>
      <c r="AU94" s="19">
        <v>1</v>
      </c>
      <c r="AV94" s="19">
        <v>1</v>
      </c>
      <c r="AW94" s="19">
        <v>1</v>
      </c>
      <c r="AX94" s="19">
        <f>SUM(T94:AW94)</f>
        <v>26</v>
      </c>
      <c r="AY94" s="20"/>
      <c r="AZ94" s="19"/>
      <c r="BA94" s="20"/>
      <c r="BB94" s="49"/>
    </row>
    <row r="95" spans="1:54" ht="13.5" customHeight="1" x14ac:dyDescent="0.2">
      <c r="A95" s="104" t="s">
        <v>594</v>
      </c>
      <c r="B95" s="86" t="s">
        <v>104</v>
      </c>
      <c r="C95" s="26" t="s">
        <v>129</v>
      </c>
      <c r="D95" s="35" t="s">
        <v>130</v>
      </c>
      <c r="E95" s="26">
        <v>103</v>
      </c>
      <c r="F95" s="26" t="s">
        <v>2170</v>
      </c>
      <c r="G95" s="35" t="s">
        <v>1494</v>
      </c>
      <c r="H95" s="37">
        <v>1</v>
      </c>
      <c r="I95" s="37" t="s">
        <v>47</v>
      </c>
      <c r="J95" s="37">
        <v>1</v>
      </c>
      <c r="K95" s="37" t="s">
        <v>47</v>
      </c>
      <c r="L95" s="35" t="str">
        <f>VLOOKUP(Tabla411[[#This Row],[BTL CVE]],tblPDV[#All],13,0)</f>
        <v>LOPEZ RUIZ JACQUELINE</v>
      </c>
      <c r="M95" s="26" t="s">
        <v>536</v>
      </c>
      <c r="N95" s="26" t="s">
        <v>54</v>
      </c>
      <c r="O95" s="26" t="s">
        <v>49</v>
      </c>
      <c r="P95" s="26" t="s">
        <v>49</v>
      </c>
      <c r="Q95" s="26" t="s">
        <v>50</v>
      </c>
      <c r="R95" s="38">
        <v>46113</v>
      </c>
      <c r="S95" s="38">
        <v>46142</v>
      </c>
      <c r="T95" s="19">
        <v>1</v>
      </c>
      <c r="U95" s="19">
        <v>1</v>
      </c>
      <c r="V95" s="19">
        <v>1</v>
      </c>
      <c r="W95" s="19">
        <v>1</v>
      </c>
      <c r="X95" s="22"/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22"/>
      <c r="AF95" s="19">
        <v>1</v>
      </c>
      <c r="AG95" s="19">
        <v>1</v>
      </c>
      <c r="AH95" s="19">
        <v>1</v>
      </c>
      <c r="AI95" s="19">
        <v>1</v>
      </c>
      <c r="AJ95" s="19">
        <v>1</v>
      </c>
      <c r="AK95" s="19">
        <v>1</v>
      </c>
      <c r="AL95" s="22"/>
      <c r="AM95" s="19">
        <v>1</v>
      </c>
      <c r="AN95" s="19">
        <v>1</v>
      </c>
      <c r="AO95" s="19">
        <v>1</v>
      </c>
      <c r="AP95" s="19">
        <v>1</v>
      </c>
      <c r="AQ95" s="19">
        <v>1</v>
      </c>
      <c r="AR95" s="19">
        <v>1</v>
      </c>
      <c r="AS95" s="22"/>
      <c r="AT95" s="19">
        <v>1</v>
      </c>
      <c r="AU95" s="19">
        <v>1</v>
      </c>
      <c r="AV95" s="19">
        <v>1</v>
      </c>
      <c r="AW95" s="19">
        <v>1</v>
      </c>
      <c r="AX95" s="19">
        <f>SUM(T95:AW95)</f>
        <v>26</v>
      </c>
      <c r="AY95" s="20"/>
      <c r="AZ95" s="19"/>
      <c r="BA95" s="20"/>
      <c r="BB95" s="49"/>
    </row>
    <row r="96" spans="1:54" ht="13.5" customHeight="1" x14ac:dyDescent="0.2">
      <c r="A96" s="104" t="s">
        <v>599</v>
      </c>
      <c r="B96" s="86" t="s">
        <v>104</v>
      </c>
      <c r="C96" s="26" t="s">
        <v>141</v>
      </c>
      <c r="D96" s="35" t="s">
        <v>142</v>
      </c>
      <c r="E96" s="26">
        <v>286</v>
      </c>
      <c r="F96" s="26" t="s">
        <v>2240</v>
      </c>
      <c r="G96" s="35" t="s">
        <v>1984</v>
      </c>
      <c r="H96" s="37">
        <v>1</v>
      </c>
      <c r="I96" s="37" t="s">
        <v>47</v>
      </c>
      <c r="J96" s="37">
        <v>1</v>
      </c>
      <c r="K96" s="37" t="s">
        <v>47</v>
      </c>
      <c r="L96" s="35" t="str">
        <f>VLOOKUP(Tabla411[[#This Row],[BTL CVE]],tblPDV[#All],13,0)</f>
        <v xml:space="preserve">REYES AYBAR LILIANA </v>
      </c>
      <c r="M96" s="26" t="s">
        <v>536</v>
      </c>
      <c r="N96" s="26" t="s">
        <v>54</v>
      </c>
      <c r="O96" s="26" t="s">
        <v>49</v>
      </c>
      <c r="P96" s="26" t="s">
        <v>49</v>
      </c>
      <c r="Q96" s="26" t="s">
        <v>50</v>
      </c>
      <c r="R96" s="38">
        <v>46113</v>
      </c>
      <c r="S96" s="38">
        <v>46142</v>
      </c>
      <c r="T96" s="19">
        <v>1</v>
      </c>
      <c r="U96" s="19">
        <v>1</v>
      </c>
      <c r="V96" s="19">
        <v>1</v>
      </c>
      <c r="W96" s="19">
        <v>1</v>
      </c>
      <c r="X96" s="22"/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22"/>
      <c r="AF96" s="19">
        <v>1</v>
      </c>
      <c r="AG96" s="19">
        <v>1</v>
      </c>
      <c r="AH96" s="19">
        <v>1</v>
      </c>
      <c r="AI96" s="19">
        <v>1</v>
      </c>
      <c r="AJ96" s="19">
        <v>1</v>
      </c>
      <c r="AK96" s="19">
        <v>1</v>
      </c>
      <c r="AL96" s="22"/>
      <c r="AM96" s="19">
        <v>1</v>
      </c>
      <c r="AN96" s="19">
        <v>1</v>
      </c>
      <c r="AO96" s="19">
        <v>1</v>
      </c>
      <c r="AP96" s="19">
        <v>1</v>
      </c>
      <c r="AQ96" s="19">
        <v>1</v>
      </c>
      <c r="AR96" s="19">
        <v>1</v>
      </c>
      <c r="AS96" s="22"/>
      <c r="AT96" s="19">
        <v>1</v>
      </c>
      <c r="AU96" s="19">
        <v>1</v>
      </c>
      <c r="AV96" s="19">
        <v>1</v>
      </c>
      <c r="AW96" s="19">
        <v>1</v>
      </c>
      <c r="AX96" s="19">
        <f>SUM(T96:AW96)</f>
        <v>26</v>
      </c>
      <c r="AY96" s="20"/>
      <c r="AZ96" s="19"/>
      <c r="BA96" s="20"/>
      <c r="BB96" s="49"/>
    </row>
    <row r="97" spans="1:54" ht="13.5" customHeight="1" x14ac:dyDescent="0.2">
      <c r="A97" s="104" t="s">
        <v>639</v>
      </c>
      <c r="B97" s="86" t="s">
        <v>104</v>
      </c>
      <c r="C97" s="26" t="s">
        <v>493</v>
      </c>
      <c r="D97" s="35" t="s">
        <v>494</v>
      </c>
      <c r="E97" s="26">
        <v>536</v>
      </c>
      <c r="F97" s="26" t="s">
        <v>2330</v>
      </c>
      <c r="G97" s="35" t="s">
        <v>1985</v>
      </c>
      <c r="H97" s="37">
        <v>1</v>
      </c>
      <c r="I97" s="37" t="s">
        <v>47</v>
      </c>
      <c r="J97" s="37">
        <v>1</v>
      </c>
      <c r="K97" s="37" t="s">
        <v>47</v>
      </c>
      <c r="L97" s="35" t="str">
        <f>VLOOKUP(Tabla411[[#This Row],[BTL CVE]],tblPDV[#All],13,0)</f>
        <v>FLORES SALDAÑA JAVIER</v>
      </c>
      <c r="M97" s="26" t="s">
        <v>504</v>
      </c>
      <c r="N97" s="26" t="s">
        <v>54</v>
      </c>
      <c r="O97" s="26" t="s">
        <v>49</v>
      </c>
      <c r="P97" s="26" t="s">
        <v>49</v>
      </c>
      <c r="Q97" s="26" t="s">
        <v>50</v>
      </c>
      <c r="R97" s="38">
        <v>46113</v>
      </c>
      <c r="S97" s="38">
        <v>46142</v>
      </c>
      <c r="T97" s="19">
        <v>1</v>
      </c>
      <c r="U97" s="19">
        <v>1</v>
      </c>
      <c r="V97" s="19">
        <v>1</v>
      </c>
      <c r="W97" s="19">
        <v>1</v>
      </c>
      <c r="X97" s="22"/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22"/>
      <c r="AF97" s="19">
        <v>1</v>
      </c>
      <c r="AG97" s="19">
        <v>1</v>
      </c>
      <c r="AH97" s="19">
        <v>1</v>
      </c>
      <c r="AI97" s="19">
        <v>1</v>
      </c>
      <c r="AJ97" s="19">
        <v>1</v>
      </c>
      <c r="AK97" s="19">
        <v>1</v>
      </c>
      <c r="AL97" s="22"/>
      <c r="AM97" s="19">
        <v>1</v>
      </c>
      <c r="AN97" s="19">
        <v>1</v>
      </c>
      <c r="AO97" s="19">
        <v>1</v>
      </c>
      <c r="AP97" s="19">
        <v>1</v>
      </c>
      <c r="AQ97" s="19">
        <v>1</v>
      </c>
      <c r="AR97" s="19">
        <v>1</v>
      </c>
      <c r="AS97" s="22"/>
      <c r="AT97" s="19">
        <v>1</v>
      </c>
      <c r="AU97" s="19">
        <v>1</v>
      </c>
      <c r="AV97" s="19">
        <v>1</v>
      </c>
      <c r="AW97" s="19">
        <v>1</v>
      </c>
      <c r="AX97" s="19">
        <f>SUM(T97:AW97)</f>
        <v>26</v>
      </c>
      <c r="AY97" s="20"/>
      <c r="AZ97" s="19"/>
      <c r="BA97" s="20"/>
      <c r="BB97" s="49"/>
    </row>
    <row r="98" spans="1:54" ht="13.5" customHeight="1" x14ac:dyDescent="0.2">
      <c r="A98" s="104" t="s">
        <v>637</v>
      </c>
      <c r="B98" s="105" t="s">
        <v>104</v>
      </c>
      <c r="C98" s="26" t="s">
        <v>432</v>
      </c>
      <c r="D98" s="35" t="s">
        <v>433</v>
      </c>
      <c r="E98" s="26">
        <v>94</v>
      </c>
      <c r="F98" s="26" t="s">
        <v>2167</v>
      </c>
      <c r="G98" s="35" t="s">
        <v>2034</v>
      </c>
      <c r="H98" s="37">
        <v>1</v>
      </c>
      <c r="I98" s="37" t="s">
        <v>47</v>
      </c>
      <c r="J98" s="37">
        <v>1</v>
      </c>
      <c r="K98" s="26" t="s">
        <v>47</v>
      </c>
      <c r="L98" s="35" t="str">
        <f>VLOOKUP(Tabla411[[#This Row],[BTL CVE]],tblPDV[#All],13,0)</f>
        <v>MONTAGNER OLIVARES MIGUEL ANGEL</v>
      </c>
      <c r="M98" s="26" t="s">
        <v>536</v>
      </c>
      <c r="N98" s="26" t="s">
        <v>54</v>
      </c>
      <c r="O98" s="26" t="s">
        <v>49</v>
      </c>
      <c r="P98" s="26" t="s">
        <v>49</v>
      </c>
      <c r="Q98" s="26" t="s">
        <v>50</v>
      </c>
      <c r="R98" s="38">
        <v>46113</v>
      </c>
      <c r="S98" s="38">
        <v>46142</v>
      </c>
      <c r="T98" s="19">
        <v>1</v>
      </c>
      <c r="U98" s="19">
        <v>1</v>
      </c>
      <c r="V98" s="19">
        <v>1</v>
      </c>
      <c r="W98" s="19">
        <v>1</v>
      </c>
      <c r="X98" s="22"/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22"/>
      <c r="AF98" s="19">
        <v>1</v>
      </c>
      <c r="AG98" s="19">
        <v>1</v>
      </c>
      <c r="AH98" s="19">
        <v>1</v>
      </c>
      <c r="AI98" s="19">
        <v>1</v>
      </c>
      <c r="AJ98" s="19">
        <v>1</v>
      </c>
      <c r="AK98" s="19">
        <v>1</v>
      </c>
      <c r="AL98" s="22"/>
      <c r="AM98" s="19">
        <v>1</v>
      </c>
      <c r="AN98" s="19">
        <v>1</v>
      </c>
      <c r="AO98" s="19">
        <v>1</v>
      </c>
      <c r="AP98" s="19">
        <v>1</v>
      </c>
      <c r="AQ98" s="19">
        <v>1</v>
      </c>
      <c r="AR98" s="19">
        <v>1</v>
      </c>
      <c r="AS98" s="22"/>
      <c r="AT98" s="19">
        <v>1</v>
      </c>
      <c r="AU98" s="19">
        <v>1</v>
      </c>
      <c r="AV98" s="19">
        <v>1</v>
      </c>
      <c r="AW98" s="19">
        <v>1</v>
      </c>
      <c r="AX98" s="19">
        <f>SUM(T98:AW98)</f>
        <v>26</v>
      </c>
      <c r="AY98" s="20"/>
      <c r="AZ98" s="19"/>
      <c r="BA98" s="20"/>
      <c r="BB98" s="49"/>
    </row>
    <row r="99" spans="1:54" ht="13.5" customHeight="1" x14ac:dyDescent="0.2">
      <c r="A99" s="104" t="s">
        <v>601</v>
      </c>
      <c r="B99" s="86" t="s">
        <v>104</v>
      </c>
      <c r="C99" s="26" t="s">
        <v>143</v>
      </c>
      <c r="D99" s="35" t="s">
        <v>144</v>
      </c>
      <c r="E99" s="26">
        <v>339</v>
      </c>
      <c r="F99" s="26" t="s">
        <v>2258</v>
      </c>
      <c r="G99" s="35" t="s">
        <v>1491</v>
      </c>
      <c r="H99" s="37">
        <v>1</v>
      </c>
      <c r="I99" s="37" t="s">
        <v>47</v>
      </c>
      <c r="J99" s="37">
        <v>1</v>
      </c>
      <c r="K99" s="37" t="s">
        <v>47</v>
      </c>
      <c r="L99" s="35" t="str">
        <f>VLOOKUP(Tabla411[[#This Row],[BTL CVE]],tblPDV[#All],13,0)</f>
        <v xml:space="preserve">REYES AYBAR LILIANA </v>
      </c>
      <c r="M99" s="26" t="s">
        <v>536</v>
      </c>
      <c r="N99" s="26" t="s">
        <v>54</v>
      </c>
      <c r="O99" s="26" t="s">
        <v>49</v>
      </c>
      <c r="P99" s="26" t="s">
        <v>49</v>
      </c>
      <c r="Q99" s="26" t="s">
        <v>50</v>
      </c>
      <c r="R99" s="38">
        <v>46113</v>
      </c>
      <c r="S99" s="38">
        <v>46142</v>
      </c>
      <c r="T99" s="19">
        <v>1</v>
      </c>
      <c r="U99" s="19">
        <v>1</v>
      </c>
      <c r="V99" s="19">
        <v>1</v>
      </c>
      <c r="W99" s="19">
        <v>1</v>
      </c>
      <c r="X99" s="22"/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22"/>
      <c r="AF99" s="19">
        <v>1</v>
      </c>
      <c r="AG99" s="19">
        <v>1</v>
      </c>
      <c r="AH99" s="19">
        <v>1</v>
      </c>
      <c r="AI99" s="19">
        <v>1</v>
      </c>
      <c r="AJ99" s="19">
        <v>1</v>
      </c>
      <c r="AK99" s="19">
        <v>1</v>
      </c>
      <c r="AL99" s="22"/>
      <c r="AM99" s="19">
        <v>1</v>
      </c>
      <c r="AN99" s="19">
        <v>1</v>
      </c>
      <c r="AO99" s="19">
        <v>1</v>
      </c>
      <c r="AP99" s="19">
        <v>1</v>
      </c>
      <c r="AQ99" s="19">
        <v>1</v>
      </c>
      <c r="AR99" s="19">
        <v>1</v>
      </c>
      <c r="AS99" s="22"/>
      <c r="AT99" s="19">
        <v>1</v>
      </c>
      <c r="AU99" s="19">
        <v>1</v>
      </c>
      <c r="AV99" s="19">
        <v>1</v>
      </c>
      <c r="AW99" s="19">
        <v>1</v>
      </c>
      <c r="AX99" s="19">
        <f>SUM(T99:AW99)</f>
        <v>26</v>
      </c>
      <c r="AY99" s="20"/>
      <c r="AZ99" s="19"/>
      <c r="BA99" s="20"/>
      <c r="BB99" s="49"/>
    </row>
    <row r="100" spans="1:54" ht="13.5" customHeight="1" x14ac:dyDescent="0.2">
      <c r="A100" s="104" t="s">
        <v>627</v>
      </c>
      <c r="B100" s="86" t="s">
        <v>104</v>
      </c>
      <c r="C100" s="26" t="s">
        <v>452</v>
      </c>
      <c r="D100" s="35" t="s">
        <v>453</v>
      </c>
      <c r="E100" s="26">
        <v>583</v>
      </c>
      <c r="F100" s="26" t="s">
        <v>2351</v>
      </c>
      <c r="G100" s="35" t="s">
        <v>2091</v>
      </c>
      <c r="H100" s="37">
        <v>1</v>
      </c>
      <c r="I100" s="37" t="s">
        <v>47</v>
      </c>
      <c r="J100" s="37">
        <v>1</v>
      </c>
      <c r="K100" s="37" t="s">
        <v>47</v>
      </c>
      <c r="L100" s="35" t="str">
        <f>VLOOKUP(Tabla411[[#This Row],[BTL CVE]],tblPDV[#All],13,0)</f>
        <v>VACANTE</v>
      </c>
      <c r="M100" s="26" t="s">
        <v>93</v>
      </c>
      <c r="N100" s="26" t="s">
        <v>54</v>
      </c>
      <c r="O100" s="26" t="s">
        <v>49</v>
      </c>
      <c r="P100" s="26" t="s">
        <v>49</v>
      </c>
      <c r="Q100" s="26" t="s">
        <v>50</v>
      </c>
      <c r="R100" s="38">
        <v>46113</v>
      </c>
      <c r="S100" s="38">
        <v>46142</v>
      </c>
      <c r="T100" s="19">
        <v>1</v>
      </c>
      <c r="U100" s="19">
        <v>1</v>
      </c>
      <c r="V100" s="19">
        <v>1</v>
      </c>
      <c r="W100" s="19">
        <v>1</v>
      </c>
      <c r="X100" s="22"/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22"/>
      <c r="AF100" s="19">
        <v>1</v>
      </c>
      <c r="AG100" s="19">
        <v>1</v>
      </c>
      <c r="AH100" s="19">
        <v>1</v>
      </c>
      <c r="AI100" s="19">
        <v>1</v>
      </c>
      <c r="AJ100" s="19">
        <v>1</v>
      </c>
      <c r="AK100" s="19">
        <v>1</v>
      </c>
      <c r="AL100" s="22"/>
      <c r="AM100" s="19">
        <v>1</v>
      </c>
      <c r="AN100" s="19">
        <v>1</v>
      </c>
      <c r="AO100" s="19">
        <v>1</v>
      </c>
      <c r="AP100" s="19">
        <v>1</v>
      </c>
      <c r="AQ100" s="19">
        <v>1</v>
      </c>
      <c r="AR100" s="19">
        <v>1</v>
      </c>
      <c r="AS100" s="22"/>
      <c r="AT100" s="19">
        <v>1</v>
      </c>
      <c r="AU100" s="19">
        <v>1</v>
      </c>
      <c r="AV100" s="19">
        <v>1</v>
      </c>
      <c r="AW100" s="19">
        <v>1</v>
      </c>
      <c r="AX100" s="19">
        <f>SUM(T100:AW100)</f>
        <v>26</v>
      </c>
      <c r="AY100" s="20"/>
      <c r="AZ100" s="19"/>
      <c r="BA100" s="20"/>
      <c r="BB100" s="49"/>
    </row>
    <row r="101" spans="1:54" ht="13.5" customHeight="1" x14ac:dyDescent="0.2">
      <c r="A101" s="104" t="s">
        <v>783</v>
      </c>
      <c r="B101" s="86" t="s">
        <v>104</v>
      </c>
      <c r="C101" s="26"/>
      <c r="D101" s="35" t="s">
        <v>411</v>
      </c>
      <c r="E101" s="26">
        <v>219</v>
      </c>
      <c r="F101" s="26" t="s">
        <v>2219</v>
      </c>
      <c r="G101" s="35" t="s">
        <v>1987</v>
      </c>
      <c r="H101" s="37">
        <v>1</v>
      </c>
      <c r="I101" s="37" t="s">
        <v>47</v>
      </c>
      <c r="J101" s="37">
        <v>1</v>
      </c>
      <c r="K101" s="37" t="s">
        <v>47</v>
      </c>
      <c r="L101" s="35" t="str">
        <f>VLOOKUP(Tabla411[[#This Row],[BTL CVE]],tblPDV[#All],13,0)</f>
        <v>CARRILLO XOCHIHUA XOCHITL</v>
      </c>
      <c r="M101" s="26" t="s">
        <v>536</v>
      </c>
      <c r="N101" s="26" t="s">
        <v>54</v>
      </c>
      <c r="O101" s="26" t="s">
        <v>49</v>
      </c>
      <c r="P101" s="26" t="s">
        <v>49</v>
      </c>
      <c r="Q101" s="26" t="s">
        <v>50</v>
      </c>
      <c r="R101" s="38">
        <v>46113</v>
      </c>
      <c r="S101" s="38">
        <v>46142</v>
      </c>
      <c r="T101" s="19">
        <v>1</v>
      </c>
      <c r="U101" s="19">
        <v>1</v>
      </c>
      <c r="V101" s="19">
        <v>1</v>
      </c>
      <c r="W101" s="19">
        <v>1</v>
      </c>
      <c r="X101" s="22"/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22"/>
      <c r="AF101" s="19">
        <v>1</v>
      </c>
      <c r="AG101" s="19">
        <v>1</v>
      </c>
      <c r="AH101" s="19">
        <v>1</v>
      </c>
      <c r="AI101" s="19">
        <v>1</v>
      </c>
      <c r="AJ101" s="19">
        <v>1</v>
      </c>
      <c r="AK101" s="19">
        <v>1</v>
      </c>
      <c r="AL101" s="22"/>
      <c r="AM101" s="19">
        <v>1</v>
      </c>
      <c r="AN101" s="19">
        <v>1</v>
      </c>
      <c r="AO101" s="19">
        <v>1</v>
      </c>
      <c r="AP101" s="19">
        <v>1</v>
      </c>
      <c r="AQ101" s="19">
        <v>1</v>
      </c>
      <c r="AR101" s="19">
        <v>1</v>
      </c>
      <c r="AS101" s="22"/>
      <c r="AT101" s="19">
        <v>1</v>
      </c>
      <c r="AU101" s="19">
        <v>1</v>
      </c>
      <c r="AV101" s="19">
        <v>1</v>
      </c>
      <c r="AW101" s="19">
        <v>1</v>
      </c>
      <c r="AX101" s="19">
        <f>SUM(T101:AW101)</f>
        <v>26</v>
      </c>
      <c r="AY101" s="20"/>
      <c r="AZ101" s="19"/>
      <c r="BA101" s="20"/>
      <c r="BB101" s="49"/>
    </row>
    <row r="102" spans="1:54" ht="13.5" customHeight="1" x14ac:dyDescent="0.2">
      <c r="A102" s="104" t="s">
        <v>1416</v>
      </c>
      <c r="B102" s="86" t="s">
        <v>104</v>
      </c>
      <c r="C102" s="26" t="s">
        <v>471</v>
      </c>
      <c r="D102" s="35" t="s">
        <v>472</v>
      </c>
      <c r="E102" s="26">
        <v>427</v>
      </c>
      <c r="F102" s="26" t="s">
        <v>2282</v>
      </c>
      <c r="G102" s="35" t="s">
        <v>1542</v>
      </c>
      <c r="H102" s="37">
        <v>1</v>
      </c>
      <c r="I102" s="37" t="s">
        <v>47</v>
      </c>
      <c r="J102" s="37">
        <v>1</v>
      </c>
      <c r="K102" s="37" t="s">
        <v>47</v>
      </c>
      <c r="L102" s="35" t="str">
        <f>VLOOKUP(Tabla411[[#This Row],[BTL CVE]],tblPDV[#All],13,0)</f>
        <v>ALVAREZ GARCIA ADRIANA YULISMA</v>
      </c>
      <c r="M102" s="26" t="s">
        <v>503</v>
      </c>
      <c r="N102" s="26" t="s">
        <v>54</v>
      </c>
      <c r="O102" s="26" t="s">
        <v>49</v>
      </c>
      <c r="P102" s="26" t="s">
        <v>49</v>
      </c>
      <c r="Q102" s="26" t="s">
        <v>50</v>
      </c>
      <c r="R102" s="38">
        <v>46113</v>
      </c>
      <c r="S102" s="38">
        <v>46142</v>
      </c>
      <c r="T102" s="19">
        <v>1</v>
      </c>
      <c r="U102" s="19">
        <v>1</v>
      </c>
      <c r="V102" s="19">
        <v>1</v>
      </c>
      <c r="W102" s="19">
        <v>1</v>
      </c>
      <c r="X102" s="22"/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22"/>
      <c r="AF102" s="19">
        <v>1</v>
      </c>
      <c r="AG102" s="19">
        <v>1</v>
      </c>
      <c r="AH102" s="19">
        <v>1</v>
      </c>
      <c r="AI102" s="19">
        <v>1</v>
      </c>
      <c r="AJ102" s="19">
        <v>1</v>
      </c>
      <c r="AK102" s="19">
        <v>1</v>
      </c>
      <c r="AL102" s="22"/>
      <c r="AM102" s="19">
        <v>1</v>
      </c>
      <c r="AN102" s="19">
        <v>1</v>
      </c>
      <c r="AO102" s="19">
        <v>1</v>
      </c>
      <c r="AP102" s="19">
        <v>1</v>
      </c>
      <c r="AQ102" s="19">
        <v>1</v>
      </c>
      <c r="AR102" s="19">
        <v>1</v>
      </c>
      <c r="AS102" s="22"/>
      <c r="AT102" s="19">
        <v>1</v>
      </c>
      <c r="AU102" s="19">
        <v>1</v>
      </c>
      <c r="AV102" s="19">
        <v>1</v>
      </c>
      <c r="AW102" s="19">
        <v>1</v>
      </c>
      <c r="AX102" s="19">
        <f>SUM(T102:AW102)</f>
        <v>26</v>
      </c>
      <c r="AY102" s="20"/>
      <c r="AZ102" s="19"/>
      <c r="BA102" s="20"/>
      <c r="BB102" s="49"/>
    </row>
    <row r="103" spans="1:54" ht="13.5" customHeight="1" x14ac:dyDescent="0.2">
      <c r="A103" s="104" t="s">
        <v>1369</v>
      </c>
      <c r="B103" s="86" t="s">
        <v>104</v>
      </c>
      <c r="C103" s="26"/>
      <c r="D103" s="35" t="s">
        <v>300</v>
      </c>
      <c r="E103" s="26">
        <v>244</v>
      </c>
      <c r="F103" s="26" t="s">
        <v>2231</v>
      </c>
      <c r="G103" s="35" t="s">
        <v>1986</v>
      </c>
      <c r="H103" s="37">
        <v>1</v>
      </c>
      <c r="I103" s="37" t="s">
        <v>47</v>
      </c>
      <c r="J103" s="37">
        <v>1</v>
      </c>
      <c r="K103" s="37" t="s">
        <v>47</v>
      </c>
      <c r="L103" s="35" t="str">
        <f>VLOOKUP(Tabla411[[#This Row],[BTL CVE]],tblPDV[#All],13,0)</f>
        <v>LOPEZ RUIZ JACQUELINE</v>
      </c>
      <c r="M103" s="26" t="s">
        <v>536</v>
      </c>
      <c r="N103" s="26" t="s">
        <v>54</v>
      </c>
      <c r="O103" s="26" t="s">
        <v>49</v>
      </c>
      <c r="P103" s="26" t="s">
        <v>49</v>
      </c>
      <c r="Q103" s="26" t="s">
        <v>50</v>
      </c>
      <c r="R103" s="38">
        <v>46113</v>
      </c>
      <c r="S103" s="38">
        <v>46142</v>
      </c>
      <c r="T103" s="19">
        <v>1</v>
      </c>
      <c r="U103" s="19">
        <v>1</v>
      </c>
      <c r="V103" s="19">
        <v>1</v>
      </c>
      <c r="W103" s="19">
        <v>1</v>
      </c>
      <c r="X103" s="22"/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22"/>
      <c r="AF103" s="19">
        <v>1</v>
      </c>
      <c r="AG103" s="19">
        <v>1</v>
      </c>
      <c r="AH103" s="19">
        <v>1</v>
      </c>
      <c r="AI103" s="19">
        <v>1</v>
      </c>
      <c r="AJ103" s="19">
        <v>1</v>
      </c>
      <c r="AK103" s="19">
        <v>1</v>
      </c>
      <c r="AL103" s="22"/>
      <c r="AM103" s="19">
        <v>1</v>
      </c>
      <c r="AN103" s="19">
        <v>1</v>
      </c>
      <c r="AO103" s="19">
        <v>1</v>
      </c>
      <c r="AP103" s="19">
        <v>1</v>
      </c>
      <c r="AQ103" s="19">
        <v>1</v>
      </c>
      <c r="AR103" s="19">
        <v>1</v>
      </c>
      <c r="AS103" s="22"/>
      <c r="AT103" s="19">
        <v>1</v>
      </c>
      <c r="AU103" s="19">
        <v>1</v>
      </c>
      <c r="AV103" s="19">
        <v>1</v>
      </c>
      <c r="AW103" s="19">
        <v>1</v>
      </c>
      <c r="AX103" s="19">
        <f>SUM(T103:AW103)</f>
        <v>26</v>
      </c>
      <c r="AY103" s="20"/>
      <c r="AZ103" s="19"/>
      <c r="BA103" s="20"/>
      <c r="BB103" s="49"/>
    </row>
    <row r="104" spans="1:54" ht="13.5" customHeight="1" x14ac:dyDescent="0.2">
      <c r="A104" s="104" t="s">
        <v>606</v>
      </c>
      <c r="B104" s="86" t="s">
        <v>104</v>
      </c>
      <c r="C104" s="26" t="s">
        <v>160</v>
      </c>
      <c r="D104" s="35" t="s">
        <v>161</v>
      </c>
      <c r="E104" s="26">
        <v>180</v>
      </c>
      <c r="F104" s="26" t="s">
        <v>2205</v>
      </c>
      <c r="G104" s="35" t="s">
        <v>1991</v>
      </c>
      <c r="H104" s="37">
        <v>1</v>
      </c>
      <c r="I104" s="37" t="s">
        <v>47</v>
      </c>
      <c r="J104" s="37">
        <v>1</v>
      </c>
      <c r="K104" s="37" t="s">
        <v>47</v>
      </c>
      <c r="L104" s="35" t="str">
        <f>VLOOKUP(Tabla411[[#This Row],[BTL CVE]],tblPDV[#All],13,0)</f>
        <v xml:space="preserve">CARREÑO MONREAL MARIA TERESA </v>
      </c>
      <c r="M104" s="26" t="s">
        <v>133</v>
      </c>
      <c r="N104" s="26" t="s">
        <v>1522</v>
      </c>
      <c r="O104" s="26" t="s">
        <v>49</v>
      </c>
      <c r="P104" s="26" t="s">
        <v>49</v>
      </c>
      <c r="Q104" s="26" t="s">
        <v>50</v>
      </c>
      <c r="R104" s="38">
        <v>46113</v>
      </c>
      <c r="S104" s="38">
        <v>46142</v>
      </c>
      <c r="T104" s="19">
        <v>1</v>
      </c>
      <c r="U104" s="19">
        <v>1</v>
      </c>
      <c r="V104" s="19">
        <v>1</v>
      </c>
      <c r="W104" s="19">
        <v>1</v>
      </c>
      <c r="X104" s="22"/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22"/>
      <c r="AF104" s="19">
        <v>1</v>
      </c>
      <c r="AG104" s="19">
        <v>1</v>
      </c>
      <c r="AH104" s="19">
        <v>1</v>
      </c>
      <c r="AI104" s="19">
        <v>1</v>
      </c>
      <c r="AJ104" s="19">
        <v>1</v>
      </c>
      <c r="AK104" s="19">
        <v>1</v>
      </c>
      <c r="AL104" s="22"/>
      <c r="AM104" s="19">
        <v>1</v>
      </c>
      <c r="AN104" s="19">
        <v>1</v>
      </c>
      <c r="AO104" s="19">
        <v>1</v>
      </c>
      <c r="AP104" s="19">
        <v>1</v>
      </c>
      <c r="AQ104" s="19">
        <v>1</v>
      </c>
      <c r="AR104" s="19">
        <v>1</v>
      </c>
      <c r="AS104" s="22"/>
      <c r="AT104" s="19">
        <v>1</v>
      </c>
      <c r="AU104" s="19">
        <v>1</v>
      </c>
      <c r="AV104" s="19">
        <v>1</v>
      </c>
      <c r="AW104" s="19">
        <v>1</v>
      </c>
      <c r="AX104" s="19">
        <f>SUM(T104:AW104)</f>
        <v>26</v>
      </c>
      <c r="AY104" s="20"/>
      <c r="AZ104" s="19"/>
      <c r="BA104" s="20"/>
      <c r="BB104" s="49"/>
    </row>
    <row r="105" spans="1:54" ht="13.5" customHeight="1" x14ac:dyDescent="0.2">
      <c r="A105" s="104" t="s">
        <v>607</v>
      </c>
      <c r="B105" s="86" t="s">
        <v>104</v>
      </c>
      <c r="C105" s="26" t="s">
        <v>162</v>
      </c>
      <c r="D105" s="35" t="s">
        <v>163</v>
      </c>
      <c r="E105" s="26">
        <v>248</v>
      </c>
      <c r="F105" s="26" t="s">
        <v>2232</v>
      </c>
      <c r="G105" s="35" t="s">
        <v>1992</v>
      </c>
      <c r="H105" s="37">
        <v>1</v>
      </c>
      <c r="I105" s="37" t="s">
        <v>47</v>
      </c>
      <c r="J105" s="37">
        <v>1</v>
      </c>
      <c r="K105" s="37" t="s">
        <v>47</v>
      </c>
      <c r="L105" s="35" t="str">
        <f>VLOOKUP(Tabla411[[#This Row],[BTL CVE]],tblPDV[#All],13,0)</f>
        <v xml:space="preserve">CHAVEZ RAMOS  JONATAN RAYMUNDO </v>
      </c>
      <c r="M105" s="26" t="s">
        <v>536</v>
      </c>
      <c r="N105" s="26" t="s">
        <v>54</v>
      </c>
      <c r="O105" s="26" t="s">
        <v>49</v>
      </c>
      <c r="P105" s="26" t="s">
        <v>49</v>
      </c>
      <c r="Q105" s="26" t="s">
        <v>50</v>
      </c>
      <c r="R105" s="38">
        <v>46113</v>
      </c>
      <c r="S105" s="38">
        <v>46142</v>
      </c>
      <c r="T105" s="19">
        <v>1</v>
      </c>
      <c r="U105" s="19">
        <v>1</v>
      </c>
      <c r="V105" s="19">
        <v>1</v>
      </c>
      <c r="W105" s="19">
        <v>1</v>
      </c>
      <c r="X105" s="22"/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22"/>
      <c r="AF105" s="19">
        <v>1</v>
      </c>
      <c r="AG105" s="19">
        <v>1</v>
      </c>
      <c r="AH105" s="19">
        <v>1</v>
      </c>
      <c r="AI105" s="19">
        <v>1</v>
      </c>
      <c r="AJ105" s="19">
        <v>1</v>
      </c>
      <c r="AK105" s="19">
        <v>1</v>
      </c>
      <c r="AL105" s="22"/>
      <c r="AM105" s="19">
        <v>1</v>
      </c>
      <c r="AN105" s="19">
        <v>1</v>
      </c>
      <c r="AO105" s="19">
        <v>1</v>
      </c>
      <c r="AP105" s="19">
        <v>1</v>
      </c>
      <c r="AQ105" s="19">
        <v>1</v>
      </c>
      <c r="AR105" s="19">
        <v>1</v>
      </c>
      <c r="AS105" s="22"/>
      <c r="AT105" s="19">
        <v>1</v>
      </c>
      <c r="AU105" s="19">
        <v>1</v>
      </c>
      <c r="AV105" s="19">
        <v>1</v>
      </c>
      <c r="AW105" s="19">
        <v>1</v>
      </c>
      <c r="AX105" s="19">
        <f>SUM(T105:AW105)</f>
        <v>26</v>
      </c>
      <c r="AY105" s="20"/>
      <c r="AZ105" s="19"/>
      <c r="BA105" s="20"/>
      <c r="BB105" s="49"/>
    </row>
    <row r="106" spans="1:54" ht="13.5" customHeight="1" x14ac:dyDescent="0.2">
      <c r="A106" s="104" t="s">
        <v>612</v>
      </c>
      <c r="B106" s="86" t="s">
        <v>104</v>
      </c>
      <c r="C106" s="26" t="s">
        <v>173</v>
      </c>
      <c r="D106" s="35" t="s">
        <v>174</v>
      </c>
      <c r="E106" s="26">
        <v>345</v>
      </c>
      <c r="F106" s="26" t="s">
        <v>2259</v>
      </c>
      <c r="G106" s="35" t="s">
        <v>175</v>
      </c>
      <c r="H106" s="37">
        <v>1</v>
      </c>
      <c r="I106" s="37" t="s">
        <v>47</v>
      </c>
      <c r="J106" s="37">
        <v>1</v>
      </c>
      <c r="K106" s="37" t="s">
        <v>47</v>
      </c>
      <c r="L106" s="35" t="str">
        <f>VLOOKUP(Tabla411[[#This Row],[BTL CVE]],tblPDV[#All],13,0)</f>
        <v xml:space="preserve">ANIMAS SAUCEDO ANA CRISTINA </v>
      </c>
      <c r="M106" s="26" t="s">
        <v>503</v>
      </c>
      <c r="N106" s="26" t="s">
        <v>54</v>
      </c>
      <c r="O106" s="26" t="s">
        <v>49</v>
      </c>
      <c r="P106" s="26" t="s">
        <v>49</v>
      </c>
      <c r="Q106" s="26" t="s">
        <v>50</v>
      </c>
      <c r="R106" s="38">
        <v>46113</v>
      </c>
      <c r="S106" s="38">
        <v>46142</v>
      </c>
      <c r="T106" s="19">
        <v>1</v>
      </c>
      <c r="U106" s="19">
        <v>1</v>
      </c>
      <c r="V106" s="19">
        <v>1</v>
      </c>
      <c r="W106" s="19">
        <v>1</v>
      </c>
      <c r="X106" s="22"/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22"/>
      <c r="AF106" s="19">
        <v>1</v>
      </c>
      <c r="AG106" s="19">
        <v>1</v>
      </c>
      <c r="AH106" s="19">
        <v>1</v>
      </c>
      <c r="AI106" s="19">
        <v>1</v>
      </c>
      <c r="AJ106" s="19">
        <v>1</v>
      </c>
      <c r="AK106" s="19">
        <v>1</v>
      </c>
      <c r="AL106" s="22"/>
      <c r="AM106" s="19">
        <v>1</v>
      </c>
      <c r="AN106" s="19">
        <v>1</v>
      </c>
      <c r="AO106" s="19">
        <v>1</v>
      </c>
      <c r="AP106" s="19">
        <v>1</v>
      </c>
      <c r="AQ106" s="19">
        <v>1</v>
      </c>
      <c r="AR106" s="19">
        <v>1</v>
      </c>
      <c r="AS106" s="22"/>
      <c r="AT106" s="19">
        <v>1</v>
      </c>
      <c r="AU106" s="19">
        <v>1</v>
      </c>
      <c r="AV106" s="19">
        <v>1</v>
      </c>
      <c r="AW106" s="19">
        <v>1</v>
      </c>
      <c r="AX106" s="19">
        <f>SUM(T106:AW106)</f>
        <v>26</v>
      </c>
      <c r="AY106" s="20"/>
      <c r="AZ106" s="19"/>
      <c r="BA106" s="20"/>
      <c r="BB106" s="49"/>
    </row>
    <row r="107" spans="1:54" ht="13.5" customHeight="1" x14ac:dyDescent="0.2">
      <c r="A107" s="104" t="s">
        <v>588</v>
      </c>
      <c r="B107" s="86" t="s">
        <v>104</v>
      </c>
      <c r="C107" s="26" t="s">
        <v>113</v>
      </c>
      <c r="D107" s="35" t="s">
        <v>114</v>
      </c>
      <c r="E107" s="26">
        <v>591</v>
      </c>
      <c r="F107" s="26" t="s">
        <v>2397</v>
      </c>
      <c r="G107" s="35" t="s">
        <v>2361</v>
      </c>
      <c r="H107" s="37">
        <v>1</v>
      </c>
      <c r="I107" s="37" t="s">
        <v>47</v>
      </c>
      <c r="J107" s="37">
        <v>1</v>
      </c>
      <c r="K107" s="37" t="s">
        <v>47</v>
      </c>
      <c r="L107" s="35" t="str">
        <f>VLOOKUP(Tabla411[[#This Row],[BTL CVE]],tblPDV[#All],13,0)</f>
        <v xml:space="preserve">ESTRADA NAVA MIRIAM ROCIO </v>
      </c>
      <c r="M107" s="26" t="s">
        <v>536</v>
      </c>
      <c r="N107" s="26" t="s">
        <v>54</v>
      </c>
      <c r="O107" s="26" t="s">
        <v>49</v>
      </c>
      <c r="P107" s="26" t="s">
        <v>49</v>
      </c>
      <c r="Q107" s="26" t="s">
        <v>50</v>
      </c>
      <c r="R107" s="38">
        <v>46113</v>
      </c>
      <c r="S107" s="38">
        <v>46142</v>
      </c>
      <c r="T107" s="19">
        <v>1</v>
      </c>
      <c r="U107" s="19">
        <v>1</v>
      </c>
      <c r="V107" s="19">
        <v>1</v>
      </c>
      <c r="W107" s="19">
        <v>1</v>
      </c>
      <c r="X107" s="22"/>
      <c r="Y107" s="19">
        <v>1</v>
      </c>
      <c r="Z107" s="19">
        <v>1</v>
      </c>
      <c r="AA107" s="19">
        <v>1</v>
      </c>
      <c r="AB107" s="19">
        <v>1</v>
      </c>
      <c r="AC107" s="19">
        <v>1</v>
      </c>
      <c r="AD107" s="19">
        <v>1</v>
      </c>
      <c r="AE107" s="22"/>
      <c r="AF107" s="19">
        <v>1</v>
      </c>
      <c r="AG107" s="19">
        <v>1</v>
      </c>
      <c r="AH107" s="19">
        <v>1</v>
      </c>
      <c r="AI107" s="19">
        <v>1</v>
      </c>
      <c r="AJ107" s="19">
        <v>1</v>
      </c>
      <c r="AK107" s="19">
        <v>1</v>
      </c>
      <c r="AL107" s="22"/>
      <c r="AM107" s="19">
        <v>1</v>
      </c>
      <c r="AN107" s="19">
        <v>1</v>
      </c>
      <c r="AO107" s="19">
        <v>1</v>
      </c>
      <c r="AP107" s="19">
        <v>1</v>
      </c>
      <c r="AQ107" s="19">
        <v>1</v>
      </c>
      <c r="AR107" s="19">
        <v>1</v>
      </c>
      <c r="AS107" s="22"/>
      <c r="AT107" s="19">
        <v>1</v>
      </c>
      <c r="AU107" s="19">
        <v>1</v>
      </c>
      <c r="AV107" s="19">
        <v>1</v>
      </c>
      <c r="AW107" s="19">
        <v>1</v>
      </c>
      <c r="AX107" s="19">
        <f>SUM(T107:AW107)</f>
        <v>26</v>
      </c>
      <c r="AY107" s="20"/>
      <c r="AZ107" s="19"/>
      <c r="BA107" s="20"/>
      <c r="BB107" s="50"/>
    </row>
    <row r="108" spans="1:54" ht="13.5" customHeight="1" x14ac:dyDescent="0.2">
      <c r="A108" s="104" t="s">
        <v>600</v>
      </c>
      <c r="B108" s="86" t="s">
        <v>104</v>
      </c>
      <c r="C108" s="26" t="s">
        <v>207</v>
      </c>
      <c r="D108" s="35" t="s">
        <v>208</v>
      </c>
      <c r="E108" s="26">
        <v>523</v>
      </c>
      <c r="F108" s="26" t="s">
        <v>2326</v>
      </c>
      <c r="G108" s="35" t="s">
        <v>1523</v>
      </c>
      <c r="H108" s="37">
        <v>1</v>
      </c>
      <c r="I108" s="37" t="s">
        <v>47</v>
      </c>
      <c r="J108" s="37">
        <v>1</v>
      </c>
      <c r="K108" s="37" t="s">
        <v>47</v>
      </c>
      <c r="L108" s="35" t="str">
        <f>VLOOKUP(Tabla411[[#This Row],[BTL CVE]],tblPDV[#All],13,0)</f>
        <v xml:space="preserve">BAUTISTA CORONA REYNA </v>
      </c>
      <c r="M108" s="26" t="s">
        <v>505</v>
      </c>
      <c r="N108" s="26" t="s">
        <v>54</v>
      </c>
      <c r="O108" s="26" t="s">
        <v>49</v>
      </c>
      <c r="P108" s="26" t="s">
        <v>49</v>
      </c>
      <c r="Q108" s="26" t="s">
        <v>50</v>
      </c>
      <c r="R108" s="38">
        <v>46113</v>
      </c>
      <c r="S108" s="38">
        <v>46142</v>
      </c>
      <c r="T108" s="19">
        <v>1</v>
      </c>
      <c r="U108" s="19">
        <v>1</v>
      </c>
      <c r="V108" s="19">
        <v>1</v>
      </c>
      <c r="W108" s="19">
        <v>1</v>
      </c>
      <c r="X108" s="22"/>
      <c r="Y108" s="19">
        <v>1</v>
      </c>
      <c r="Z108" s="19">
        <v>1</v>
      </c>
      <c r="AA108" s="19">
        <v>1</v>
      </c>
      <c r="AB108" s="19">
        <v>1</v>
      </c>
      <c r="AC108" s="19">
        <v>1</v>
      </c>
      <c r="AD108" s="19">
        <v>1</v>
      </c>
      <c r="AE108" s="22"/>
      <c r="AF108" s="19">
        <v>1</v>
      </c>
      <c r="AG108" s="19">
        <v>1</v>
      </c>
      <c r="AH108" s="19">
        <v>1</v>
      </c>
      <c r="AI108" s="19">
        <v>1</v>
      </c>
      <c r="AJ108" s="19">
        <v>1</v>
      </c>
      <c r="AK108" s="19">
        <v>1</v>
      </c>
      <c r="AL108" s="22"/>
      <c r="AM108" s="19">
        <v>1</v>
      </c>
      <c r="AN108" s="19">
        <v>1</v>
      </c>
      <c r="AO108" s="19">
        <v>1</v>
      </c>
      <c r="AP108" s="19">
        <v>1</v>
      </c>
      <c r="AQ108" s="19">
        <v>1</v>
      </c>
      <c r="AR108" s="19">
        <v>1</v>
      </c>
      <c r="AS108" s="22"/>
      <c r="AT108" s="19">
        <v>1</v>
      </c>
      <c r="AU108" s="19">
        <v>1</v>
      </c>
      <c r="AV108" s="19">
        <v>1</v>
      </c>
      <c r="AW108" s="19">
        <v>1</v>
      </c>
      <c r="AX108" s="19">
        <f>SUM(T108:AW108)</f>
        <v>26</v>
      </c>
      <c r="AY108" s="20"/>
      <c r="AZ108" s="19"/>
      <c r="BA108" s="20"/>
      <c r="BB108" s="49"/>
    </row>
    <row r="109" spans="1:54" ht="13.5" customHeight="1" x14ac:dyDescent="0.2">
      <c r="A109" s="104" t="s">
        <v>615</v>
      </c>
      <c r="B109" s="86" t="s">
        <v>104</v>
      </c>
      <c r="C109" s="26" t="s">
        <v>180</v>
      </c>
      <c r="D109" s="35" t="s">
        <v>181</v>
      </c>
      <c r="E109" s="26">
        <v>131</v>
      </c>
      <c r="F109" s="26" t="s">
        <v>2183</v>
      </c>
      <c r="G109" s="35" t="s">
        <v>1994</v>
      </c>
      <c r="H109" s="37">
        <v>1</v>
      </c>
      <c r="I109" s="37" t="s">
        <v>47</v>
      </c>
      <c r="J109" s="37">
        <v>1</v>
      </c>
      <c r="K109" s="37" t="s">
        <v>47</v>
      </c>
      <c r="L109" s="35" t="str">
        <f>VLOOKUP(Tabla411[[#This Row],[BTL CVE]],tblPDV[#All],13,0)</f>
        <v xml:space="preserve">LOPEZ GUTIERREZ LUZ EVELIA </v>
      </c>
      <c r="M109" s="26" t="s">
        <v>48</v>
      </c>
      <c r="N109" s="26" t="s">
        <v>54</v>
      </c>
      <c r="O109" s="26" t="s">
        <v>49</v>
      </c>
      <c r="P109" s="26" t="s">
        <v>49</v>
      </c>
      <c r="Q109" s="26" t="s">
        <v>50</v>
      </c>
      <c r="R109" s="38">
        <v>46113</v>
      </c>
      <c r="S109" s="38">
        <v>46142</v>
      </c>
      <c r="T109" s="19">
        <v>1</v>
      </c>
      <c r="U109" s="19">
        <v>1</v>
      </c>
      <c r="V109" s="19">
        <v>1</v>
      </c>
      <c r="W109" s="19">
        <v>1</v>
      </c>
      <c r="X109" s="22"/>
      <c r="Y109" s="19">
        <v>1</v>
      </c>
      <c r="Z109" s="19">
        <v>1</v>
      </c>
      <c r="AA109" s="19">
        <v>1</v>
      </c>
      <c r="AB109" s="19">
        <v>1</v>
      </c>
      <c r="AC109" s="19">
        <v>1</v>
      </c>
      <c r="AD109" s="19">
        <v>1</v>
      </c>
      <c r="AE109" s="22"/>
      <c r="AF109" s="19">
        <v>1</v>
      </c>
      <c r="AG109" s="19">
        <v>1</v>
      </c>
      <c r="AH109" s="19">
        <v>1</v>
      </c>
      <c r="AI109" s="19">
        <v>1</v>
      </c>
      <c r="AJ109" s="19">
        <v>1</v>
      </c>
      <c r="AK109" s="19">
        <v>1</v>
      </c>
      <c r="AL109" s="22"/>
      <c r="AM109" s="19">
        <v>1</v>
      </c>
      <c r="AN109" s="19">
        <v>1</v>
      </c>
      <c r="AO109" s="19">
        <v>1</v>
      </c>
      <c r="AP109" s="19">
        <v>1</v>
      </c>
      <c r="AQ109" s="19">
        <v>1</v>
      </c>
      <c r="AR109" s="19">
        <v>1</v>
      </c>
      <c r="AS109" s="22"/>
      <c r="AT109" s="19">
        <v>1</v>
      </c>
      <c r="AU109" s="19">
        <v>1</v>
      </c>
      <c r="AV109" s="19">
        <v>1</v>
      </c>
      <c r="AW109" s="19">
        <v>1</v>
      </c>
      <c r="AX109" s="19">
        <f>SUM(T109:AW109)</f>
        <v>26</v>
      </c>
      <c r="AY109" s="20"/>
      <c r="AZ109" s="19"/>
      <c r="BA109" s="20"/>
      <c r="BB109" s="49"/>
    </row>
    <row r="110" spans="1:54" ht="13.5" customHeight="1" x14ac:dyDescent="0.2">
      <c r="A110" s="104" t="s">
        <v>786</v>
      </c>
      <c r="B110" s="86" t="s">
        <v>104</v>
      </c>
      <c r="C110" s="26" t="s">
        <v>182</v>
      </c>
      <c r="D110" s="35" t="s">
        <v>183</v>
      </c>
      <c r="E110" s="26">
        <v>87</v>
      </c>
      <c r="F110" s="26" t="s">
        <v>2164</v>
      </c>
      <c r="G110" s="35" t="s">
        <v>1995</v>
      </c>
      <c r="H110" s="37">
        <v>1</v>
      </c>
      <c r="I110" s="37" t="s">
        <v>47</v>
      </c>
      <c r="J110" s="37">
        <v>1</v>
      </c>
      <c r="K110" s="37" t="s">
        <v>47</v>
      </c>
      <c r="L110" s="35" t="str">
        <f>VLOOKUP(Tabla411[[#This Row],[BTL CVE]],tblPDV[#All],13,0)</f>
        <v xml:space="preserve">BAUTISTA CORONA REYNA </v>
      </c>
      <c r="M110" s="26" t="s">
        <v>505</v>
      </c>
      <c r="N110" s="26" t="s">
        <v>54</v>
      </c>
      <c r="O110" s="26" t="s">
        <v>49</v>
      </c>
      <c r="P110" s="26" t="s">
        <v>49</v>
      </c>
      <c r="Q110" s="26" t="s">
        <v>50</v>
      </c>
      <c r="R110" s="38">
        <v>46113</v>
      </c>
      <c r="S110" s="38">
        <v>46142</v>
      </c>
      <c r="T110" s="19">
        <v>1</v>
      </c>
      <c r="U110" s="19">
        <v>1</v>
      </c>
      <c r="V110" s="19">
        <v>1</v>
      </c>
      <c r="W110" s="19">
        <v>1</v>
      </c>
      <c r="X110" s="22"/>
      <c r="Y110" s="19">
        <v>1</v>
      </c>
      <c r="Z110" s="19">
        <v>1</v>
      </c>
      <c r="AA110" s="19">
        <v>1</v>
      </c>
      <c r="AB110" s="19">
        <v>1</v>
      </c>
      <c r="AC110" s="19">
        <v>1</v>
      </c>
      <c r="AD110" s="19">
        <v>1</v>
      </c>
      <c r="AE110" s="22"/>
      <c r="AF110" s="19">
        <v>1</v>
      </c>
      <c r="AG110" s="19">
        <v>1</v>
      </c>
      <c r="AH110" s="19">
        <v>1</v>
      </c>
      <c r="AI110" s="19">
        <v>1</v>
      </c>
      <c r="AJ110" s="19">
        <v>1</v>
      </c>
      <c r="AK110" s="19">
        <v>1</v>
      </c>
      <c r="AL110" s="22"/>
      <c r="AM110" s="19">
        <v>1</v>
      </c>
      <c r="AN110" s="19">
        <v>1</v>
      </c>
      <c r="AO110" s="19">
        <v>1</v>
      </c>
      <c r="AP110" s="19">
        <v>1</v>
      </c>
      <c r="AQ110" s="19">
        <v>1</v>
      </c>
      <c r="AR110" s="19">
        <v>1</v>
      </c>
      <c r="AS110" s="22"/>
      <c r="AT110" s="19">
        <v>1</v>
      </c>
      <c r="AU110" s="19">
        <v>1</v>
      </c>
      <c r="AV110" s="19">
        <v>1</v>
      </c>
      <c r="AW110" s="19">
        <v>1</v>
      </c>
      <c r="AX110" s="19">
        <f>SUM(T110:AW110)</f>
        <v>26</v>
      </c>
      <c r="AY110" s="20"/>
      <c r="AZ110" s="19"/>
      <c r="BA110" s="20"/>
      <c r="BB110" s="49"/>
    </row>
    <row r="111" spans="1:54" ht="13.5" customHeight="1" x14ac:dyDescent="0.2">
      <c r="A111" s="104" t="s">
        <v>787</v>
      </c>
      <c r="B111" s="86" t="s">
        <v>104</v>
      </c>
      <c r="C111" s="26" t="s">
        <v>184</v>
      </c>
      <c r="D111" s="35" t="s">
        <v>185</v>
      </c>
      <c r="E111" s="26">
        <v>153</v>
      </c>
      <c r="F111" s="26" t="s">
        <v>2195</v>
      </c>
      <c r="G111" s="35" t="s">
        <v>1996</v>
      </c>
      <c r="H111" s="37">
        <v>1</v>
      </c>
      <c r="I111" s="37" t="s">
        <v>47</v>
      </c>
      <c r="J111" s="37">
        <v>1</v>
      </c>
      <c r="K111" s="37" t="s">
        <v>47</v>
      </c>
      <c r="L111" s="35" t="str">
        <f>VLOOKUP(Tabla411[[#This Row],[BTL CVE]],tblPDV[#All],13,0)</f>
        <v xml:space="preserve">LOPEZ ESTRADA SILVIA BERENICE </v>
      </c>
      <c r="M111" s="26" t="s">
        <v>502</v>
      </c>
      <c r="N111" s="26" t="s">
        <v>54</v>
      </c>
      <c r="O111" s="26" t="s">
        <v>49</v>
      </c>
      <c r="P111" s="26" t="s">
        <v>49</v>
      </c>
      <c r="Q111" s="26" t="s">
        <v>50</v>
      </c>
      <c r="R111" s="38">
        <v>46113</v>
      </c>
      <c r="S111" s="38">
        <v>46142</v>
      </c>
      <c r="T111" s="19">
        <v>1</v>
      </c>
      <c r="U111" s="19">
        <v>1</v>
      </c>
      <c r="V111" s="19">
        <v>1</v>
      </c>
      <c r="W111" s="19">
        <v>1</v>
      </c>
      <c r="X111" s="22"/>
      <c r="Y111" s="19">
        <v>1</v>
      </c>
      <c r="Z111" s="19">
        <v>1</v>
      </c>
      <c r="AA111" s="19">
        <v>1</v>
      </c>
      <c r="AB111" s="19">
        <v>1</v>
      </c>
      <c r="AC111" s="19">
        <v>1</v>
      </c>
      <c r="AD111" s="19">
        <v>1</v>
      </c>
      <c r="AE111" s="22"/>
      <c r="AF111" s="19">
        <v>1</v>
      </c>
      <c r="AG111" s="19">
        <v>1</v>
      </c>
      <c r="AH111" s="19">
        <v>1</v>
      </c>
      <c r="AI111" s="19">
        <v>1</v>
      </c>
      <c r="AJ111" s="19">
        <v>1</v>
      </c>
      <c r="AK111" s="19">
        <v>1</v>
      </c>
      <c r="AL111" s="22"/>
      <c r="AM111" s="19">
        <v>1</v>
      </c>
      <c r="AN111" s="19">
        <v>1</v>
      </c>
      <c r="AO111" s="19">
        <v>1</v>
      </c>
      <c r="AP111" s="19">
        <v>1</v>
      </c>
      <c r="AQ111" s="19">
        <v>1</v>
      </c>
      <c r="AR111" s="19">
        <v>1</v>
      </c>
      <c r="AS111" s="22"/>
      <c r="AT111" s="19">
        <v>1</v>
      </c>
      <c r="AU111" s="19">
        <v>1</v>
      </c>
      <c r="AV111" s="19">
        <v>1</v>
      </c>
      <c r="AW111" s="19">
        <v>1</v>
      </c>
      <c r="AX111" s="19">
        <f>SUM(T111:AW111)</f>
        <v>26</v>
      </c>
      <c r="AY111" s="20"/>
      <c r="AZ111" s="19"/>
      <c r="BA111" s="20"/>
      <c r="BB111" s="49"/>
    </row>
    <row r="112" spans="1:54" ht="13.5" customHeight="1" x14ac:dyDescent="0.2">
      <c r="A112" s="104" t="s">
        <v>616</v>
      </c>
      <c r="B112" s="86" t="s">
        <v>104</v>
      </c>
      <c r="C112" s="26" t="s">
        <v>186</v>
      </c>
      <c r="D112" s="35" t="s">
        <v>187</v>
      </c>
      <c r="E112" s="26">
        <v>365</v>
      </c>
      <c r="F112" s="26" t="s">
        <v>2267</v>
      </c>
      <c r="G112" s="35" t="s">
        <v>1490</v>
      </c>
      <c r="H112" s="37">
        <v>1</v>
      </c>
      <c r="I112" s="37" t="s">
        <v>47</v>
      </c>
      <c r="J112" s="37">
        <v>1</v>
      </c>
      <c r="K112" s="37" t="s">
        <v>47</v>
      </c>
      <c r="L112" s="35" t="str">
        <f>VLOOKUP(Tabla411[[#This Row],[BTL CVE]],tblPDV[#All],13,0)</f>
        <v>MONTAGNER OLIVARES MIGUEL ANGEL</v>
      </c>
      <c r="M112" s="26" t="s">
        <v>536</v>
      </c>
      <c r="N112" s="26" t="s">
        <v>54</v>
      </c>
      <c r="O112" s="26" t="s">
        <v>49</v>
      </c>
      <c r="P112" s="26" t="s">
        <v>49</v>
      </c>
      <c r="Q112" s="26" t="s">
        <v>50</v>
      </c>
      <c r="R112" s="38">
        <v>46113</v>
      </c>
      <c r="S112" s="38">
        <v>46142</v>
      </c>
      <c r="T112" s="19">
        <v>1</v>
      </c>
      <c r="U112" s="19">
        <v>1</v>
      </c>
      <c r="V112" s="19">
        <v>1</v>
      </c>
      <c r="W112" s="19">
        <v>1</v>
      </c>
      <c r="X112" s="22"/>
      <c r="Y112" s="19">
        <v>1</v>
      </c>
      <c r="Z112" s="19">
        <v>1</v>
      </c>
      <c r="AA112" s="19">
        <v>1</v>
      </c>
      <c r="AB112" s="19">
        <v>1</v>
      </c>
      <c r="AC112" s="19">
        <v>1</v>
      </c>
      <c r="AD112" s="19">
        <v>1</v>
      </c>
      <c r="AE112" s="22"/>
      <c r="AF112" s="19">
        <v>1</v>
      </c>
      <c r="AG112" s="19">
        <v>1</v>
      </c>
      <c r="AH112" s="19">
        <v>1</v>
      </c>
      <c r="AI112" s="19">
        <v>1</v>
      </c>
      <c r="AJ112" s="19">
        <v>1</v>
      </c>
      <c r="AK112" s="19">
        <v>1</v>
      </c>
      <c r="AL112" s="22"/>
      <c r="AM112" s="19">
        <v>1</v>
      </c>
      <c r="AN112" s="19">
        <v>1</v>
      </c>
      <c r="AO112" s="19">
        <v>1</v>
      </c>
      <c r="AP112" s="19">
        <v>1</v>
      </c>
      <c r="AQ112" s="19">
        <v>1</v>
      </c>
      <c r="AR112" s="19">
        <v>1</v>
      </c>
      <c r="AS112" s="22"/>
      <c r="AT112" s="19">
        <v>1</v>
      </c>
      <c r="AU112" s="19">
        <v>1</v>
      </c>
      <c r="AV112" s="19">
        <v>1</v>
      </c>
      <c r="AW112" s="19">
        <v>1</v>
      </c>
      <c r="AX112" s="19">
        <f>SUM(T112:AW112)</f>
        <v>26</v>
      </c>
      <c r="AY112" s="20"/>
      <c r="AZ112" s="19"/>
      <c r="BA112" s="20"/>
      <c r="BB112" s="49"/>
    </row>
    <row r="113" spans="1:54" ht="13.5" customHeight="1" x14ac:dyDescent="0.2">
      <c r="A113" s="104" t="s">
        <v>619</v>
      </c>
      <c r="B113" s="86" t="s">
        <v>104</v>
      </c>
      <c r="C113" s="26" t="s">
        <v>188</v>
      </c>
      <c r="D113" s="35" t="s">
        <v>189</v>
      </c>
      <c r="E113" s="26">
        <v>99</v>
      </c>
      <c r="F113" s="26" t="s">
        <v>2169</v>
      </c>
      <c r="G113" s="35" t="s">
        <v>1997</v>
      </c>
      <c r="H113" s="37">
        <v>1</v>
      </c>
      <c r="I113" s="37" t="s">
        <v>47</v>
      </c>
      <c r="J113" s="37">
        <v>1</v>
      </c>
      <c r="K113" s="37" t="s">
        <v>47</v>
      </c>
      <c r="L113" s="35" t="str">
        <f>VLOOKUP(Tabla411[[#This Row],[BTL CVE]],tblPDV[#All],13,0)</f>
        <v xml:space="preserve">REYES AYBAR LILIANA </v>
      </c>
      <c r="M113" s="26" t="s">
        <v>536</v>
      </c>
      <c r="N113" s="26" t="s">
        <v>54</v>
      </c>
      <c r="O113" s="26" t="s">
        <v>49</v>
      </c>
      <c r="P113" s="26" t="s">
        <v>49</v>
      </c>
      <c r="Q113" s="26" t="s">
        <v>50</v>
      </c>
      <c r="R113" s="38">
        <v>46113</v>
      </c>
      <c r="S113" s="38">
        <v>46142</v>
      </c>
      <c r="T113" s="19">
        <v>1</v>
      </c>
      <c r="U113" s="19">
        <v>1</v>
      </c>
      <c r="V113" s="19">
        <v>1</v>
      </c>
      <c r="W113" s="19">
        <v>1</v>
      </c>
      <c r="X113" s="22"/>
      <c r="Y113" s="19">
        <v>1</v>
      </c>
      <c r="Z113" s="19">
        <v>1</v>
      </c>
      <c r="AA113" s="19">
        <v>1</v>
      </c>
      <c r="AB113" s="19">
        <v>1</v>
      </c>
      <c r="AC113" s="19">
        <v>1</v>
      </c>
      <c r="AD113" s="19">
        <v>1</v>
      </c>
      <c r="AE113" s="22"/>
      <c r="AF113" s="19">
        <v>1</v>
      </c>
      <c r="AG113" s="19">
        <v>1</v>
      </c>
      <c r="AH113" s="19">
        <v>1</v>
      </c>
      <c r="AI113" s="19">
        <v>1</v>
      </c>
      <c r="AJ113" s="19">
        <v>1</v>
      </c>
      <c r="AK113" s="19">
        <v>1</v>
      </c>
      <c r="AL113" s="22"/>
      <c r="AM113" s="19">
        <v>1</v>
      </c>
      <c r="AN113" s="19">
        <v>1</v>
      </c>
      <c r="AO113" s="19">
        <v>1</v>
      </c>
      <c r="AP113" s="19">
        <v>1</v>
      </c>
      <c r="AQ113" s="19">
        <v>1</v>
      </c>
      <c r="AR113" s="19">
        <v>1</v>
      </c>
      <c r="AS113" s="22"/>
      <c r="AT113" s="19">
        <v>1</v>
      </c>
      <c r="AU113" s="19">
        <v>1</v>
      </c>
      <c r="AV113" s="19">
        <v>1</v>
      </c>
      <c r="AW113" s="19">
        <v>1</v>
      </c>
      <c r="AX113" s="19">
        <f>SUM(T113:AW113)</f>
        <v>26</v>
      </c>
      <c r="AY113" s="20"/>
      <c r="AZ113" s="19"/>
      <c r="BA113" s="20"/>
      <c r="BB113" s="49"/>
    </row>
    <row r="114" spans="1:54" ht="13.5" customHeight="1" x14ac:dyDescent="0.2">
      <c r="A114" s="104" t="s">
        <v>620</v>
      </c>
      <c r="B114" s="86" t="s">
        <v>104</v>
      </c>
      <c r="C114" s="26" t="s">
        <v>190</v>
      </c>
      <c r="D114" s="35" t="s">
        <v>191</v>
      </c>
      <c r="E114" s="26">
        <v>135</v>
      </c>
      <c r="F114" s="26" t="s">
        <v>2184</v>
      </c>
      <c r="G114" s="35" t="s">
        <v>1998</v>
      </c>
      <c r="H114" s="37">
        <v>1</v>
      </c>
      <c r="I114" s="37" t="s">
        <v>47</v>
      </c>
      <c r="J114" s="37">
        <v>1</v>
      </c>
      <c r="K114" s="37" t="s">
        <v>47</v>
      </c>
      <c r="L114" s="35" t="str">
        <f>VLOOKUP(Tabla411[[#This Row],[BTL CVE]],tblPDV[#All],13,0)</f>
        <v xml:space="preserve">ANIMAS SAUCEDO ANA CRISTINA </v>
      </c>
      <c r="M114" s="26" t="s">
        <v>503</v>
      </c>
      <c r="N114" s="26" t="s">
        <v>54</v>
      </c>
      <c r="O114" s="26" t="s">
        <v>49</v>
      </c>
      <c r="P114" s="26" t="s">
        <v>49</v>
      </c>
      <c r="Q114" s="26" t="s">
        <v>50</v>
      </c>
      <c r="R114" s="38">
        <v>46113</v>
      </c>
      <c r="S114" s="38">
        <v>46142</v>
      </c>
      <c r="T114" s="19">
        <v>1</v>
      </c>
      <c r="U114" s="19">
        <v>1</v>
      </c>
      <c r="V114" s="19">
        <v>1</v>
      </c>
      <c r="W114" s="19">
        <v>1</v>
      </c>
      <c r="X114" s="22"/>
      <c r="Y114" s="19">
        <v>1</v>
      </c>
      <c r="Z114" s="19">
        <v>1</v>
      </c>
      <c r="AA114" s="19">
        <v>1</v>
      </c>
      <c r="AB114" s="19">
        <v>1</v>
      </c>
      <c r="AC114" s="19">
        <v>1</v>
      </c>
      <c r="AD114" s="19">
        <v>1</v>
      </c>
      <c r="AE114" s="22"/>
      <c r="AF114" s="19">
        <v>1</v>
      </c>
      <c r="AG114" s="19">
        <v>1</v>
      </c>
      <c r="AH114" s="19">
        <v>1</v>
      </c>
      <c r="AI114" s="19">
        <v>1</v>
      </c>
      <c r="AJ114" s="19">
        <v>1</v>
      </c>
      <c r="AK114" s="19">
        <v>1</v>
      </c>
      <c r="AL114" s="22"/>
      <c r="AM114" s="19">
        <v>1</v>
      </c>
      <c r="AN114" s="19">
        <v>1</v>
      </c>
      <c r="AO114" s="19">
        <v>1</v>
      </c>
      <c r="AP114" s="19">
        <v>1</v>
      </c>
      <c r="AQ114" s="19">
        <v>1</v>
      </c>
      <c r="AR114" s="19">
        <v>1</v>
      </c>
      <c r="AS114" s="22"/>
      <c r="AT114" s="19">
        <v>1</v>
      </c>
      <c r="AU114" s="19">
        <v>1</v>
      </c>
      <c r="AV114" s="19">
        <v>1</v>
      </c>
      <c r="AW114" s="19">
        <v>1</v>
      </c>
      <c r="AX114" s="19">
        <f>SUM(T114:AW114)</f>
        <v>26</v>
      </c>
      <c r="AY114" s="20"/>
      <c r="AZ114" s="19"/>
      <c r="BA114" s="20"/>
      <c r="BB114" s="49"/>
    </row>
    <row r="115" spans="1:54" ht="13.5" customHeight="1" x14ac:dyDescent="0.2">
      <c r="A115" s="104" t="s">
        <v>1417</v>
      </c>
      <c r="B115" s="86" t="s">
        <v>104</v>
      </c>
      <c r="C115" s="26" t="s">
        <v>482</v>
      </c>
      <c r="D115" s="35" t="s">
        <v>483</v>
      </c>
      <c r="E115" s="26">
        <v>264</v>
      </c>
      <c r="F115" s="26" t="s">
        <v>2235</v>
      </c>
      <c r="G115" s="35" t="s">
        <v>2001</v>
      </c>
      <c r="H115" s="37">
        <v>1</v>
      </c>
      <c r="I115" s="37" t="s">
        <v>47</v>
      </c>
      <c r="J115" s="37">
        <v>1</v>
      </c>
      <c r="K115" s="37" t="s">
        <v>47</v>
      </c>
      <c r="L115" s="35" t="str">
        <f>VLOOKUP(Tabla411[[#This Row],[BTL CVE]],tblPDV[#All],13,0)</f>
        <v xml:space="preserve">ANIMAS SAUCEDO ANA CRISTINA </v>
      </c>
      <c r="M115" s="26" t="s">
        <v>503</v>
      </c>
      <c r="N115" s="26" t="s">
        <v>54</v>
      </c>
      <c r="O115" s="26" t="s">
        <v>49</v>
      </c>
      <c r="P115" s="26" t="s">
        <v>49</v>
      </c>
      <c r="Q115" s="26" t="s">
        <v>50</v>
      </c>
      <c r="R115" s="38">
        <v>46113</v>
      </c>
      <c r="S115" s="38">
        <v>46142</v>
      </c>
      <c r="T115" s="19">
        <v>1</v>
      </c>
      <c r="U115" s="19">
        <v>1</v>
      </c>
      <c r="V115" s="19">
        <v>1</v>
      </c>
      <c r="W115" s="19">
        <v>1</v>
      </c>
      <c r="X115" s="22"/>
      <c r="Y115" s="19">
        <v>1</v>
      </c>
      <c r="Z115" s="19">
        <v>1</v>
      </c>
      <c r="AA115" s="19">
        <v>1</v>
      </c>
      <c r="AB115" s="19">
        <v>1</v>
      </c>
      <c r="AC115" s="19">
        <v>1</v>
      </c>
      <c r="AD115" s="19">
        <v>1</v>
      </c>
      <c r="AE115" s="22"/>
      <c r="AF115" s="19">
        <v>1</v>
      </c>
      <c r="AG115" s="19">
        <v>1</v>
      </c>
      <c r="AH115" s="19">
        <v>1</v>
      </c>
      <c r="AI115" s="19">
        <v>1</v>
      </c>
      <c r="AJ115" s="19">
        <v>1</v>
      </c>
      <c r="AK115" s="19">
        <v>1</v>
      </c>
      <c r="AL115" s="22"/>
      <c r="AM115" s="19">
        <v>1</v>
      </c>
      <c r="AN115" s="19">
        <v>1</v>
      </c>
      <c r="AO115" s="19">
        <v>1</v>
      </c>
      <c r="AP115" s="19">
        <v>1</v>
      </c>
      <c r="AQ115" s="19">
        <v>1</v>
      </c>
      <c r="AR115" s="19">
        <v>1</v>
      </c>
      <c r="AS115" s="22"/>
      <c r="AT115" s="19">
        <v>1</v>
      </c>
      <c r="AU115" s="19">
        <v>1</v>
      </c>
      <c r="AV115" s="19">
        <v>1</v>
      </c>
      <c r="AW115" s="19">
        <v>1</v>
      </c>
      <c r="AX115" s="19">
        <f>SUM(T115:AW115)</f>
        <v>26</v>
      </c>
      <c r="AY115" s="20"/>
      <c r="AZ115" s="19"/>
      <c r="BA115" s="20"/>
      <c r="BB115" s="49"/>
    </row>
    <row r="116" spans="1:54" ht="13.5" customHeight="1" x14ac:dyDescent="0.2">
      <c r="A116" s="104" t="s">
        <v>603</v>
      </c>
      <c r="B116" s="86" t="s">
        <v>104</v>
      </c>
      <c r="C116" s="37" t="s">
        <v>154</v>
      </c>
      <c r="D116" s="35" t="s">
        <v>155</v>
      </c>
      <c r="E116" s="26">
        <v>335</v>
      </c>
      <c r="F116" s="26" t="s">
        <v>2255</v>
      </c>
      <c r="G116" s="35" t="s">
        <v>2002</v>
      </c>
      <c r="H116" s="37">
        <v>1</v>
      </c>
      <c r="I116" s="37" t="s">
        <v>47</v>
      </c>
      <c r="J116" s="37">
        <v>1</v>
      </c>
      <c r="K116" s="26" t="s">
        <v>47</v>
      </c>
      <c r="L116" s="35" t="str">
        <f>VLOOKUP(Tabla411[[#This Row],[BTL CVE]],tblPDV[#All],13,0)</f>
        <v xml:space="preserve">REYES AYBAR LILIANA </v>
      </c>
      <c r="M116" s="26" t="s">
        <v>536</v>
      </c>
      <c r="N116" s="26" t="s">
        <v>54</v>
      </c>
      <c r="O116" s="26" t="s">
        <v>49</v>
      </c>
      <c r="P116" s="26" t="s">
        <v>49</v>
      </c>
      <c r="Q116" s="26" t="s">
        <v>50</v>
      </c>
      <c r="R116" s="38">
        <v>46113</v>
      </c>
      <c r="S116" s="38">
        <v>46142</v>
      </c>
      <c r="T116" s="19">
        <v>1</v>
      </c>
      <c r="U116" s="19">
        <v>1</v>
      </c>
      <c r="V116" s="19">
        <v>1</v>
      </c>
      <c r="W116" s="19">
        <v>1</v>
      </c>
      <c r="X116" s="22"/>
      <c r="Y116" s="19">
        <v>1</v>
      </c>
      <c r="Z116" s="19">
        <v>1</v>
      </c>
      <c r="AA116" s="19">
        <v>1</v>
      </c>
      <c r="AB116" s="19">
        <v>1</v>
      </c>
      <c r="AC116" s="19">
        <v>1</v>
      </c>
      <c r="AD116" s="19">
        <v>1</v>
      </c>
      <c r="AE116" s="22"/>
      <c r="AF116" s="19">
        <v>1</v>
      </c>
      <c r="AG116" s="19">
        <v>1</v>
      </c>
      <c r="AH116" s="19">
        <v>1</v>
      </c>
      <c r="AI116" s="19">
        <v>1</v>
      </c>
      <c r="AJ116" s="19">
        <v>1</v>
      </c>
      <c r="AK116" s="19">
        <v>1</v>
      </c>
      <c r="AL116" s="22"/>
      <c r="AM116" s="19">
        <v>1</v>
      </c>
      <c r="AN116" s="19">
        <v>1</v>
      </c>
      <c r="AO116" s="19">
        <v>1</v>
      </c>
      <c r="AP116" s="19">
        <v>1</v>
      </c>
      <c r="AQ116" s="19">
        <v>1</v>
      </c>
      <c r="AR116" s="19">
        <v>1</v>
      </c>
      <c r="AS116" s="22"/>
      <c r="AT116" s="19">
        <v>1</v>
      </c>
      <c r="AU116" s="19">
        <v>1</v>
      </c>
      <c r="AV116" s="19">
        <v>1</v>
      </c>
      <c r="AW116" s="19">
        <v>1</v>
      </c>
      <c r="AX116" s="19">
        <f>SUM(T116:AW116)</f>
        <v>26</v>
      </c>
      <c r="AY116" s="20"/>
      <c r="AZ116" s="19"/>
      <c r="BA116" s="20"/>
      <c r="BB116" s="49"/>
    </row>
    <row r="117" spans="1:54" ht="13.5" customHeight="1" x14ac:dyDescent="0.2">
      <c r="A117" s="104" t="s">
        <v>634</v>
      </c>
      <c r="B117" s="86" t="s">
        <v>104</v>
      </c>
      <c r="C117" s="26" t="s">
        <v>420</v>
      </c>
      <c r="D117" s="35" t="s">
        <v>421</v>
      </c>
      <c r="E117" s="26"/>
      <c r="F117" s="26"/>
      <c r="G117" s="35" t="s">
        <v>2098</v>
      </c>
      <c r="H117" s="37">
        <v>0.5</v>
      </c>
      <c r="I117" s="37" t="s">
        <v>53</v>
      </c>
      <c r="J117" s="37">
        <v>0.5</v>
      </c>
      <c r="K117" s="37" t="s">
        <v>53</v>
      </c>
      <c r="L117" s="35" t="str">
        <f>VLOOKUP(Tabla411[[#This Row],[BTL CVE]],tblPDV[#All],13,0)</f>
        <v xml:space="preserve">MONROY GONZALEZ MARIA ZENAIDA </v>
      </c>
      <c r="M117" s="26" t="s">
        <v>536</v>
      </c>
      <c r="N117" s="26" t="s">
        <v>54</v>
      </c>
      <c r="O117" s="26" t="s">
        <v>55</v>
      </c>
      <c r="P117" s="44" t="s">
        <v>55</v>
      </c>
      <c r="Q117" s="26" t="s">
        <v>50</v>
      </c>
      <c r="R117" s="38">
        <v>46113</v>
      </c>
      <c r="S117" s="38">
        <v>46142</v>
      </c>
      <c r="T117" s="19">
        <v>1</v>
      </c>
      <c r="U117" s="19"/>
      <c r="V117" s="19"/>
      <c r="W117" s="19"/>
      <c r="X117" s="22"/>
      <c r="Y117" s="19">
        <v>1</v>
      </c>
      <c r="Z117" s="19">
        <v>1</v>
      </c>
      <c r="AA117" s="19">
        <v>1</v>
      </c>
      <c r="AB117" s="19"/>
      <c r="AC117" s="19"/>
      <c r="AD117" s="19"/>
      <c r="AE117" s="22"/>
      <c r="AF117" s="19">
        <v>1</v>
      </c>
      <c r="AG117" s="19">
        <v>1</v>
      </c>
      <c r="AH117" s="19">
        <v>1</v>
      </c>
      <c r="AI117" s="19"/>
      <c r="AJ117" s="19"/>
      <c r="AK117" s="19"/>
      <c r="AL117" s="22"/>
      <c r="AM117" s="19">
        <v>1</v>
      </c>
      <c r="AN117" s="19">
        <v>1</v>
      </c>
      <c r="AO117" s="19">
        <v>1</v>
      </c>
      <c r="AP117" s="19"/>
      <c r="AQ117" s="19"/>
      <c r="AR117" s="19"/>
      <c r="AS117" s="22"/>
      <c r="AT117" s="19">
        <v>1</v>
      </c>
      <c r="AU117" s="19">
        <v>1</v>
      </c>
      <c r="AV117" s="19">
        <v>1</v>
      </c>
      <c r="AW117" s="19"/>
      <c r="AX117" s="19">
        <f>SUM(T117:AW117)</f>
        <v>13</v>
      </c>
      <c r="AY117" s="20"/>
      <c r="AZ117" s="19"/>
      <c r="BA117" s="20"/>
      <c r="BB117" s="49"/>
    </row>
    <row r="118" spans="1:54" ht="13.5" customHeight="1" x14ac:dyDescent="0.2">
      <c r="A118" s="104" t="s">
        <v>636</v>
      </c>
      <c r="B118" s="86" t="s">
        <v>104</v>
      </c>
      <c r="C118" s="26" t="s">
        <v>426</v>
      </c>
      <c r="D118" s="35" t="s">
        <v>427</v>
      </c>
      <c r="E118" s="26"/>
      <c r="F118" s="26"/>
      <c r="G118" s="35" t="s">
        <v>2098</v>
      </c>
      <c r="H118" s="37">
        <v>0.5</v>
      </c>
      <c r="I118" s="37" t="s">
        <v>53</v>
      </c>
      <c r="J118" s="37">
        <v>0.5</v>
      </c>
      <c r="K118" s="37" t="s">
        <v>53</v>
      </c>
      <c r="L118" s="35" t="str">
        <f>VLOOKUP(Tabla411[[#This Row],[BTL CVE]],tblPDV[#All],13,0)</f>
        <v xml:space="preserve">MONROY GONZALEZ MARIA ZENAIDA </v>
      </c>
      <c r="M118" s="26" t="s">
        <v>536</v>
      </c>
      <c r="N118" s="26" t="s">
        <v>54</v>
      </c>
      <c r="O118" s="26" t="s">
        <v>66</v>
      </c>
      <c r="P118" s="44" t="s">
        <v>66</v>
      </c>
      <c r="Q118" s="26" t="s">
        <v>50</v>
      </c>
      <c r="R118" s="38">
        <v>46113</v>
      </c>
      <c r="S118" s="38">
        <v>46142</v>
      </c>
      <c r="T118" s="19"/>
      <c r="U118" s="19">
        <v>1</v>
      </c>
      <c r="V118" s="19">
        <v>1</v>
      </c>
      <c r="W118" s="19">
        <v>1</v>
      </c>
      <c r="X118" s="22"/>
      <c r="Y118" s="19"/>
      <c r="Z118" s="19"/>
      <c r="AA118" s="19"/>
      <c r="AB118" s="19">
        <v>1</v>
      </c>
      <c r="AC118" s="19">
        <v>1</v>
      </c>
      <c r="AD118" s="19">
        <v>1</v>
      </c>
      <c r="AE118" s="22"/>
      <c r="AF118" s="19"/>
      <c r="AG118" s="19"/>
      <c r="AH118" s="19"/>
      <c r="AI118" s="19">
        <v>1</v>
      </c>
      <c r="AJ118" s="19">
        <v>1</v>
      </c>
      <c r="AK118" s="19">
        <v>1</v>
      </c>
      <c r="AL118" s="22"/>
      <c r="AM118" s="19"/>
      <c r="AN118" s="19"/>
      <c r="AO118" s="19"/>
      <c r="AP118" s="19">
        <v>1</v>
      </c>
      <c r="AQ118" s="19">
        <v>1</v>
      </c>
      <c r="AR118" s="19">
        <v>1</v>
      </c>
      <c r="AS118" s="22"/>
      <c r="AT118" s="19"/>
      <c r="AU118" s="19"/>
      <c r="AV118" s="19"/>
      <c r="AW118" s="19">
        <v>1</v>
      </c>
      <c r="AX118" s="19">
        <f>SUM(T118:AW118)</f>
        <v>13</v>
      </c>
      <c r="AY118" s="20"/>
      <c r="AZ118" s="19"/>
      <c r="BA118" s="20"/>
      <c r="BB118" s="49"/>
    </row>
    <row r="119" spans="1:54" ht="13.5" customHeight="1" x14ac:dyDescent="0.2">
      <c r="A119" s="104" t="s">
        <v>640</v>
      </c>
      <c r="B119" s="86" t="s">
        <v>211</v>
      </c>
      <c r="C119" s="26" t="s">
        <v>212</v>
      </c>
      <c r="D119" s="35" t="s">
        <v>212</v>
      </c>
      <c r="E119" s="26">
        <v>375</v>
      </c>
      <c r="F119" s="26" t="s">
        <v>2270</v>
      </c>
      <c r="G119" s="35" t="s">
        <v>213</v>
      </c>
      <c r="H119" s="37">
        <v>0.5</v>
      </c>
      <c r="I119" s="37" t="s">
        <v>53</v>
      </c>
      <c r="J119" s="37">
        <v>0.5</v>
      </c>
      <c r="K119" s="37" t="s">
        <v>53</v>
      </c>
      <c r="L119" s="35" t="str">
        <f>VLOOKUP(Tabla411[[#This Row],[BTL CVE]],tblPDV[#All],13,0)</f>
        <v xml:space="preserve">BAUTISTA CORONA REYNA </v>
      </c>
      <c r="M119" s="26" t="s">
        <v>505</v>
      </c>
      <c r="N119" s="26" t="s">
        <v>54</v>
      </c>
      <c r="O119" s="26" t="s">
        <v>55</v>
      </c>
      <c r="P119" s="26" t="s">
        <v>55</v>
      </c>
      <c r="Q119" s="26" t="s">
        <v>50</v>
      </c>
      <c r="R119" s="38">
        <v>46113</v>
      </c>
      <c r="S119" s="38">
        <v>46142</v>
      </c>
      <c r="T119" s="19">
        <v>1</v>
      </c>
      <c r="U119" s="19"/>
      <c r="V119" s="19"/>
      <c r="W119" s="19"/>
      <c r="X119" s="22"/>
      <c r="Y119" s="19">
        <v>1</v>
      </c>
      <c r="Z119" s="19">
        <v>1</v>
      </c>
      <c r="AA119" s="19">
        <v>1</v>
      </c>
      <c r="AB119" s="19"/>
      <c r="AC119" s="19"/>
      <c r="AD119" s="19"/>
      <c r="AE119" s="22"/>
      <c r="AF119" s="19">
        <v>1</v>
      </c>
      <c r="AG119" s="19">
        <v>1</v>
      </c>
      <c r="AH119" s="19">
        <v>1</v>
      </c>
      <c r="AI119" s="19"/>
      <c r="AJ119" s="19"/>
      <c r="AK119" s="19"/>
      <c r="AL119" s="22"/>
      <c r="AM119" s="19">
        <v>1</v>
      </c>
      <c r="AN119" s="19">
        <v>1</v>
      </c>
      <c r="AO119" s="19">
        <v>1</v>
      </c>
      <c r="AP119" s="19"/>
      <c r="AQ119" s="19"/>
      <c r="AR119" s="19"/>
      <c r="AS119" s="22"/>
      <c r="AT119" s="19">
        <v>1</v>
      </c>
      <c r="AU119" s="19">
        <v>1</v>
      </c>
      <c r="AV119" s="19">
        <v>1</v>
      </c>
      <c r="AW119" s="19"/>
      <c r="AX119" s="19">
        <f>SUM(T119:AW119)</f>
        <v>13</v>
      </c>
      <c r="AY119" s="20"/>
      <c r="AZ119" s="19"/>
      <c r="BA119" s="20"/>
      <c r="BB119" s="49"/>
    </row>
    <row r="120" spans="1:54" ht="13.5" customHeight="1" x14ac:dyDescent="0.2">
      <c r="A120" s="104" t="s">
        <v>641</v>
      </c>
      <c r="B120" s="86" t="s">
        <v>211</v>
      </c>
      <c r="C120" s="26" t="s">
        <v>214</v>
      </c>
      <c r="D120" s="35" t="s">
        <v>214</v>
      </c>
      <c r="E120" s="26">
        <v>375</v>
      </c>
      <c r="F120" s="26" t="s">
        <v>2270</v>
      </c>
      <c r="G120" s="35" t="s">
        <v>213</v>
      </c>
      <c r="H120" s="37">
        <v>0.5</v>
      </c>
      <c r="I120" s="37" t="s">
        <v>53</v>
      </c>
      <c r="J120" s="37">
        <v>0.5</v>
      </c>
      <c r="K120" s="37" t="s">
        <v>53</v>
      </c>
      <c r="L120" s="35" t="str">
        <f>VLOOKUP(Tabla411[[#This Row],[BTL CVE]],tblPDV[#All],13,0)</f>
        <v xml:space="preserve">BAUTISTA CORONA REYNA </v>
      </c>
      <c r="M120" s="26" t="s">
        <v>505</v>
      </c>
      <c r="N120" s="26" t="s">
        <v>54</v>
      </c>
      <c r="O120" s="26" t="s">
        <v>66</v>
      </c>
      <c r="P120" s="88" t="s">
        <v>66</v>
      </c>
      <c r="Q120" s="26" t="s">
        <v>50</v>
      </c>
      <c r="R120" s="38">
        <v>46113</v>
      </c>
      <c r="S120" s="38">
        <v>46142</v>
      </c>
      <c r="T120" s="19"/>
      <c r="U120" s="19">
        <v>1</v>
      </c>
      <c r="V120" s="19">
        <v>1</v>
      </c>
      <c r="W120" s="19">
        <v>1</v>
      </c>
      <c r="X120" s="22"/>
      <c r="Y120" s="19"/>
      <c r="Z120" s="19"/>
      <c r="AA120" s="19"/>
      <c r="AB120" s="19">
        <v>1</v>
      </c>
      <c r="AC120" s="19">
        <v>1</v>
      </c>
      <c r="AD120" s="19">
        <v>1</v>
      </c>
      <c r="AE120" s="22"/>
      <c r="AF120" s="19"/>
      <c r="AG120" s="19"/>
      <c r="AH120" s="19"/>
      <c r="AI120" s="19">
        <v>1</v>
      </c>
      <c r="AJ120" s="19">
        <v>1</v>
      </c>
      <c r="AK120" s="19">
        <v>1</v>
      </c>
      <c r="AL120" s="22"/>
      <c r="AM120" s="19"/>
      <c r="AN120" s="19"/>
      <c r="AO120" s="19"/>
      <c r="AP120" s="19">
        <v>1</v>
      </c>
      <c r="AQ120" s="19">
        <v>1</v>
      </c>
      <c r="AR120" s="19">
        <v>1</v>
      </c>
      <c r="AS120" s="22"/>
      <c r="AT120" s="19"/>
      <c r="AU120" s="19"/>
      <c r="AV120" s="19"/>
      <c r="AW120" s="19">
        <v>1</v>
      </c>
      <c r="AX120" s="19">
        <f>SUM(T120:AW120)</f>
        <v>13</v>
      </c>
      <c r="AY120" s="20"/>
      <c r="AZ120" s="19"/>
      <c r="BA120" s="20"/>
      <c r="BB120" s="49"/>
    </row>
    <row r="121" spans="1:54" ht="13.5" customHeight="1" x14ac:dyDescent="0.2">
      <c r="A121" s="104" t="s">
        <v>791</v>
      </c>
      <c r="B121" s="86" t="s">
        <v>215</v>
      </c>
      <c r="C121" s="26">
        <v>1062</v>
      </c>
      <c r="D121" s="35" t="s">
        <v>218</v>
      </c>
      <c r="E121" s="26">
        <v>213</v>
      </c>
      <c r="F121" s="26" t="s">
        <v>2217</v>
      </c>
      <c r="G121" s="35" t="s">
        <v>2003</v>
      </c>
      <c r="H121" s="37">
        <v>1</v>
      </c>
      <c r="I121" s="37" t="s">
        <v>47</v>
      </c>
      <c r="J121" s="37">
        <v>1</v>
      </c>
      <c r="K121" s="37" t="s">
        <v>47</v>
      </c>
      <c r="L121" s="35" t="str">
        <f>VLOOKUP(Tabla411[[#This Row],[BTL CVE]],tblPDV[#All],13,0)</f>
        <v>MONTAGNER OLIVARES MIGUEL ANGEL</v>
      </c>
      <c r="M121" s="26" t="s">
        <v>536</v>
      </c>
      <c r="N121" s="26" t="s">
        <v>54</v>
      </c>
      <c r="O121" s="26" t="s">
        <v>49</v>
      </c>
      <c r="P121" s="26" t="s">
        <v>49</v>
      </c>
      <c r="Q121" s="26" t="s">
        <v>50</v>
      </c>
      <c r="R121" s="38">
        <v>46113</v>
      </c>
      <c r="S121" s="38">
        <v>46142</v>
      </c>
      <c r="T121" s="19">
        <v>1</v>
      </c>
      <c r="U121" s="19">
        <v>1</v>
      </c>
      <c r="V121" s="19">
        <v>1</v>
      </c>
      <c r="W121" s="19">
        <v>1</v>
      </c>
      <c r="X121" s="22"/>
      <c r="Y121" s="19">
        <v>1</v>
      </c>
      <c r="Z121" s="19">
        <v>1</v>
      </c>
      <c r="AA121" s="19">
        <v>1</v>
      </c>
      <c r="AB121" s="19">
        <v>1</v>
      </c>
      <c r="AC121" s="19">
        <v>1</v>
      </c>
      <c r="AD121" s="19">
        <v>1</v>
      </c>
      <c r="AE121" s="22"/>
      <c r="AF121" s="19">
        <v>1</v>
      </c>
      <c r="AG121" s="19">
        <v>1</v>
      </c>
      <c r="AH121" s="19">
        <v>1</v>
      </c>
      <c r="AI121" s="19">
        <v>1</v>
      </c>
      <c r="AJ121" s="19">
        <v>1</v>
      </c>
      <c r="AK121" s="19">
        <v>1</v>
      </c>
      <c r="AL121" s="22"/>
      <c r="AM121" s="19">
        <v>1</v>
      </c>
      <c r="AN121" s="19">
        <v>1</v>
      </c>
      <c r="AO121" s="19">
        <v>1</v>
      </c>
      <c r="AP121" s="19">
        <v>1</v>
      </c>
      <c r="AQ121" s="19">
        <v>1</v>
      </c>
      <c r="AR121" s="19">
        <v>1</v>
      </c>
      <c r="AS121" s="22"/>
      <c r="AT121" s="19">
        <v>1</v>
      </c>
      <c r="AU121" s="19">
        <v>1</v>
      </c>
      <c r="AV121" s="19">
        <v>1</v>
      </c>
      <c r="AW121" s="19">
        <v>1</v>
      </c>
      <c r="AX121" s="19">
        <f>SUM(T121:AW121)</f>
        <v>26</v>
      </c>
      <c r="AY121" s="20"/>
      <c r="AZ121" s="19"/>
      <c r="BA121" s="20"/>
      <c r="BB121" s="49" t="s">
        <v>1565</v>
      </c>
    </row>
    <row r="122" spans="1:54" ht="13.5" customHeight="1" x14ac:dyDescent="0.2">
      <c r="A122" s="104" t="s">
        <v>645</v>
      </c>
      <c r="B122" s="105" t="s">
        <v>215</v>
      </c>
      <c r="C122" s="26">
        <v>24</v>
      </c>
      <c r="D122" s="35" t="s">
        <v>219</v>
      </c>
      <c r="E122" s="26">
        <v>585</v>
      </c>
      <c r="F122" s="26" t="s">
        <v>2392</v>
      </c>
      <c r="G122" s="35" t="s">
        <v>2004</v>
      </c>
      <c r="H122" s="37">
        <v>1</v>
      </c>
      <c r="I122" s="37" t="s">
        <v>47</v>
      </c>
      <c r="J122" s="37">
        <v>1</v>
      </c>
      <c r="K122" s="26" t="s">
        <v>47</v>
      </c>
      <c r="L122" s="35" t="str">
        <f>VLOOKUP(Tabla411[[#This Row],[BTL CVE]],tblPDV[#All],13,0)</f>
        <v xml:space="preserve">LOPEZ ESTRADA SILVIA BERENICE </v>
      </c>
      <c r="M122" s="26" t="s">
        <v>502</v>
      </c>
      <c r="N122" s="26" t="s">
        <v>54</v>
      </c>
      <c r="O122" s="26" t="s">
        <v>49</v>
      </c>
      <c r="P122" s="26" t="s">
        <v>49</v>
      </c>
      <c r="Q122" s="26" t="s">
        <v>50</v>
      </c>
      <c r="R122" s="38">
        <v>46113</v>
      </c>
      <c r="S122" s="38">
        <v>46142</v>
      </c>
      <c r="T122" s="19">
        <v>1</v>
      </c>
      <c r="U122" s="19">
        <v>1</v>
      </c>
      <c r="V122" s="19">
        <v>1</v>
      </c>
      <c r="W122" s="19">
        <v>1</v>
      </c>
      <c r="X122" s="22"/>
      <c r="Y122" s="19">
        <v>1</v>
      </c>
      <c r="Z122" s="19">
        <v>1</v>
      </c>
      <c r="AA122" s="19">
        <v>1</v>
      </c>
      <c r="AB122" s="19">
        <v>1</v>
      </c>
      <c r="AC122" s="19">
        <v>1</v>
      </c>
      <c r="AD122" s="19">
        <v>1</v>
      </c>
      <c r="AE122" s="22"/>
      <c r="AF122" s="19">
        <v>1</v>
      </c>
      <c r="AG122" s="19">
        <v>1</v>
      </c>
      <c r="AH122" s="19">
        <v>1</v>
      </c>
      <c r="AI122" s="19">
        <v>1</v>
      </c>
      <c r="AJ122" s="19">
        <v>1</v>
      </c>
      <c r="AK122" s="19">
        <v>1</v>
      </c>
      <c r="AL122" s="22"/>
      <c r="AM122" s="19">
        <v>1</v>
      </c>
      <c r="AN122" s="19">
        <v>1</v>
      </c>
      <c r="AO122" s="19">
        <v>1</v>
      </c>
      <c r="AP122" s="19">
        <v>1</v>
      </c>
      <c r="AQ122" s="19">
        <v>1</v>
      </c>
      <c r="AR122" s="19">
        <v>1</v>
      </c>
      <c r="AS122" s="22"/>
      <c r="AT122" s="19">
        <v>1</v>
      </c>
      <c r="AU122" s="19">
        <v>1</v>
      </c>
      <c r="AV122" s="19">
        <v>1</v>
      </c>
      <c r="AW122" s="19">
        <v>1</v>
      </c>
      <c r="AX122" s="19">
        <f>SUM(T122:AW122)</f>
        <v>26</v>
      </c>
      <c r="AY122" s="20"/>
      <c r="AZ122" s="19"/>
      <c r="BA122" s="20"/>
      <c r="BB122" s="49"/>
    </row>
    <row r="123" spans="1:54" ht="13.5" customHeight="1" x14ac:dyDescent="0.2">
      <c r="A123" s="104" t="s">
        <v>644</v>
      </c>
      <c r="B123" s="86" t="s">
        <v>215</v>
      </c>
      <c r="C123" s="26">
        <v>23</v>
      </c>
      <c r="D123" s="35" t="s">
        <v>220</v>
      </c>
      <c r="E123" s="26">
        <v>469</v>
      </c>
      <c r="F123" s="26" t="s">
        <v>2299</v>
      </c>
      <c r="G123" s="35" t="s">
        <v>221</v>
      </c>
      <c r="H123" s="37">
        <v>1</v>
      </c>
      <c r="I123" s="37" t="s">
        <v>47</v>
      </c>
      <c r="J123" s="37">
        <v>1</v>
      </c>
      <c r="K123" s="26" t="s">
        <v>47</v>
      </c>
      <c r="L123" s="35" t="str">
        <f>VLOOKUP(Tabla411[[#This Row],[BTL CVE]],tblPDV[#All],13,0)</f>
        <v xml:space="preserve">LOPEZ ESTRADA SILVIA BERENICE </v>
      </c>
      <c r="M123" s="26" t="s">
        <v>502</v>
      </c>
      <c r="N123" s="26" t="s">
        <v>54</v>
      </c>
      <c r="O123" s="26" t="s">
        <v>49</v>
      </c>
      <c r="P123" s="26" t="s">
        <v>49</v>
      </c>
      <c r="Q123" s="26" t="s">
        <v>50</v>
      </c>
      <c r="R123" s="38">
        <v>46113</v>
      </c>
      <c r="S123" s="38">
        <v>46142</v>
      </c>
      <c r="T123" s="19">
        <v>1</v>
      </c>
      <c r="U123" s="19">
        <v>1</v>
      </c>
      <c r="V123" s="19">
        <v>1</v>
      </c>
      <c r="W123" s="19">
        <v>1</v>
      </c>
      <c r="X123" s="22"/>
      <c r="Y123" s="19">
        <v>1</v>
      </c>
      <c r="Z123" s="19">
        <v>1</v>
      </c>
      <c r="AA123" s="19">
        <v>1</v>
      </c>
      <c r="AB123" s="19">
        <v>1</v>
      </c>
      <c r="AC123" s="19">
        <v>1</v>
      </c>
      <c r="AD123" s="19">
        <v>1</v>
      </c>
      <c r="AE123" s="22"/>
      <c r="AF123" s="19">
        <v>1</v>
      </c>
      <c r="AG123" s="19">
        <v>1</v>
      </c>
      <c r="AH123" s="19">
        <v>1</v>
      </c>
      <c r="AI123" s="19">
        <v>1</v>
      </c>
      <c r="AJ123" s="19">
        <v>1</v>
      </c>
      <c r="AK123" s="19">
        <v>1</v>
      </c>
      <c r="AL123" s="22"/>
      <c r="AM123" s="19">
        <v>1</v>
      </c>
      <c r="AN123" s="19">
        <v>1</v>
      </c>
      <c r="AO123" s="19">
        <v>1</v>
      </c>
      <c r="AP123" s="19">
        <v>1</v>
      </c>
      <c r="AQ123" s="19">
        <v>1</v>
      </c>
      <c r="AR123" s="19">
        <v>1</v>
      </c>
      <c r="AS123" s="22"/>
      <c r="AT123" s="19">
        <v>1</v>
      </c>
      <c r="AU123" s="19">
        <v>1</v>
      </c>
      <c r="AV123" s="19">
        <v>1</v>
      </c>
      <c r="AW123" s="19">
        <v>1</v>
      </c>
      <c r="AX123" s="19">
        <f>SUM(T123:AW123)</f>
        <v>26</v>
      </c>
      <c r="AY123" s="20"/>
      <c r="AZ123" s="19"/>
      <c r="BA123" s="20"/>
      <c r="BB123" s="49"/>
    </row>
    <row r="124" spans="1:54" ht="13.5" customHeight="1" x14ac:dyDescent="0.2">
      <c r="A124" s="104" t="s">
        <v>643</v>
      </c>
      <c r="B124" s="86" t="s">
        <v>215</v>
      </c>
      <c r="C124" s="37">
        <v>20</v>
      </c>
      <c r="D124" s="35" t="s">
        <v>217</v>
      </c>
      <c r="E124" s="26">
        <v>93</v>
      </c>
      <c r="F124" s="26" t="s">
        <v>2166</v>
      </c>
      <c r="G124" s="35" t="s">
        <v>1993</v>
      </c>
      <c r="H124" s="37">
        <v>1</v>
      </c>
      <c r="I124" s="37" t="s">
        <v>47</v>
      </c>
      <c r="J124" s="37">
        <v>1</v>
      </c>
      <c r="K124" s="37" t="s">
        <v>47</v>
      </c>
      <c r="L124" s="35" t="str">
        <f>VLOOKUP(Tabla411[[#This Row],[BTL CVE]],tblPDV[#All],13,0)</f>
        <v xml:space="preserve">GUTIERREZ ROMERO MARUJA BETTY </v>
      </c>
      <c r="M124" s="26" t="s">
        <v>502</v>
      </c>
      <c r="N124" s="26" t="s">
        <v>54</v>
      </c>
      <c r="O124" s="26" t="s">
        <v>49</v>
      </c>
      <c r="P124" s="26" t="s">
        <v>49</v>
      </c>
      <c r="Q124" s="26" t="s">
        <v>50</v>
      </c>
      <c r="R124" s="38">
        <v>46113</v>
      </c>
      <c r="S124" s="38">
        <v>46142</v>
      </c>
      <c r="T124" s="19">
        <v>1</v>
      </c>
      <c r="U124" s="19">
        <v>1</v>
      </c>
      <c r="V124" s="19">
        <v>1</v>
      </c>
      <c r="W124" s="19">
        <v>1</v>
      </c>
      <c r="X124" s="22"/>
      <c r="Y124" s="19">
        <v>1</v>
      </c>
      <c r="Z124" s="19">
        <v>1</v>
      </c>
      <c r="AA124" s="19">
        <v>1</v>
      </c>
      <c r="AB124" s="19">
        <v>1</v>
      </c>
      <c r="AC124" s="19">
        <v>1</v>
      </c>
      <c r="AD124" s="19">
        <v>1</v>
      </c>
      <c r="AE124" s="22"/>
      <c r="AF124" s="19">
        <v>1</v>
      </c>
      <c r="AG124" s="19">
        <v>1</v>
      </c>
      <c r="AH124" s="19">
        <v>1</v>
      </c>
      <c r="AI124" s="19">
        <v>1</v>
      </c>
      <c r="AJ124" s="19">
        <v>1</v>
      </c>
      <c r="AK124" s="19">
        <v>1</v>
      </c>
      <c r="AL124" s="22"/>
      <c r="AM124" s="19">
        <v>1</v>
      </c>
      <c r="AN124" s="19">
        <v>1</v>
      </c>
      <c r="AO124" s="19">
        <v>1</v>
      </c>
      <c r="AP124" s="19">
        <v>1</v>
      </c>
      <c r="AQ124" s="19">
        <v>1</v>
      </c>
      <c r="AR124" s="19">
        <v>1</v>
      </c>
      <c r="AS124" s="22"/>
      <c r="AT124" s="19">
        <v>1</v>
      </c>
      <c r="AU124" s="19">
        <v>1</v>
      </c>
      <c r="AV124" s="19">
        <v>1</v>
      </c>
      <c r="AW124" s="19">
        <v>1</v>
      </c>
      <c r="AX124" s="19">
        <f>SUM(T124:AW124)</f>
        <v>26</v>
      </c>
      <c r="AY124" s="20"/>
      <c r="AZ124" s="19"/>
      <c r="BA124" s="20"/>
      <c r="BB124" s="49"/>
    </row>
    <row r="125" spans="1:54" ht="13.5" customHeight="1" x14ac:dyDescent="0.2">
      <c r="A125" s="104" t="s">
        <v>646</v>
      </c>
      <c r="B125" s="86" t="s">
        <v>215</v>
      </c>
      <c r="C125" s="26">
        <v>18</v>
      </c>
      <c r="D125" s="35" t="s">
        <v>222</v>
      </c>
      <c r="E125" s="26">
        <v>413</v>
      </c>
      <c r="F125" s="26" t="s">
        <v>2277</v>
      </c>
      <c r="G125" s="35" t="s">
        <v>223</v>
      </c>
      <c r="H125" s="37">
        <v>1</v>
      </c>
      <c r="I125" s="37" t="s">
        <v>47</v>
      </c>
      <c r="J125" s="37">
        <v>1</v>
      </c>
      <c r="K125" s="37" t="s">
        <v>47</v>
      </c>
      <c r="L125" s="35" t="str">
        <f>VLOOKUP(Tabla411[[#This Row],[BTL CVE]],tblPDV[#All],13,0)</f>
        <v xml:space="preserve">LOPEZ ESTRADA SILVIA BERENICE </v>
      </c>
      <c r="M125" s="26" t="s">
        <v>502</v>
      </c>
      <c r="N125" s="26" t="s">
        <v>54</v>
      </c>
      <c r="O125" s="26" t="s">
        <v>49</v>
      </c>
      <c r="P125" s="26" t="s">
        <v>49</v>
      </c>
      <c r="Q125" s="26" t="s">
        <v>50</v>
      </c>
      <c r="R125" s="38">
        <v>46113</v>
      </c>
      <c r="S125" s="38">
        <v>46142</v>
      </c>
      <c r="T125" s="19">
        <v>1</v>
      </c>
      <c r="U125" s="19">
        <v>1</v>
      </c>
      <c r="V125" s="19">
        <v>1</v>
      </c>
      <c r="W125" s="19">
        <v>1</v>
      </c>
      <c r="X125" s="22"/>
      <c r="Y125" s="19">
        <v>1</v>
      </c>
      <c r="Z125" s="19">
        <v>1</v>
      </c>
      <c r="AA125" s="19">
        <v>1</v>
      </c>
      <c r="AB125" s="19">
        <v>1</v>
      </c>
      <c r="AC125" s="19">
        <v>1</v>
      </c>
      <c r="AD125" s="19">
        <v>1</v>
      </c>
      <c r="AE125" s="22"/>
      <c r="AF125" s="19">
        <v>1</v>
      </c>
      <c r="AG125" s="19">
        <v>1</v>
      </c>
      <c r="AH125" s="19">
        <v>1</v>
      </c>
      <c r="AI125" s="19">
        <v>1</v>
      </c>
      <c r="AJ125" s="19">
        <v>1</v>
      </c>
      <c r="AK125" s="19">
        <v>1</v>
      </c>
      <c r="AL125" s="22"/>
      <c r="AM125" s="19">
        <v>1</v>
      </c>
      <c r="AN125" s="19">
        <v>1</v>
      </c>
      <c r="AO125" s="19">
        <v>1</v>
      </c>
      <c r="AP125" s="19">
        <v>1</v>
      </c>
      <c r="AQ125" s="19">
        <v>1</v>
      </c>
      <c r="AR125" s="19">
        <v>1</v>
      </c>
      <c r="AS125" s="22"/>
      <c r="AT125" s="19">
        <v>1</v>
      </c>
      <c r="AU125" s="19">
        <v>1</v>
      </c>
      <c r="AV125" s="19">
        <v>1</v>
      </c>
      <c r="AW125" s="19">
        <v>1</v>
      </c>
      <c r="AX125" s="19">
        <f>SUM(T125:AW125)</f>
        <v>26</v>
      </c>
      <c r="AY125" s="20"/>
      <c r="AZ125" s="19"/>
      <c r="BA125" s="20"/>
      <c r="BB125" s="49"/>
    </row>
    <row r="126" spans="1:54" ht="13.5" customHeight="1" x14ac:dyDescent="0.2">
      <c r="A126" s="104" t="s">
        <v>647</v>
      </c>
      <c r="B126" s="86" t="s">
        <v>215</v>
      </c>
      <c r="C126" s="26">
        <v>16</v>
      </c>
      <c r="D126" s="35" t="s">
        <v>224</v>
      </c>
      <c r="E126" s="26">
        <v>500</v>
      </c>
      <c r="F126" s="26" t="s">
        <v>2314</v>
      </c>
      <c r="G126" s="35" t="s">
        <v>225</v>
      </c>
      <c r="H126" s="37">
        <v>1</v>
      </c>
      <c r="I126" s="37" t="s">
        <v>47</v>
      </c>
      <c r="J126" s="37">
        <v>1</v>
      </c>
      <c r="K126" s="37" t="s">
        <v>47</v>
      </c>
      <c r="L126" s="35" t="str">
        <f>VLOOKUP(Tabla411[[#This Row],[BTL CVE]],tblPDV[#All],13,0)</f>
        <v xml:space="preserve">LOPEZ ESTRADA SILVIA BERENICE </v>
      </c>
      <c r="M126" s="26" t="s">
        <v>502</v>
      </c>
      <c r="N126" s="26" t="s">
        <v>54</v>
      </c>
      <c r="O126" s="26" t="s">
        <v>49</v>
      </c>
      <c r="P126" s="26" t="s">
        <v>49</v>
      </c>
      <c r="Q126" s="26" t="s">
        <v>50</v>
      </c>
      <c r="R126" s="38">
        <v>46113</v>
      </c>
      <c r="S126" s="38">
        <v>46142</v>
      </c>
      <c r="T126" s="19">
        <v>1</v>
      </c>
      <c r="U126" s="19">
        <v>1</v>
      </c>
      <c r="V126" s="19">
        <v>1</v>
      </c>
      <c r="W126" s="19">
        <v>1</v>
      </c>
      <c r="X126" s="22"/>
      <c r="Y126" s="19">
        <v>1</v>
      </c>
      <c r="Z126" s="19">
        <v>1</v>
      </c>
      <c r="AA126" s="19">
        <v>1</v>
      </c>
      <c r="AB126" s="19">
        <v>1</v>
      </c>
      <c r="AC126" s="19">
        <v>1</v>
      </c>
      <c r="AD126" s="19">
        <v>1</v>
      </c>
      <c r="AE126" s="22"/>
      <c r="AF126" s="19">
        <v>1</v>
      </c>
      <c r="AG126" s="19">
        <v>1</v>
      </c>
      <c r="AH126" s="19">
        <v>1</v>
      </c>
      <c r="AI126" s="19">
        <v>1</v>
      </c>
      <c r="AJ126" s="19">
        <v>1</v>
      </c>
      <c r="AK126" s="19">
        <v>1</v>
      </c>
      <c r="AL126" s="22"/>
      <c r="AM126" s="19">
        <v>1</v>
      </c>
      <c r="AN126" s="19">
        <v>1</v>
      </c>
      <c r="AO126" s="19">
        <v>1</v>
      </c>
      <c r="AP126" s="19">
        <v>1</v>
      </c>
      <c r="AQ126" s="19">
        <v>1</v>
      </c>
      <c r="AR126" s="19">
        <v>1</v>
      </c>
      <c r="AS126" s="22"/>
      <c r="AT126" s="19">
        <v>1</v>
      </c>
      <c r="AU126" s="19">
        <v>1</v>
      </c>
      <c r="AV126" s="19">
        <v>1</v>
      </c>
      <c r="AW126" s="19">
        <v>1</v>
      </c>
      <c r="AX126" s="19">
        <f>SUM(T126:AW126)</f>
        <v>26</v>
      </c>
      <c r="AY126" s="20"/>
      <c r="AZ126" s="19"/>
      <c r="BA126" s="20"/>
      <c r="BB126" s="49"/>
    </row>
    <row r="127" spans="1:54" ht="13.5" customHeight="1" x14ac:dyDescent="0.2">
      <c r="A127" s="104" t="s">
        <v>642</v>
      </c>
      <c r="B127" s="86" t="s">
        <v>215</v>
      </c>
      <c r="C127" s="26">
        <v>390</v>
      </c>
      <c r="D127" s="35" t="s">
        <v>216</v>
      </c>
      <c r="E127" s="26"/>
      <c r="F127" s="26"/>
      <c r="G127" s="35" t="s">
        <v>2098</v>
      </c>
      <c r="H127" s="37">
        <v>1</v>
      </c>
      <c r="I127" s="37" t="s">
        <v>47</v>
      </c>
      <c r="J127" s="37">
        <v>1</v>
      </c>
      <c r="K127" s="37" t="s">
        <v>47</v>
      </c>
      <c r="L127" s="35" t="str">
        <f>VLOOKUP(Tabla411[[#This Row],[BTL CVE]],tblPDV[#All],13,0)</f>
        <v xml:space="preserve">GUTIERREZ ROMERO MARUJA BETTY </v>
      </c>
      <c r="M127" s="26" t="s">
        <v>502</v>
      </c>
      <c r="N127" s="26" t="s">
        <v>54</v>
      </c>
      <c r="O127" s="26" t="s">
        <v>49</v>
      </c>
      <c r="P127" s="26" t="s">
        <v>49</v>
      </c>
      <c r="Q127" s="26" t="s">
        <v>50</v>
      </c>
      <c r="R127" s="38">
        <v>46113</v>
      </c>
      <c r="S127" s="38">
        <v>46142</v>
      </c>
      <c r="T127" s="19">
        <v>1</v>
      </c>
      <c r="U127" s="19">
        <v>1</v>
      </c>
      <c r="V127" s="19">
        <v>1</v>
      </c>
      <c r="W127" s="19">
        <v>1</v>
      </c>
      <c r="X127" s="22"/>
      <c r="Y127" s="19">
        <v>1</v>
      </c>
      <c r="Z127" s="19">
        <v>1</v>
      </c>
      <c r="AA127" s="19">
        <v>1</v>
      </c>
      <c r="AB127" s="19">
        <v>1</v>
      </c>
      <c r="AC127" s="19">
        <v>1</v>
      </c>
      <c r="AD127" s="19">
        <v>1</v>
      </c>
      <c r="AE127" s="22"/>
      <c r="AF127" s="19">
        <v>1</v>
      </c>
      <c r="AG127" s="19">
        <v>1</v>
      </c>
      <c r="AH127" s="19">
        <v>1</v>
      </c>
      <c r="AI127" s="19">
        <v>1</v>
      </c>
      <c r="AJ127" s="19">
        <v>1</v>
      </c>
      <c r="AK127" s="19">
        <v>1</v>
      </c>
      <c r="AL127" s="22"/>
      <c r="AM127" s="19">
        <v>1</v>
      </c>
      <c r="AN127" s="19">
        <v>1</v>
      </c>
      <c r="AO127" s="19">
        <v>1</v>
      </c>
      <c r="AP127" s="19">
        <v>1</v>
      </c>
      <c r="AQ127" s="19">
        <v>1</v>
      </c>
      <c r="AR127" s="19">
        <v>1</v>
      </c>
      <c r="AS127" s="22"/>
      <c r="AT127" s="19">
        <v>1</v>
      </c>
      <c r="AU127" s="19">
        <v>1</v>
      </c>
      <c r="AV127" s="19">
        <v>1</v>
      </c>
      <c r="AW127" s="19">
        <v>1</v>
      </c>
      <c r="AX127" s="19">
        <f>SUM(T127:AW127)</f>
        <v>26</v>
      </c>
      <c r="AY127" s="20"/>
      <c r="AZ127" s="19"/>
      <c r="BA127" s="20"/>
      <c r="BB127" s="49"/>
    </row>
    <row r="128" spans="1:54" ht="13.5" customHeight="1" x14ac:dyDescent="0.2">
      <c r="A128" s="104" t="s">
        <v>792</v>
      </c>
      <c r="B128" s="86" t="s">
        <v>226</v>
      </c>
      <c r="C128" s="26">
        <v>435</v>
      </c>
      <c r="D128" s="35" t="s">
        <v>227</v>
      </c>
      <c r="E128" s="26">
        <v>91</v>
      </c>
      <c r="F128" s="26" t="s">
        <v>2165</v>
      </c>
      <c r="G128" s="35" t="s">
        <v>1972</v>
      </c>
      <c r="H128" s="37">
        <v>0.5</v>
      </c>
      <c r="I128" s="37" t="s">
        <v>53</v>
      </c>
      <c r="J128" s="37">
        <v>0.5</v>
      </c>
      <c r="K128" s="37" t="s">
        <v>53</v>
      </c>
      <c r="L128" s="35" t="str">
        <f>VLOOKUP(Tabla411[[#This Row],[BTL CVE]],tblPDV[#All],13,0)</f>
        <v>LOPEZ RUIZ JACQUELINE</v>
      </c>
      <c r="M128" s="26" t="s">
        <v>536</v>
      </c>
      <c r="N128" s="26" t="s">
        <v>54</v>
      </c>
      <c r="O128" s="26" t="s">
        <v>55</v>
      </c>
      <c r="P128" s="26" t="s">
        <v>55</v>
      </c>
      <c r="Q128" s="26" t="s">
        <v>50</v>
      </c>
      <c r="R128" s="38">
        <v>46113</v>
      </c>
      <c r="S128" s="38">
        <v>46142</v>
      </c>
      <c r="T128" s="19">
        <v>1</v>
      </c>
      <c r="U128" s="19"/>
      <c r="V128" s="19"/>
      <c r="W128" s="19"/>
      <c r="X128" s="22"/>
      <c r="Y128" s="19">
        <v>1</v>
      </c>
      <c r="Z128" s="19">
        <v>1</v>
      </c>
      <c r="AA128" s="19">
        <v>1</v>
      </c>
      <c r="AB128" s="19"/>
      <c r="AC128" s="19"/>
      <c r="AD128" s="19"/>
      <c r="AE128" s="22"/>
      <c r="AF128" s="19">
        <v>1</v>
      </c>
      <c r="AG128" s="19">
        <v>1</v>
      </c>
      <c r="AH128" s="19">
        <v>1</v>
      </c>
      <c r="AI128" s="19"/>
      <c r="AJ128" s="19"/>
      <c r="AK128" s="19"/>
      <c r="AL128" s="22"/>
      <c r="AM128" s="19">
        <v>1</v>
      </c>
      <c r="AN128" s="19">
        <v>1</v>
      </c>
      <c r="AO128" s="19">
        <v>1</v>
      </c>
      <c r="AP128" s="19"/>
      <c r="AQ128" s="19"/>
      <c r="AR128" s="19"/>
      <c r="AS128" s="22"/>
      <c r="AT128" s="19">
        <v>1</v>
      </c>
      <c r="AU128" s="19">
        <v>1</v>
      </c>
      <c r="AV128" s="19">
        <v>1</v>
      </c>
      <c r="AW128" s="19"/>
      <c r="AX128" s="19">
        <f>SUM(T128:AW128)</f>
        <v>13</v>
      </c>
      <c r="AY128" s="20"/>
      <c r="AZ128" s="19"/>
      <c r="BA128" s="20"/>
      <c r="BB128" s="49"/>
    </row>
    <row r="129" spans="1:54" ht="13.5" customHeight="1" x14ac:dyDescent="0.2">
      <c r="A129" s="104" t="s">
        <v>793</v>
      </c>
      <c r="B129" s="86" t="s">
        <v>226</v>
      </c>
      <c r="C129" s="26">
        <v>404</v>
      </c>
      <c r="D129" s="35" t="s">
        <v>229</v>
      </c>
      <c r="E129" s="26">
        <v>533</v>
      </c>
      <c r="F129" s="26" t="s">
        <v>2328</v>
      </c>
      <c r="G129" s="35" t="s">
        <v>1547</v>
      </c>
      <c r="H129" s="37">
        <v>1</v>
      </c>
      <c r="I129" s="37" t="s">
        <v>47</v>
      </c>
      <c r="J129" s="37">
        <v>1</v>
      </c>
      <c r="K129" s="37" t="s">
        <v>47</v>
      </c>
      <c r="L129" s="35" t="str">
        <f>VLOOKUP(Tabla411[[#This Row],[BTL CVE]],tblPDV[#All],13,0)</f>
        <v>VACANTE</v>
      </c>
      <c r="M129" s="26" t="s">
        <v>93</v>
      </c>
      <c r="N129" s="26" t="s">
        <v>54</v>
      </c>
      <c r="O129" s="26" t="s">
        <v>49</v>
      </c>
      <c r="P129" s="26" t="s">
        <v>49</v>
      </c>
      <c r="Q129" s="26" t="s">
        <v>50</v>
      </c>
      <c r="R129" s="38">
        <v>46113</v>
      </c>
      <c r="S129" s="38">
        <v>46142</v>
      </c>
      <c r="T129" s="19">
        <v>1</v>
      </c>
      <c r="U129" s="19">
        <v>1</v>
      </c>
      <c r="V129" s="19">
        <v>1</v>
      </c>
      <c r="W129" s="19">
        <v>1</v>
      </c>
      <c r="X129" s="22"/>
      <c r="Y129" s="19">
        <v>1</v>
      </c>
      <c r="Z129" s="19">
        <v>1</v>
      </c>
      <c r="AA129" s="19">
        <v>1</v>
      </c>
      <c r="AB129" s="19">
        <v>1</v>
      </c>
      <c r="AC129" s="19">
        <v>1</v>
      </c>
      <c r="AD129" s="19">
        <v>1</v>
      </c>
      <c r="AE129" s="22"/>
      <c r="AF129" s="19">
        <v>1</v>
      </c>
      <c r="AG129" s="19">
        <v>1</v>
      </c>
      <c r="AH129" s="19">
        <v>1</v>
      </c>
      <c r="AI129" s="19">
        <v>1</v>
      </c>
      <c r="AJ129" s="19">
        <v>1</v>
      </c>
      <c r="AK129" s="19">
        <v>1</v>
      </c>
      <c r="AL129" s="22"/>
      <c r="AM129" s="19">
        <v>1</v>
      </c>
      <c r="AN129" s="19">
        <v>1</v>
      </c>
      <c r="AO129" s="19">
        <v>1</v>
      </c>
      <c r="AP129" s="19">
        <v>1</v>
      </c>
      <c r="AQ129" s="19">
        <v>1</v>
      </c>
      <c r="AR129" s="19">
        <v>1</v>
      </c>
      <c r="AS129" s="22"/>
      <c r="AT129" s="19">
        <v>1</v>
      </c>
      <c r="AU129" s="19">
        <v>1</v>
      </c>
      <c r="AV129" s="19">
        <v>1</v>
      </c>
      <c r="AW129" s="19">
        <v>1</v>
      </c>
      <c r="AX129" s="19">
        <f>SUM(T129:AW129)</f>
        <v>26</v>
      </c>
      <c r="AY129" s="20"/>
      <c r="AZ129" s="19"/>
      <c r="BA129" s="20"/>
      <c r="BB129" s="49"/>
    </row>
    <row r="130" spans="1:54" ht="13.5" customHeight="1" x14ac:dyDescent="0.2">
      <c r="A130" s="104" t="s">
        <v>1375</v>
      </c>
      <c r="B130" s="86" t="s">
        <v>226</v>
      </c>
      <c r="C130" s="26">
        <v>423</v>
      </c>
      <c r="D130" s="35" t="s">
        <v>528</v>
      </c>
      <c r="E130" s="26">
        <v>110</v>
      </c>
      <c r="F130" s="26" t="s">
        <v>2173</v>
      </c>
      <c r="G130" s="35" t="s">
        <v>1536</v>
      </c>
      <c r="H130" s="37">
        <v>1</v>
      </c>
      <c r="I130" s="37" t="s">
        <v>47</v>
      </c>
      <c r="J130" s="37">
        <v>1</v>
      </c>
      <c r="K130" s="37" t="s">
        <v>47</v>
      </c>
      <c r="L130" s="35" t="str">
        <f>VLOOKUP(Tabla411[[#This Row],[BTL CVE]],tblPDV[#All],13,0)</f>
        <v xml:space="preserve">ESTRADA NAVA MIRIAM ROCIO </v>
      </c>
      <c r="M130" s="26" t="s">
        <v>536</v>
      </c>
      <c r="N130" s="26" t="s">
        <v>54</v>
      </c>
      <c r="O130" s="26" t="s">
        <v>49</v>
      </c>
      <c r="P130" s="26" t="s">
        <v>49</v>
      </c>
      <c r="Q130" s="26" t="s">
        <v>50</v>
      </c>
      <c r="R130" s="38">
        <v>46113</v>
      </c>
      <c r="S130" s="38">
        <v>46142</v>
      </c>
      <c r="T130" s="19">
        <v>1</v>
      </c>
      <c r="U130" s="19">
        <v>1</v>
      </c>
      <c r="V130" s="19">
        <v>1</v>
      </c>
      <c r="W130" s="19">
        <v>1</v>
      </c>
      <c r="X130" s="22"/>
      <c r="Y130" s="19">
        <v>1</v>
      </c>
      <c r="Z130" s="19">
        <v>1</v>
      </c>
      <c r="AA130" s="19">
        <v>1</v>
      </c>
      <c r="AB130" s="19">
        <v>1</v>
      </c>
      <c r="AC130" s="19">
        <v>1</v>
      </c>
      <c r="AD130" s="19">
        <v>1</v>
      </c>
      <c r="AE130" s="22"/>
      <c r="AF130" s="19">
        <v>1</v>
      </c>
      <c r="AG130" s="19">
        <v>1</v>
      </c>
      <c r="AH130" s="19">
        <v>1</v>
      </c>
      <c r="AI130" s="19">
        <v>1</v>
      </c>
      <c r="AJ130" s="19">
        <v>1</v>
      </c>
      <c r="AK130" s="19">
        <v>1</v>
      </c>
      <c r="AL130" s="22"/>
      <c r="AM130" s="19">
        <v>1</v>
      </c>
      <c r="AN130" s="19">
        <v>1</v>
      </c>
      <c r="AO130" s="19">
        <v>1</v>
      </c>
      <c r="AP130" s="19">
        <v>1</v>
      </c>
      <c r="AQ130" s="19">
        <v>1</v>
      </c>
      <c r="AR130" s="19">
        <v>1</v>
      </c>
      <c r="AS130" s="22"/>
      <c r="AT130" s="19">
        <v>1</v>
      </c>
      <c r="AU130" s="19">
        <v>1</v>
      </c>
      <c r="AV130" s="19">
        <v>1</v>
      </c>
      <c r="AW130" s="19">
        <v>1</v>
      </c>
      <c r="AX130" s="19">
        <f>SUM(T130:AW130)</f>
        <v>26</v>
      </c>
      <c r="AY130" s="20"/>
      <c r="AZ130" s="19"/>
      <c r="BA130" s="20"/>
      <c r="BB130" s="49"/>
    </row>
    <row r="131" spans="1:54" ht="13.5" customHeight="1" x14ac:dyDescent="0.2">
      <c r="A131" s="104" t="s">
        <v>2372</v>
      </c>
      <c r="B131" s="116" t="s">
        <v>226</v>
      </c>
      <c r="C131" s="68">
        <v>460</v>
      </c>
      <c r="D131" s="35" t="s">
        <v>2375</v>
      </c>
      <c r="E131" s="26">
        <v>280</v>
      </c>
      <c r="F131" s="26" t="s">
        <v>2238</v>
      </c>
      <c r="G131" s="35" t="s">
        <v>1549</v>
      </c>
      <c r="H131" s="37"/>
      <c r="I131" s="37"/>
      <c r="J131" s="37">
        <v>0.5</v>
      </c>
      <c r="K131" s="37" t="s">
        <v>53</v>
      </c>
      <c r="L131" s="35" t="str">
        <f>VLOOKUP(Tabla411[[#This Row],[BTL CVE]],tblPDV[#All],13,0)</f>
        <v>FLORES SALDAÑA JAVIER</v>
      </c>
      <c r="M131" s="26" t="s">
        <v>108</v>
      </c>
      <c r="N131" s="26" t="s">
        <v>54</v>
      </c>
      <c r="O131" s="26" t="s">
        <v>49</v>
      </c>
      <c r="P131" s="26" t="s">
        <v>49</v>
      </c>
      <c r="Q131" s="26" t="s">
        <v>50</v>
      </c>
      <c r="R131" s="38">
        <v>46113</v>
      </c>
      <c r="S131" s="38">
        <v>46142</v>
      </c>
      <c r="T131" s="19">
        <v>1</v>
      </c>
      <c r="U131" s="19">
        <v>1</v>
      </c>
      <c r="V131" s="19">
        <v>1</v>
      </c>
      <c r="W131" s="19">
        <v>1</v>
      </c>
      <c r="X131" s="22"/>
      <c r="Y131" s="19">
        <v>1</v>
      </c>
      <c r="Z131" s="19">
        <v>1</v>
      </c>
      <c r="AA131" s="19">
        <v>1</v>
      </c>
      <c r="AB131" s="19">
        <v>1</v>
      </c>
      <c r="AC131" s="19">
        <v>1</v>
      </c>
      <c r="AD131" s="19">
        <v>1</v>
      </c>
      <c r="AE131" s="22"/>
      <c r="AF131" s="19">
        <v>1</v>
      </c>
      <c r="AG131" s="19">
        <v>1</v>
      </c>
      <c r="AH131" s="19">
        <v>1</v>
      </c>
      <c r="AI131" s="19">
        <v>1</v>
      </c>
      <c r="AJ131" s="19">
        <v>1</v>
      </c>
      <c r="AK131" s="19">
        <v>1</v>
      </c>
      <c r="AL131" s="22"/>
      <c r="AM131" s="19">
        <v>1</v>
      </c>
      <c r="AN131" s="19">
        <v>1</v>
      </c>
      <c r="AO131" s="19">
        <v>1</v>
      </c>
      <c r="AP131" s="19">
        <v>1</v>
      </c>
      <c r="AQ131" s="19">
        <v>1</v>
      </c>
      <c r="AR131" s="19">
        <v>1</v>
      </c>
      <c r="AS131" s="22"/>
      <c r="AT131" s="19">
        <v>1</v>
      </c>
      <c r="AU131" s="19">
        <v>1</v>
      </c>
      <c r="AV131" s="19">
        <v>1</v>
      </c>
      <c r="AW131" s="19">
        <v>1</v>
      </c>
      <c r="AX131" s="19">
        <f>SUM(T131:AW131)</f>
        <v>26</v>
      </c>
      <c r="AY131" s="20"/>
      <c r="AZ131" s="19"/>
      <c r="BA131" s="20"/>
      <c r="BB131" s="49"/>
    </row>
    <row r="132" spans="1:54" ht="13.5" customHeight="1" x14ac:dyDescent="0.2">
      <c r="A132" s="104" t="s">
        <v>1455</v>
      </c>
      <c r="B132" s="86" t="s">
        <v>226</v>
      </c>
      <c r="C132" s="26">
        <v>137</v>
      </c>
      <c r="D132" s="35" t="s">
        <v>228</v>
      </c>
      <c r="E132" s="26">
        <v>235</v>
      </c>
      <c r="F132" s="26" t="s">
        <v>2225</v>
      </c>
      <c r="G132" s="35" t="s">
        <v>2005</v>
      </c>
      <c r="H132" s="37">
        <v>1</v>
      </c>
      <c r="I132" s="37" t="s">
        <v>47</v>
      </c>
      <c r="J132" s="37">
        <v>1</v>
      </c>
      <c r="K132" s="37" t="s">
        <v>47</v>
      </c>
      <c r="L132" s="35" t="str">
        <f>VLOOKUP(Tabla411[[#This Row],[BTL CVE]],tblPDV[#All],13,0)</f>
        <v>LOPEZ RUIZ JACQUELINE</v>
      </c>
      <c r="M132" s="26" t="s">
        <v>536</v>
      </c>
      <c r="N132" s="26" t="s">
        <v>54</v>
      </c>
      <c r="O132" s="26" t="s">
        <v>49</v>
      </c>
      <c r="P132" s="26" t="s">
        <v>49</v>
      </c>
      <c r="Q132" s="26" t="s">
        <v>50</v>
      </c>
      <c r="R132" s="38">
        <v>46113</v>
      </c>
      <c r="S132" s="38">
        <v>46142</v>
      </c>
      <c r="T132" s="19">
        <v>1</v>
      </c>
      <c r="U132" s="19">
        <v>1</v>
      </c>
      <c r="V132" s="19">
        <v>1</v>
      </c>
      <c r="W132" s="19">
        <v>1</v>
      </c>
      <c r="X132" s="22"/>
      <c r="Y132" s="19">
        <v>1</v>
      </c>
      <c r="Z132" s="19">
        <v>1</v>
      </c>
      <c r="AA132" s="19">
        <v>1</v>
      </c>
      <c r="AB132" s="19">
        <v>1</v>
      </c>
      <c r="AC132" s="19">
        <v>1</v>
      </c>
      <c r="AD132" s="19">
        <v>1</v>
      </c>
      <c r="AE132" s="22"/>
      <c r="AF132" s="19">
        <v>1</v>
      </c>
      <c r="AG132" s="19">
        <v>1</v>
      </c>
      <c r="AH132" s="19">
        <v>1</v>
      </c>
      <c r="AI132" s="19">
        <v>1</v>
      </c>
      <c r="AJ132" s="19">
        <v>1</v>
      </c>
      <c r="AK132" s="19">
        <v>1</v>
      </c>
      <c r="AL132" s="22"/>
      <c r="AM132" s="19">
        <v>1</v>
      </c>
      <c r="AN132" s="19">
        <v>1</v>
      </c>
      <c r="AO132" s="19">
        <v>1</v>
      </c>
      <c r="AP132" s="19">
        <v>1</v>
      </c>
      <c r="AQ132" s="19">
        <v>1</v>
      </c>
      <c r="AR132" s="19">
        <v>1</v>
      </c>
      <c r="AS132" s="22"/>
      <c r="AT132" s="19">
        <v>1</v>
      </c>
      <c r="AU132" s="19">
        <v>1</v>
      </c>
      <c r="AV132" s="19">
        <v>1</v>
      </c>
      <c r="AW132" s="19">
        <v>1</v>
      </c>
      <c r="AX132" s="19">
        <f>SUM(T132:AW132)</f>
        <v>26</v>
      </c>
      <c r="AY132" s="20"/>
      <c r="AZ132" s="19"/>
      <c r="BA132" s="20"/>
      <c r="BB132" s="49"/>
    </row>
    <row r="133" spans="1:54" ht="13.5" customHeight="1" x14ac:dyDescent="0.2">
      <c r="A133" s="104" t="s">
        <v>649</v>
      </c>
      <c r="B133" s="105" t="s">
        <v>230</v>
      </c>
      <c r="C133" s="26">
        <v>2961</v>
      </c>
      <c r="D133" s="35" t="s">
        <v>231</v>
      </c>
      <c r="E133" s="26">
        <v>25</v>
      </c>
      <c r="F133" s="26" t="s">
        <v>2133</v>
      </c>
      <c r="G133" s="35" t="s">
        <v>1959</v>
      </c>
      <c r="H133" s="37">
        <v>0.5</v>
      </c>
      <c r="I133" s="37" t="s">
        <v>53</v>
      </c>
      <c r="J133" s="37">
        <v>0.5</v>
      </c>
      <c r="K133" s="37" t="s">
        <v>53</v>
      </c>
      <c r="L133" s="35" t="str">
        <f>VLOOKUP(Tabla411[[#This Row],[BTL CVE]],tblPDV[#All],13,0)</f>
        <v xml:space="preserve">ANIMAS SAUCEDO ANA CRISTINA </v>
      </c>
      <c r="M133" s="26" t="s">
        <v>503</v>
      </c>
      <c r="N133" s="26" t="s">
        <v>54</v>
      </c>
      <c r="O133" s="26" t="s">
        <v>66</v>
      </c>
      <c r="P133" s="26" t="s">
        <v>66</v>
      </c>
      <c r="Q133" s="26" t="s">
        <v>50</v>
      </c>
      <c r="R133" s="38">
        <v>46113</v>
      </c>
      <c r="S133" s="38">
        <v>46142</v>
      </c>
      <c r="T133" s="19"/>
      <c r="U133" s="19">
        <v>1</v>
      </c>
      <c r="V133" s="19">
        <v>1</v>
      </c>
      <c r="W133" s="19">
        <v>1</v>
      </c>
      <c r="X133" s="22"/>
      <c r="Y133" s="19"/>
      <c r="Z133" s="19"/>
      <c r="AA133" s="19"/>
      <c r="AB133" s="19">
        <v>1</v>
      </c>
      <c r="AC133" s="19">
        <v>1</v>
      </c>
      <c r="AD133" s="19">
        <v>1</v>
      </c>
      <c r="AE133" s="22"/>
      <c r="AF133" s="19"/>
      <c r="AG133" s="19"/>
      <c r="AH133" s="19"/>
      <c r="AI133" s="19">
        <v>1</v>
      </c>
      <c r="AJ133" s="19">
        <v>1</v>
      </c>
      <c r="AK133" s="19">
        <v>1</v>
      </c>
      <c r="AL133" s="22"/>
      <c r="AM133" s="19"/>
      <c r="AN133" s="19"/>
      <c r="AO133" s="19"/>
      <c r="AP133" s="19">
        <v>1</v>
      </c>
      <c r="AQ133" s="19">
        <v>1</v>
      </c>
      <c r="AR133" s="19">
        <v>1</v>
      </c>
      <c r="AS133" s="22"/>
      <c r="AT133" s="19"/>
      <c r="AU133" s="19"/>
      <c r="AV133" s="19"/>
      <c r="AW133" s="19">
        <v>1</v>
      </c>
      <c r="AX133" s="19">
        <f>SUM(T133:AW133)</f>
        <v>13</v>
      </c>
      <c r="AY133" s="20"/>
      <c r="AZ133" s="19"/>
      <c r="BA133" s="20"/>
      <c r="BB133" s="49"/>
    </row>
    <row r="134" spans="1:54" ht="13.5" customHeight="1" x14ac:dyDescent="0.2">
      <c r="A134" s="104" t="s">
        <v>666</v>
      </c>
      <c r="B134" s="86" t="s">
        <v>230</v>
      </c>
      <c r="C134" s="26">
        <v>2946</v>
      </c>
      <c r="D134" s="35" t="s">
        <v>487</v>
      </c>
      <c r="E134" s="26">
        <v>579</v>
      </c>
      <c r="F134" s="26" t="s">
        <v>2349</v>
      </c>
      <c r="G134" s="35" t="s">
        <v>2094</v>
      </c>
      <c r="H134" s="37">
        <v>0.5</v>
      </c>
      <c r="I134" s="37" t="s">
        <v>53</v>
      </c>
      <c r="J134" s="37">
        <v>0.5</v>
      </c>
      <c r="K134" s="37" t="s">
        <v>53</v>
      </c>
      <c r="L134" s="35" t="str">
        <f>VLOOKUP(Tabla411[[#This Row],[BTL CVE]],tblPDV[#All],13,0)</f>
        <v xml:space="preserve">ANIMAS SAUCEDO ANA CRISTINA </v>
      </c>
      <c r="M134" s="26" t="s">
        <v>503</v>
      </c>
      <c r="N134" s="26" t="s">
        <v>54</v>
      </c>
      <c r="O134" s="26" t="s">
        <v>55</v>
      </c>
      <c r="P134" s="26" t="s">
        <v>55</v>
      </c>
      <c r="Q134" s="26" t="s">
        <v>50</v>
      </c>
      <c r="R134" s="38">
        <v>46113</v>
      </c>
      <c r="S134" s="38">
        <v>46142</v>
      </c>
      <c r="T134" s="19">
        <v>1</v>
      </c>
      <c r="U134" s="19"/>
      <c r="V134" s="19"/>
      <c r="W134" s="19"/>
      <c r="X134" s="22"/>
      <c r="Y134" s="19">
        <v>1</v>
      </c>
      <c r="Z134" s="19">
        <v>1</v>
      </c>
      <c r="AA134" s="19">
        <v>1</v>
      </c>
      <c r="AB134" s="19"/>
      <c r="AC134" s="19"/>
      <c r="AD134" s="19"/>
      <c r="AE134" s="22"/>
      <c r="AF134" s="19">
        <v>1</v>
      </c>
      <c r="AG134" s="19">
        <v>1</v>
      </c>
      <c r="AH134" s="19">
        <v>1</v>
      </c>
      <c r="AI134" s="19"/>
      <c r="AJ134" s="19"/>
      <c r="AK134" s="19"/>
      <c r="AL134" s="22"/>
      <c r="AM134" s="19">
        <v>1</v>
      </c>
      <c r="AN134" s="19">
        <v>1</v>
      </c>
      <c r="AO134" s="19">
        <v>1</v>
      </c>
      <c r="AP134" s="19"/>
      <c r="AQ134" s="19"/>
      <c r="AR134" s="19"/>
      <c r="AS134" s="22"/>
      <c r="AT134" s="19">
        <v>1</v>
      </c>
      <c r="AU134" s="19">
        <v>1</v>
      </c>
      <c r="AV134" s="19">
        <v>1</v>
      </c>
      <c r="AW134" s="19"/>
      <c r="AX134" s="19">
        <f>SUM(T134:AW134)</f>
        <v>13</v>
      </c>
      <c r="AY134" s="20"/>
      <c r="AZ134" s="19"/>
      <c r="BA134" s="20"/>
      <c r="BB134" s="49"/>
    </row>
    <row r="135" spans="1:54" ht="13.5" customHeight="1" x14ac:dyDescent="0.2">
      <c r="A135" s="104" t="s">
        <v>658</v>
      </c>
      <c r="B135" s="86" t="s">
        <v>230</v>
      </c>
      <c r="C135" s="26">
        <v>2952</v>
      </c>
      <c r="D135" s="35" t="s">
        <v>241</v>
      </c>
      <c r="E135" s="26">
        <v>489</v>
      </c>
      <c r="F135" s="26" t="s">
        <v>2310</v>
      </c>
      <c r="G135" s="35" t="s">
        <v>242</v>
      </c>
      <c r="H135" s="37">
        <v>0.5</v>
      </c>
      <c r="I135" s="37" t="s">
        <v>53</v>
      </c>
      <c r="J135" s="37">
        <v>0.5</v>
      </c>
      <c r="K135" s="37" t="s">
        <v>53</v>
      </c>
      <c r="L135" s="35" t="str">
        <f>VLOOKUP(Tabla411[[#This Row],[BTL CVE]],tblPDV[#All],13,0)</f>
        <v>ALVAREZ GARCIA ADRIANA YULISMA</v>
      </c>
      <c r="M135" s="26" t="s">
        <v>503</v>
      </c>
      <c r="N135" s="26" t="s">
        <v>54</v>
      </c>
      <c r="O135" s="26" t="s">
        <v>55</v>
      </c>
      <c r="P135" s="26" t="s">
        <v>55</v>
      </c>
      <c r="Q135" s="26" t="s">
        <v>50</v>
      </c>
      <c r="R135" s="38">
        <v>46113</v>
      </c>
      <c r="S135" s="38">
        <v>46142</v>
      </c>
      <c r="T135" s="19">
        <v>1</v>
      </c>
      <c r="U135" s="19"/>
      <c r="V135" s="19"/>
      <c r="W135" s="19"/>
      <c r="X135" s="22"/>
      <c r="Y135" s="19">
        <v>1</v>
      </c>
      <c r="Z135" s="19">
        <v>1</v>
      </c>
      <c r="AA135" s="19">
        <v>1</v>
      </c>
      <c r="AB135" s="19"/>
      <c r="AC135" s="19"/>
      <c r="AD135" s="19"/>
      <c r="AE135" s="22"/>
      <c r="AF135" s="19">
        <v>1</v>
      </c>
      <c r="AG135" s="19">
        <v>1</v>
      </c>
      <c r="AH135" s="19">
        <v>1</v>
      </c>
      <c r="AI135" s="19"/>
      <c r="AJ135" s="19"/>
      <c r="AK135" s="19"/>
      <c r="AL135" s="22"/>
      <c r="AM135" s="19">
        <v>1</v>
      </c>
      <c r="AN135" s="19">
        <v>1</v>
      </c>
      <c r="AO135" s="19">
        <v>1</v>
      </c>
      <c r="AP135" s="19"/>
      <c r="AQ135" s="19"/>
      <c r="AR135" s="19"/>
      <c r="AS135" s="22"/>
      <c r="AT135" s="19">
        <v>1</v>
      </c>
      <c r="AU135" s="19">
        <v>1</v>
      </c>
      <c r="AV135" s="19">
        <v>1</v>
      </c>
      <c r="AW135" s="19"/>
      <c r="AX135" s="19">
        <f>SUM(T135:AW135)</f>
        <v>13</v>
      </c>
      <c r="AY135" s="20"/>
      <c r="AZ135" s="19"/>
      <c r="BA135" s="20"/>
      <c r="BB135" s="49"/>
    </row>
    <row r="136" spans="1:54" ht="13.5" customHeight="1" x14ac:dyDescent="0.2">
      <c r="A136" s="104" t="s">
        <v>659</v>
      </c>
      <c r="B136" s="86" t="s">
        <v>230</v>
      </c>
      <c r="C136" s="26">
        <v>2979</v>
      </c>
      <c r="D136" s="35" t="s">
        <v>243</v>
      </c>
      <c r="E136" s="26">
        <v>489</v>
      </c>
      <c r="F136" s="26" t="s">
        <v>2310</v>
      </c>
      <c r="G136" s="35" t="s">
        <v>242</v>
      </c>
      <c r="H136" s="37">
        <v>0.5</v>
      </c>
      <c r="I136" s="37" t="s">
        <v>53</v>
      </c>
      <c r="J136" s="37">
        <v>0.5</v>
      </c>
      <c r="K136" s="37" t="s">
        <v>53</v>
      </c>
      <c r="L136" s="35" t="str">
        <f>VLOOKUP(Tabla411[[#This Row],[BTL CVE]],tblPDV[#All],13,0)</f>
        <v>ALVAREZ GARCIA ADRIANA YULISMA</v>
      </c>
      <c r="M136" s="26" t="s">
        <v>503</v>
      </c>
      <c r="N136" s="26" t="s">
        <v>54</v>
      </c>
      <c r="O136" s="26" t="s">
        <v>66</v>
      </c>
      <c r="P136" s="26" t="s">
        <v>66</v>
      </c>
      <c r="Q136" s="26" t="s">
        <v>50</v>
      </c>
      <c r="R136" s="38">
        <v>46113</v>
      </c>
      <c r="S136" s="38">
        <v>46142</v>
      </c>
      <c r="T136" s="19"/>
      <c r="U136" s="19">
        <v>1</v>
      </c>
      <c r="V136" s="19">
        <v>1</v>
      </c>
      <c r="W136" s="19">
        <v>1</v>
      </c>
      <c r="X136" s="22"/>
      <c r="Y136" s="19"/>
      <c r="Z136" s="19"/>
      <c r="AA136" s="19"/>
      <c r="AB136" s="19">
        <v>1</v>
      </c>
      <c r="AC136" s="19">
        <v>1</v>
      </c>
      <c r="AD136" s="19">
        <v>1</v>
      </c>
      <c r="AE136" s="22"/>
      <c r="AF136" s="19"/>
      <c r="AG136" s="19"/>
      <c r="AH136" s="19"/>
      <c r="AI136" s="19">
        <v>1</v>
      </c>
      <c r="AJ136" s="19">
        <v>1</v>
      </c>
      <c r="AK136" s="19">
        <v>1</v>
      </c>
      <c r="AL136" s="22"/>
      <c r="AM136" s="19"/>
      <c r="AN136" s="19"/>
      <c r="AO136" s="19"/>
      <c r="AP136" s="19">
        <v>1</v>
      </c>
      <c r="AQ136" s="19">
        <v>1</v>
      </c>
      <c r="AR136" s="19">
        <v>1</v>
      </c>
      <c r="AS136" s="22"/>
      <c r="AT136" s="19"/>
      <c r="AU136" s="19"/>
      <c r="AV136" s="19"/>
      <c r="AW136" s="19">
        <v>1</v>
      </c>
      <c r="AX136" s="19">
        <f>SUM(T136:AW136)</f>
        <v>13</v>
      </c>
      <c r="AY136" s="20"/>
      <c r="AZ136" s="19"/>
      <c r="BA136" s="20"/>
      <c r="BB136" s="49"/>
    </row>
    <row r="137" spans="1:54" ht="13.5" customHeight="1" x14ac:dyDescent="0.2">
      <c r="A137" s="104" t="s">
        <v>661</v>
      </c>
      <c r="B137" s="86" t="s">
        <v>230</v>
      </c>
      <c r="C137" s="26">
        <v>2937</v>
      </c>
      <c r="D137" s="35" t="s">
        <v>244</v>
      </c>
      <c r="E137" s="26">
        <v>186</v>
      </c>
      <c r="F137" s="26" t="s">
        <v>2209</v>
      </c>
      <c r="G137" s="35" t="s">
        <v>2010</v>
      </c>
      <c r="H137" s="37">
        <v>0.5</v>
      </c>
      <c r="I137" s="37" t="s">
        <v>53</v>
      </c>
      <c r="J137" s="37">
        <v>0.5</v>
      </c>
      <c r="K137" s="37" t="s">
        <v>53</v>
      </c>
      <c r="L137" s="35" t="str">
        <f>VLOOKUP(Tabla411[[#This Row],[BTL CVE]],tblPDV[#All],13,0)</f>
        <v>VACANTE</v>
      </c>
      <c r="M137" s="26" t="s">
        <v>93</v>
      </c>
      <c r="N137" s="26" t="s">
        <v>54</v>
      </c>
      <c r="O137" s="26" t="s">
        <v>543</v>
      </c>
      <c r="P137" s="26" t="s">
        <v>543</v>
      </c>
      <c r="Q137" s="26" t="s">
        <v>50</v>
      </c>
      <c r="R137" s="38">
        <v>46113</v>
      </c>
      <c r="S137" s="38">
        <v>46142</v>
      </c>
      <c r="T137" s="19"/>
      <c r="U137" s="19">
        <v>1</v>
      </c>
      <c r="V137" s="19"/>
      <c r="W137" s="19">
        <v>1</v>
      </c>
      <c r="X137" s="22"/>
      <c r="Y137" s="19"/>
      <c r="Z137" s="19">
        <v>1</v>
      </c>
      <c r="AA137" s="19"/>
      <c r="AB137" s="19">
        <v>1</v>
      </c>
      <c r="AC137" s="19"/>
      <c r="AD137" s="19">
        <v>1</v>
      </c>
      <c r="AE137" s="22"/>
      <c r="AF137" s="19"/>
      <c r="AG137" s="19">
        <v>1</v>
      </c>
      <c r="AH137" s="19"/>
      <c r="AI137" s="19">
        <v>1</v>
      </c>
      <c r="AJ137" s="19"/>
      <c r="AK137" s="19">
        <v>1</v>
      </c>
      <c r="AL137" s="22"/>
      <c r="AM137" s="19"/>
      <c r="AN137" s="19">
        <v>1</v>
      </c>
      <c r="AO137" s="19"/>
      <c r="AP137" s="19">
        <v>1</v>
      </c>
      <c r="AQ137" s="19"/>
      <c r="AR137" s="19">
        <v>1</v>
      </c>
      <c r="AS137" s="22"/>
      <c r="AT137" s="19"/>
      <c r="AU137" s="19">
        <v>1</v>
      </c>
      <c r="AV137" s="19"/>
      <c r="AW137" s="19">
        <v>1</v>
      </c>
      <c r="AX137" s="19">
        <f>SUM(T137:AW137)</f>
        <v>13</v>
      </c>
      <c r="AY137" s="20"/>
      <c r="AZ137" s="19"/>
      <c r="BA137" s="20"/>
      <c r="BB137" s="49"/>
    </row>
    <row r="138" spans="1:54" ht="13.5" customHeight="1" x14ac:dyDescent="0.2">
      <c r="A138" s="104" t="s">
        <v>660</v>
      </c>
      <c r="B138" s="86" t="s">
        <v>230</v>
      </c>
      <c r="C138" s="37">
        <v>2984</v>
      </c>
      <c r="D138" s="35" t="s">
        <v>245</v>
      </c>
      <c r="E138" s="26">
        <v>186</v>
      </c>
      <c r="F138" s="26" t="s">
        <v>2209</v>
      </c>
      <c r="G138" s="35" t="s">
        <v>2010</v>
      </c>
      <c r="H138" s="37">
        <v>0.5</v>
      </c>
      <c r="I138" s="37" t="s">
        <v>53</v>
      </c>
      <c r="J138" s="37">
        <v>0.5</v>
      </c>
      <c r="K138" s="37" t="s">
        <v>53</v>
      </c>
      <c r="L138" s="35" t="str">
        <f>VLOOKUP(Tabla411[[#This Row],[BTL CVE]],tblPDV[#All],13,0)</f>
        <v>VACANTE</v>
      </c>
      <c r="M138" s="26" t="s">
        <v>93</v>
      </c>
      <c r="N138" s="26" t="s">
        <v>54</v>
      </c>
      <c r="O138" s="26" t="s">
        <v>542</v>
      </c>
      <c r="P138" s="26" t="s">
        <v>542</v>
      </c>
      <c r="Q138" s="26" t="s">
        <v>50</v>
      </c>
      <c r="R138" s="38">
        <v>46113</v>
      </c>
      <c r="S138" s="38">
        <v>46142</v>
      </c>
      <c r="T138" s="19">
        <v>1</v>
      </c>
      <c r="U138" s="19"/>
      <c r="V138" s="19">
        <v>1</v>
      </c>
      <c r="W138" s="19"/>
      <c r="X138" s="22"/>
      <c r="Y138" s="19">
        <v>1</v>
      </c>
      <c r="Z138" s="19"/>
      <c r="AA138" s="19">
        <v>1</v>
      </c>
      <c r="AB138" s="19"/>
      <c r="AC138" s="19">
        <v>1</v>
      </c>
      <c r="AD138" s="19"/>
      <c r="AE138" s="22"/>
      <c r="AF138" s="19">
        <v>1</v>
      </c>
      <c r="AG138" s="19"/>
      <c r="AH138" s="19">
        <v>1</v>
      </c>
      <c r="AI138" s="19"/>
      <c r="AJ138" s="19">
        <v>1</v>
      </c>
      <c r="AK138" s="19"/>
      <c r="AL138" s="22"/>
      <c r="AM138" s="19">
        <v>1</v>
      </c>
      <c r="AN138" s="19"/>
      <c r="AO138" s="19">
        <v>1</v>
      </c>
      <c r="AP138" s="19"/>
      <c r="AQ138" s="19">
        <v>1</v>
      </c>
      <c r="AR138" s="19"/>
      <c r="AS138" s="22"/>
      <c r="AT138" s="19">
        <v>1</v>
      </c>
      <c r="AU138" s="19"/>
      <c r="AV138" s="19">
        <v>1</v>
      </c>
      <c r="AW138" s="19"/>
      <c r="AX138" s="19">
        <f>SUM(T138:AW138)</f>
        <v>13</v>
      </c>
      <c r="AY138" s="20"/>
      <c r="AZ138" s="19"/>
      <c r="BA138" s="20"/>
      <c r="BB138" s="49"/>
    </row>
    <row r="139" spans="1:54" ht="13.5" customHeight="1" x14ac:dyDescent="0.2">
      <c r="A139" s="104" t="s">
        <v>655</v>
      </c>
      <c r="B139" s="105" t="s">
        <v>230</v>
      </c>
      <c r="C139" s="26">
        <v>2912</v>
      </c>
      <c r="D139" s="35" t="s">
        <v>236</v>
      </c>
      <c r="E139" s="26">
        <v>586</v>
      </c>
      <c r="F139" s="26" t="s">
        <v>2390</v>
      </c>
      <c r="G139" s="35" t="s">
        <v>2360</v>
      </c>
      <c r="H139" s="37">
        <v>0.5</v>
      </c>
      <c r="I139" s="37" t="s">
        <v>53</v>
      </c>
      <c r="J139" s="37">
        <v>0.5</v>
      </c>
      <c r="K139" s="37" t="s">
        <v>53</v>
      </c>
      <c r="L139" s="35" t="str">
        <f>VLOOKUP(Tabla411[[#This Row],[BTL CVE]],tblPDV[#All],13,0)</f>
        <v>ALVAREZ GARCIA ADRIANA YULISMA</v>
      </c>
      <c r="M139" s="26" t="s">
        <v>503</v>
      </c>
      <c r="N139" s="26" t="s">
        <v>54</v>
      </c>
      <c r="O139" s="26" t="s">
        <v>55</v>
      </c>
      <c r="P139" s="26" t="s">
        <v>55</v>
      </c>
      <c r="Q139" s="26" t="s">
        <v>50</v>
      </c>
      <c r="R139" s="38">
        <v>46113</v>
      </c>
      <c r="S139" s="38">
        <v>46142</v>
      </c>
      <c r="T139" s="19">
        <v>1</v>
      </c>
      <c r="U139" s="19"/>
      <c r="V139" s="19"/>
      <c r="W139" s="19"/>
      <c r="X139" s="22"/>
      <c r="Y139" s="19">
        <v>1</v>
      </c>
      <c r="Z139" s="19">
        <v>1</v>
      </c>
      <c r="AA139" s="19">
        <v>1</v>
      </c>
      <c r="AB139" s="19"/>
      <c r="AC139" s="19"/>
      <c r="AD139" s="19"/>
      <c r="AE139" s="22"/>
      <c r="AF139" s="19">
        <v>1</v>
      </c>
      <c r="AG139" s="19">
        <v>1</v>
      </c>
      <c r="AH139" s="19">
        <v>1</v>
      </c>
      <c r="AI139" s="19"/>
      <c r="AJ139" s="19"/>
      <c r="AK139" s="19"/>
      <c r="AL139" s="22"/>
      <c r="AM139" s="19">
        <v>1</v>
      </c>
      <c r="AN139" s="19">
        <v>1</v>
      </c>
      <c r="AO139" s="19">
        <v>1</v>
      </c>
      <c r="AP139" s="19"/>
      <c r="AQ139" s="19"/>
      <c r="AR139" s="19"/>
      <c r="AS139" s="22"/>
      <c r="AT139" s="19">
        <v>1</v>
      </c>
      <c r="AU139" s="19">
        <v>1</v>
      </c>
      <c r="AV139" s="19">
        <v>1</v>
      </c>
      <c r="AW139" s="19"/>
      <c r="AX139" s="19">
        <f>SUM(T139:AW139)</f>
        <v>13</v>
      </c>
      <c r="AY139" s="20"/>
      <c r="AZ139" s="19"/>
      <c r="BA139" s="20"/>
      <c r="BB139" s="49"/>
    </row>
    <row r="140" spans="1:54" ht="13.5" customHeight="1" x14ac:dyDescent="0.2">
      <c r="A140" s="104" t="s">
        <v>654</v>
      </c>
      <c r="B140" s="105" t="s">
        <v>230</v>
      </c>
      <c r="C140" s="26">
        <v>2926</v>
      </c>
      <c r="D140" s="35" t="s">
        <v>235</v>
      </c>
      <c r="E140" s="26">
        <v>586</v>
      </c>
      <c r="F140" s="26" t="s">
        <v>2390</v>
      </c>
      <c r="G140" s="35" t="s">
        <v>2360</v>
      </c>
      <c r="H140" s="37">
        <v>0.5</v>
      </c>
      <c r="I140" s="37" t="s">
        <v>53</v>
      </c>
      <c r="J140" s="37">
        <v>0.5</v>
      </c>
      <c r="K140" s="37" t="s">
        <v>53</v>
      </c>
      <c r="L140" s="35" t="str">
        <f>VLOOKUP(Tabla411[[#This Row],[BTL CVE]],tblPDV[#All],13,0)</f>
        <v>ALVAREZ GARCIA ADRIANA YULISMA</v>
      </c>
      <c r="M140" s="26" t="s">
        <v>503</v>
      </c>
      <c r="N140" s="26" t="s">
        <v>54</v>
      </c>
      <c r="O140" s="26" t="s">
        <v>66</v>
      </c>
      <c r="P140" s="26" t="s">
        <v>66</v>
      </c>
      <c r="Q140" s="26" t="s">
        <v>50</v>
      </c>
      <c r="R140" s="38">
        <v>46113</v>
      </c>
      <c r="S140" s="38">
        <v>46142</v>
      </c>
      <c r="T140" s="19"/>
      <c r="U140" s="19">
        <v>1</v>
      </c>
      <c r="V140" s="19">
        <v>1</v>
      </c>
      <c r="W140" s="19">
        <v>1</v>
      </c>
      <c r="X140" s="22"/>
      <c r="Y140" s="19"/>
      <c r="Z140" s="19"/>
      <c r="AA140" s="19"/>
      <c r="AB140" s="19">
        <v>1</v>
      </c>
      <c r="AC140" s="19">
        <v>1</v>
      </c>
      <c r="AD140" s="19">
        <v>1</v>
      </c>
      <c r="AE140" s="22"/>
      <c r="AF140" s="19"/>
      <c r="AG140" s="19"/>
      <c r="AH140" s="19"/>
      <c r="AI140" s="19">
        <v>1</v>
      </c>
      <c r="AJ140" s="19">
        <v>1</v>
      </c>
      <c r="AK140" s="19">
        <v>1</v>
      </c>
      <c r="AL140" s="22"/>
      <c r="AM140" s="19"/>
      <c r="AN140" s="19"/>
      <c r="AO140" s="19"/>
      <c r="AP140" s="19">
        <v>1</v>
      </c>
      <c r="AQ140" s="19">
        <v>1</v>
      </c>
      <c r="AR140" s="19">
        <v>1</v>
      </c>
      <c r="AS140" s="22"/>
      <c r="AT140" s="19"/>
      <c r="AU140" s="19"/>
      <c r="AV140" s="19"/>
      <c r="AW140" s="19">
        <v>1</v>
      </c>
      <c r="AX140" s="19">
        <f>SUM(T140:AW140)</f>
        <v>13</v>
      </c>
      <c r="AY140" s="20"/>
      <c r="AZ140" s="19"/>
      <c r="BA140" s="20"/>
      <c r="BB140" s="49"/>
    </row>
    <row r="141" spans="1:54" ht="13.5" customHeight="1" x14ac:dyDescent="0.2">
      <c r="A141" s="104" t="s">
        <v>652</v>
      </c>
      <c r="B141" s="86" t="s">
        <v>230</v>
      </c>
      <c r="C141" s="26">
        <v>2951</v>
      </c>
      <c r="D141" s="35" t="s">
        <v>488</v>
      </c>
      <c r="E141" s="26">
        <v>560</v>
      </c>
      <c r="F141" s="26" t="s">
        <v>2346</v>
      </c>
      <c r="G141" s="35" t="s">
        <v>1566</v>
      </c>
      <c r="H141" s="37">
        <v>0.5</v>
      </c>
      <c r="I141" s="37" t="s">
        <v>53</v>
      </c>
      <c r="J141" s="37">
        <v>0.5</v>
      </c>
      <c r="K141" s="37" t="s">
        <v>53</v>
      </c>
      <c r="L141" s="35" t="str">
        <f>VLOOKUP(Tabla411[[#This Row],[BTL CVE]],tblPDV[#All],13,0)</f>
        <v xml:space="preserve">ANIMAS SAUCEDO ANA CRISTINA </v>
      </c>
      <c r="M141" s="26" t="s">
        <v>503</v>
      </c>
      <c r="N141" s="26" t="s">
        <v>54</v>
      </c>
      <c r="O141" s="26" t="s">
        <v>66</v>
      </c>
      <c r="P141" s="26" t="s">
        <v>66</v>
      </c>
      <c r="Q141" s="26" t="s">
        <v>50</v>
      </c>
      <c r="R141" s="38">
        <v>46113</v>
      </c>
      <c r="S141" s="38">
        <v>46142</v>
      </c>
      <c r="T141" s="19"/>
      <c r="U141" s="19">
        <v>1</v>
      </c>
      <c r="V141" s="19">
        <v>1</v>
      </c>
      <c r="W141" s="19">
        <v>1</v>
      </c>
      <c r="X141" s="22"/>
      <c r="Y141" s="19"/>
      <c r="Z141" s="19"/>
      <c r="AA141" s="19"/>
      <c r="AB141" s="19">
        <v>1</v>
      </c>
      <c r="AC141" s="19">
        <v>1</v>
      </c>
      <c r="AD141" s="19">
        <v>1</v>
      </c>
      <c r="AE141" s="22"/>
      <c r="AF141" s="19"/>
      <c r="AG141" s="19"/>
      <c r="AH141" s="19"/>
      <c r="AI141" s="19">
        <v>1</v>
      </c>
      <c r="AJ141" s="19">
        <v>1</v>
      </c>
      <c r="AK141" s="19">
        <v>1</v>
      </c>
      <c r="AL141" s="22"/>
      <c r="AM141" s="19"/>
      <c r="AN141" s="19"/>
      <c r="AO141" s="19"/>
      <c r="AP141" s="19">
        <v>1</v>
      </c>
      <c r="AQ141" s="19">
        <v>1</v>
      </c>
      <c r="AR141" s="19">
        <v>1</v>
      </c>
      <c r="AS141" s="22"/>
      <c r="AT141" s="19"/>
      <c r="AU141" s="19"/>
      <c r="AV141" s="19"/>
      <c r="AW141" s="19">
        <v>1</v>
      </c>
      <c r="AX141" s="19">
        <f>SUM(T141:AW141)</f>
        <v>13</v>
      </c>
      <c r="AY141" s="20"/>
      <c r="AZ141" s="19"/>
      <c r="BA141" s="20"/>
      <c r="BB141" s="49"/>
    </row>
    <row r="142" spans="1:54" ht="13.5" customHeight="1" x14ac:dyDescent="0.2">
      <c r="A142" s="104" t="s">
        <v>653</v>
      </c>
      <c r="B142" s="86" t="s">
        <v>230</v>
      </c>
      <c r="C142" s="26">
        <v>2924</v>
      </c>
      <c r="D142" s="35" t="s">
        <v>486</v>
      </c>
      <c r="E142" s="26">
        <v>560</v>
      </c>
      <c r="F142" s="26" t="s">
        <v>2346</v>
      </c>
      <c r="G142" s="35" t="s">
        <v>1566</v>
      </c>
      <c r="H142" s="37">
        <v>0.5</v>
      </c>
      <c r="I142" s="37" t="s">
        <v>53</v>
      </c>
      <c r="J142" s="37">
        <v>0.5</v>
      </c>
      <c r="K142" s="37" t="s">
        <v>53</v>
      </c>
      <c r="L142" s="35" t="str">
        <f>VLOOKUP(Tabla411[[#This Row],[BTL CVE]],tblPDV[#All],13,0)</f>
        <v xml:space="preserve">ANIMAS SAUCEDO ANA CRISTINA </v>
      </c>
      <c r="M142" s="26" t="s">
        <v>503</v>
      </c>
      <c r="N142" s="26" t="s">
        <v>54</v>
      </c>
      <c r="O142" s="26" t="s">
        <v>55</v>
      </c>
      <c r="P142" s="26" t="s">
        <v>55</v>
      </c>
      <c r="Q142" s="26" t="s">
        <v>50</v>
      </c>
      <c r="R142" s="38">
        <v>46113</v>
      </c>
      <c r="S142" s="38">
        <v>46142</v>
      </c>
      <c r="T142" s="19">
        <v>1</v>
      </c>
      <c r="U142" s="19"/>
      <c r="V142" s="19"/>
      <c r="W142" s="19"/>
      <c r="X142" s="22"/>
      <c r="Y142" s="19">
        <v>1</v>
      </c>
      <c r="Z142" s="19">
        <v>1</v>
      </c>
      <c r="AA142" s="19">
        <v>1</v>
      </c>
      <c r="AB142" s="19"/>
      <c r="AC142" s="19"/>
      <c r="AD142" s="19"/>
      <c r="AE142" s="22"/>
      <c r="AF142" s="19">
        <v>1</v>
      </c>
      <c r="AG142" s="19">
        <v>1</v>
      </c>
      <c r="AH142" s="19">
        <v>1</v>
      </c>
      <c r="AI142" s="19"/>
      <c r="AJ142" s="19"/>
      <c r="AK142" s="19"/>
      <c r="AL142" s="22"/>
      <c r="AM142" s="19">
        <v>1</v>
      </c>
      <c r="AN142" s="19">
        <v>1</v>
      </c>
      <c r="AO142" s="19">
        <v>1</v>
      </c>
      <c r="AP142" s="19"/>
      <c r="AQ142" s="19"/>
      <c r="AR142" s="19"/>
      <c r="AS142" s="22"/>
      <c r="AT142" s="19">
        <v>1</v>
      </c>
      <c r="AU142" s="19">
        <v>1</v>
      </c>
      <c r="AV142" s="19">
        <v>1</v>
      </c>
      <c r="AW142" s="19"/>
      <c r="AX142" s="19">
        <f>SUM(T142:AW142)</f>
        <v>13</v>
      </c>
      <c r="AY142" s="20"/>
      <c r="AZ142" s="19"/>
      <c r="BA142" s="20"/>
      <c r="BB142" s="49"/>
    </row>
    <row r="143" spans="1:54" ht="13.5" customHeight="1" x14ac:dyDescent="0.2">
      <c r="A143" s="104" t="s">
        <v>665</v>
      </c>
      <c r="B143" s="86" t="s">
        <v>230</v>
      </c>
      <c r="C143" s="26">
        <v>2978</v>
      </c>
      <c r="D143" s="35" t="s">
        <v>249</v>
      </c>
      <c r="E143" s="26">
        <v>74</v>
      </c>
      <c r="F143" s="26" t="s">
        <v>2156</v>
      </c>
      <c r="G143" s="35" t="s">
        <v>2012</v>
      </c>
      <c r="H143" s="37">
        <v>0.5</v>
      </c>
      <c r="I143" s="37" t="s">
        <v>53</v>
      </c>
      <c r="J143" s="37">
        <v>0.5</v>
      </c>
      <c r="K143" s="37" t="s">
        <v>53</v>
      </c>
      <c r="L143" s="35" t="str">
        <f>VLOOKUP(Tabla411[[#This Row],[BTL CVE]],tblPDV[#All],13,0)</f>
        <v>ALVAREZ GARCIA ADRIANA YULISMA</v>
      </c>
      <c r="M143" s="26" t="s">
        <v>503</v>
      </c>
      <c r="N143" s="26" t="s">
        <v>54</v>
      </c>
      <c r="O143" s="26" t="s">
        <v>66</v>
      </c>
      <c r="P143" s="88" t="s">
        <v>66</v>
      </c>
      <c r="Q143" s="26" t="s">
        <v>50</v>
      </c>
      <c r="R143" s="38">
        <v>46113</v>
      </c>
      <c r="S143" s="38">
        <v>46142</v>
      </c>
      <c r="T143" s="19"/>
      <c r="U143" s="19">
        <v>1</v>
      </c>
      <c r="V143" s="19">
        <v>1</v>
      </c>
      <c r="W143" s="19">
        <v>1</v>
      </c>
      <c r="X143" s="22"/>
      <c r="Y143" s="19"/>
      <c r="Z143" s="19"/>
      <c r="AA143" s="19"/>
      <c r="AB143" s="19">
        <v>1</v>
      </c>
      <c r="AC143" s="19">
        <v>1</v>
      </c>
      <c r="AD143" s="19">
        <v>1</v>
      </c>
      <c r="AE143" s="22"/>
      <c r="AF143" s="19"/>
      <c r="AG143" s="19"/>
      <c r="AH143" s="19"/>
      <c r="AI143" s="19">
        <v>1</v>
      </c>
      <c r="AJ143" s="19">
        <v>1</v>
      </c>
      <c r="AK143" s="19">
        <v>1</v>
      </c>
      <c r="AL143" s="22"/>
      <c r="AM143" s="19"/>
      <c r="AN143" s="19"/>
      <c r="AO143" s="19"/>
      <c r="AP143" s="19">
        <v>1</v>
      </c>
      <c r="AQ143" s="19">
        <v>1</v>
      </c>
      <c r="AR143" s="19">
        <v>1</v>
      </c>
      <c r="AS143" s="22"/>
      <c r="AT143" s="19"/>
      <c r="AU143" s="19"/>
      <c r="AV143" s="19"/>
      <c r="AW143" s="19">
        <v>1</v>
      </c>
      <c r="AX143" s="19">
        <f>SUM(T143:AW143)</f>
        <v>13</v>
      </c>
      <c r="AY143" s="20"/>
      <c r="AZ143" s="19"/>
      <c r="BA143" s="20"/>
      <c r="BB143" s="49"/>
    </row>
    <row r="144" spans="1:54" ht="13.5" customHeight="1" x14ac:dyDescent="0.2">
      <c r="A144" s="104" t="s">
        <v>664</v>
      </c>
      <c r="B144" s="86" t="s">
        <v>230</v>
      </c>
      <c r="C144" s="26">
        <v>2959</v>
      </c>
      <c r="D144" s="35" t="s">
        <v>250</v>
      </c>
      <c r="E144" s="26">
        <v>74</v>
      </c>
      <c r="F144" s="26" t="s">
        <v>2156</v>
      </c>
      <c r="G144" s="35" t="s">
        <v>2012</v>
      </c>
      <c r="H144" s="37">
        <v>0.5</v>
      </c>
      <c r="I144" s="37" t="s">
        <v>53</v>
      </c>
      <c r="J144" s="37">
        <v>0.5</v>
      </c>
      <c r="K144" s="37" t="s">
        <v>53</v>
      </c>
      <c r="L144" s="35" t="str">
        <f>VLOOKUP(Tabla411[[#This Row],[BTL CVE]],tblPDV[#All],13,0)</f>
        <v>ALVAREZ GARCIA ADRIANA YULISMA</v>
      </c>
      <c r="M144" s="26" t="s">
        <v>503</v>
      </c>
      <c r="N144" s="26" t="s">
        <v>54</v>
      </c>
      <c r="O144" s="26" t="s">
        <v>55</v>
      </c>
      <c r="P144" s="88" t="s">
        <v>55</v>
      </c>
      <c r="Q144" s="26" t="s">
        <v>50</v>
      </c>
      <c r="R144" s="38">
        <v>46113</v>
      </c>
      <c r="S144" s="38">
        <v>46142</v>
      </c>
      <c r="T144" s="19">
        <v>1</v>
      </c>
      <c r="U144" s="19"/>
      <c r="V144" s="19"/>
      <c r="W144" s="19"/>
      <c r="X144" s="22"/>
      <c r="Y144" s="19">
        <v>1</v>
      </c>
      <c r="Z144" s="19">
        <v>1</v>
      </c>
      <c r="AA144" s="19">
        <v>1</v>
      </c>
      <c r="AB144" s="19"/>
      <c r="AC144" s="19"/>
      <c r="AD144" s="19"/>
      <c r="AE144" s="22"/>
      <c r="AF144" s="19">
        <v>1</v>
      </c>
      <c r="AG144" s="19">
        <v>1</v>
      </c>
      <c r="AH144" s="19">
        <v>1</v>
      </c>
      <c r="AI144" s="19"/>
      <c r="AJ144" s="19"/>
      <c r="AK144" s="19"/>
      <c r="AL144" s="22"/>
      <c r="AM144" s="19">
        <v>1</v>
      </c>
      <c r="AN144" s="19">
        <v>1</v>
      </c>
      <c r="AO144" s="19">
        <v>1</v>
      </c>
      <c r="AP144" s="19"/>
      <c r="AQ144" s="19"/>
      <c r="AR144" s="19"/>
      <c r="AS144" s="22"/>
      <c r="AT144" s="19">
        <v>1</v>
      </c>
      <c r="AU144" s="19">
        <v>1</v>
      </c>
      <c r="AV144" s="19">
        <v>1</v>
      </c>
      <c r="AW144" s="19"/>
      <c r="AX144" s="19">
        <f>SUM(T144:AW144)</f>
        <v>13</v>
      </c>
      <c r="AY144" s="20"/>
      <c r="AZ144" s="19"/>
      <c r="BA144" s="20"/>
      <c r="BB144" s="49"/>
    </row>
    <row r="145" spans="1:54" ht="13.5" customHeight="1" x14ac:dyDescent="0.2">
      <c r="A145" s="104" t="s">
        <v>668</v>
      </c>
      <c r="B145" s="86" t="s">
        <v>230</v>
      </c>
      <c r="C145" s="26">
        <v>2996</v>
      </c>
      <c r="D145" s="35" t="s">
        <v>490</v>
      </c>
      <c r="E145" s="26"/>
      <c r="F145" s="26"/>
      <c r="G145" s="35" t="s">
        <v>2098</v>
      </c>
      <c r="H145" s="37">
        <v>1</v>
      </c>
      <c r="I145" s="37" t="s">
        <v>47</v>
      </c>
      <c r="J145" s="37">
        <v>1</v>
      </c>
      <c r="K145" s="37" t="s">
        <v>47</v>
      </c>
      <c r="L145" s="35" t="str">
        <f>VLOOKUP(Tabla411[[#This Row],[BTL CVE]],tblPDV[#All],13,0)</f>
        <v xml:space="preserve">ANIMAS SAUCEDO ANA CRISTINA </v>
      </c>
      <c r="M145" s="26" t="s">
        <v>503</v>
      </c>
      <c r="N145" s="26" t="s">
        <v>54</v>
      </c>
      <c r="O145" s="26" t="s">
        <v>49</v>
      </c>
      <c r="P145" s="88" t="s">
        <v>49</v>
      </c>
      <c r="Q145" s="26" t="s">
        <v>50</v>
      </c>
      <c r="R145" s="38">
        <v>46113</v>
      </c>
      <c r="S145" s="38">
        <v>46142</v>
      </c>
      <c r="T145" s="19">
        <v>1</v>
      </c>
      <c r="U145" s="19">
        <v>1</v>
      </c>
      <c r="V145" s="19">
        <v>1</v>
      </c>
      <c r="W145" s="19">
        <v>1</v>
      </c>
      <c r="X145" s="22"/>
      <c r="Y145" s="19">
        <v>1</v>
      </c>
      <c r="Z145" s="19">
        <v>1</v>
      </c>
      <c r="AA145" s="19">
        <v>1</v>
      </c>
      <c r="AB145" s="19">
        <v>1</v>
      </c>
      <c r="AC145" s="19">
        <v>1</v>
      </c>
      <c r="AD145" s="19">
        <v>1</v>
      </c>
      <c r="AE145" s="22"/>
      <c r="AF145" s="19">
        <v>1</v>
      </c>
      <c r="AG145" s="19">
        <v>1</v>
      </c>
      <c r="AH145" s="19">
        <v>1</v>
      </c>
      <c r="AI145" s="19">
        <v>1</v>
      </c>
      <c r="AJ145" s="19">
        <v>1</v>
      </c>
      <c r="AK145" s="19">
        <v>1</v>
      </c>
      <c r="AL145" s="22"/>
      <c r="AM145" s="19">
        <v>1</v>
      </c>
      <c r="AN145" s="19">
        <v>1</v>
      </c>
      <c r="AO145" s="19">
        <v>1</v>
      </c>
      <c r="AP145" s="19">
        <v>1</v>
      </c>
      <c r="AQ145" s="19">
        <v>1</v>
      </c>
      <c r="AR145" s="19">
        <v>1</v>
      </c>
      <c r="AS145" s="22"/>
      <c r="AT145" s="19">
        <v>1</v>
      </c>
      <c r="AU145" s="19">
        <v>1</v>
      </c>
      <c r="AV145" s="19">
        <v>1</v>
      </c>
      <c r="AW145" s="19">
        <v>1</v>
      </c>
      <c r="AX145" s="19">
        <f>SUM(T145:AW145)</f>
        <v>26</v>
      </c>
      <c r="AY145" s="20"/>
      <c r="AZ145" s="19"/>
      <c r="BA145" s="20"/>
      <c r="BB145" s="49"/>
    </row>
    <row r="146" spans="1:54" ht="13.5" customHeight="1" x14ac:dyDescent="0.2">
      <c r="A146" s="104" t="s">
        <v>648</v>
      </c>
      <c r="B146" s="86" t="s">
        <v>230</v>
      </c>
      <c r="C146" s="26">
        <v>2987</v>
      </c>
      <c r="D146" s="35" t="s">
        <v>501</v>
      </c>
      <c r="E146" s="26">
        <v>459</v>
      </c>
      <c r="F146" s="26" t="s">
        <v>2295</v>
      </c>
      <c r="G146" s="35" t="s">
        <v>1496</v>
      </c>
      <c r="H146" s="37">
        <v>1</v>
      </c>
      <c r="I146" s="37" t="s">
        <v>47</v>
      </c>
      <c r="J146" s="37">
        <v>1</v>
      </c>
      <c r="K146" s="37" t="s">
        <v>47</v>
      </c>
      <c r="L146" s="35" t="str">
        <f>VLOOKUP(Tabla411[[#This Row],[BTL CVE]],tblPDV[#All],13,0)</f>
        <v>FLORES SALDAÑA JAVIER</v>
      </c>
      <c r="M146" s="26" t="s">
        <v>232</v>
      </c>
      <c r="N146" s="26" t="s">
        <v>54</v>
      </c>
      <c r="O146" s="26" t="s">
        <v>49</v>
      </c>
      <c r="P146" s="26" t="s">
        <v>49</v>
      </c>
      <c r="Q146" s="26" t="s">
        <v>50</v>
      </c>
      <c r="R146" s="38">
        <v>46113</v>
      </c>
      <c r="S146" s="38">
        <v>46142</v>
      </c>
      <c r="T146" s="19">
        <v>1</v>
      </c>
      <c r="U146" s="19">
        <v>1</v>
      </c>
      <c r="V146" s="19">
        <v>1</v>
      </c>
      <c r="W146" s="19">
        <v>1</v>
      </c>
      <c r="X146" s="22"/>
      <c r="Y146" s="19">
        <v>1</v>
      </c>
      <c r="Z146" s="19">
        <v>1</v>
      </c>
      <c r="AA146" s="19">
        <v>1</v>
      </c>
      <c r="AB146" s="19">
        <v>1</v>
      </c>
      <c r="AC146" s="19">
        <v>1</v>
      </c>
      <c r="AD146" s="19">
        <v>1</v>
      </c>
      <c r="AE146" s="22"/>
      <c r="AF146" s="19">
        <v>1</v>
      </c>
      <c r="AG146" s="19">
        <v>1</v>
      </c>
      <c r="AH146" s="19">
        <v>1</v>
      </c>
      <c r="AI146" s="19">
        <v>1</v>
      </c>
      <c r="AJ146" s="19">
        <v>1</v>
      </c>
      <c r="AK146" s="19">
        <v>1</v>
      </c>
      <c r="AL146" s="22"/>
      <c r="AM146" s="19">
        <v>1</v>
      </c>
      <c r="AN146" s="19">
        <v>1</v>
      </c>
      <c r="AO146" s="19">
        <v>1</v>
      </c>
      <c r="AP146" s="19">
        <v>1</v>
      </c>
      <c r="AQ146" s="19">
        <v>1</v>
      </c>
      <c r="AR146" s="19">
        <v>1</v>
      </c>
      <c r="AS146" s="22"/>
      <c r="AT146" s="19">
        <v>1</v>
      </c>
      <c r="AU146" s="19">
        <v>1</v>
      </c>
      <c r="AV146" s="19">
        <v>1</v>
      </c>
      <c r="AW146" s="19">
        <v>1</v>
      </c>
      <c r="AX146" s="19">
        <f>SUM(T146:AW146)</f>
        <v>26</v>
      </c>
      <c r="AY146" s="20"/>
      <c r="AZ146" s="19"/>
      <c r="BA146" s="20"/>
      <c r="BB146" s="49"/>
    </row>
    <row r="147" spans="1:54" ht="13.5" customHeight="1" x14ac:dyDescent="0.2">
      <c r="A147" s="104" t="s">
        <v>650</v>
      </c>
      <c r="B147" s="105" t="s">
        <v>230</v>
      </c>
      <c r="C147" s="26">
        <v>2982</v>
      </c>
      <c r="D147" s="35" t="s">
        <v>233</v>
      </c>
      <c r="E147" s="26">
        <v>417</v>
      </c>
      <c r="F147" s="26" t="s">
        <v>2279</v>
      </c>
      <c r="G147" s="35" t="s">
        <v>2006</v>
      </c>
      <c r="H147" s="37">
        <v>1</v>
      </c>
      <c r="I147" s="37" t="s">
        <v>47</v>
      </c>
      <c r="J147" s="37">
        <v>1</v>
      </c>
      <c r="K147" s="37" t="s">
        <v>47</v>
      </c>
      <c r="L147" s="35" t="str">
        <f>VLOOKUP(Tabla411[[#This Row],[BTL CVE]],tblPDV[#All],13,0)</f>
        <v>FLORES SALDAÑA JAVIER</v>
      </c>
      <c r="M147" s="26" t="s">
        <v>506</v>
      </c>
      <c r="N147" s="26" t="s">
        <v>54</v>
      </c>
      <c r="O147" s="26" t="s">
        <v>49</v>
      </c>
      <c r="P147" s="26" t="s">
        <v>49</v>
      </c>
      <c r="Q147" s="26" t="s">
        <v>50</v>
      </c>
      <c r="R147" s="38">
        <v>46113</v>
      </c>
      <c r="S147" s="38">
        <v>46142</v>
      </c>
      <c r="T147" s="19">
        <v>1</v>
      </c>
      <c r="U147" s="19">
        <v>1</v>
      </c>
      <c r="V147" s="19">
        <v>1</v>
      </c>
      <c r="W147" s="19">
        <v>1</v>
      </c>
      <c r="X147" s="22"/>
      <c r="Y147" s="19">
        <v>1</v>
      </c>
      <c r="Z147" s="19">
        <v>1</v>
      </c>
      <c r="AA147" s="19">
        <v>1</v>
      </c>
      <c r="AB147" s="19">
        <v>1</v>
      </c>
      <c r="AC147" s="19">
        <v>1</v>
      </c>
      <c r="AD147" s="19">
        <v>1</v>
      </c>
      <c r="AE147" s="22"/>
      <c r="AF147" s="19">
        <v>1</v>
      </c>
      <c r="AG147" s="19">
        <v>1</v>
      </c>
      <c r="AH147" s="19">
        <v>1</v>
      </c>
      <c r="AI147" s="19">
        <v>1</v>
      </c>
      <c r="AJ147" s="19">
        <v>1</v>
      </c>
      <c r="AK147" s="19">
        <v>1</v>
      </c>
      <c r="AL147" s="22"/>
      <c r="AM147" s="19">
        <v>1</v>
      </c>
      <c r="AN147" s="19">
        <v>1</v>
      </c>
      <c r="AO147" s="19">
        <v>1</v>
      </c>
      <c r="AP147" s="19">
        <v>1</v>
      </c>
      <c r="AQ147" s="19">
        <v>1</v>
      </c>
      <c r="AR147" s="19">
        <v>1</v>
      </c>
      <c r="AS147" s="22"/>
      <c r="AT147" s="19">
        <v>1</v>
      </c>
      <c r="AU147" s="19">
        <v>1</v>
      </c>
      <c r="AV147" s="19">
        <v>1</v>
      </c>
      <c r="AW147" s="19">
        <v>1</v>
      </c>
      <c r="AX147" s="19">
        <f>SUM(T147:AW147)</f>
        <v>26</v>
      </c>
      <c r="AY147" s="20"/>
      <c r="AZ147" s="19"/>
      <c r="BA147" s="20"/>
      <c r="BB147" s="49"/>
    </row>
    <row r="148" spans="1:54" ht="13.5" customHeight="1" x14ac:dyDescent="0.2">
      <c r="A148" s="104" t="s">
        <v>651</v>
      </c>
      <c r="B148" s="105" t="s">
        <v>230</v>
      </c>
      <c r="C148" s="26">
        <v>2950</v>
      </c>
      <c r="D148" s="35" t="s">
        <v>234</v>
      </c>
      <c r="E148" s="26">
        <v>22</v>
      </c>
      <c r="F148" s="26" t="s">
        <v>2132</v>
      </c>
      <c r="G148" s="35" t="s">
        <v>2007</v>
      </c>
      <c r="H148" s="37">
        <v>1</v>
      </c>
      <c r="I148" s="37" t="s">
        <v>47</v>
      </c>
      <c r="J148" s="37">
        <v>1</v>
      </c>
      <c r="K148" s="37" t="s">
        <v>47</v>
      </c>
      <c r="L148" s="35" t="str">
        <f>VLOOKUP(Tabla411[[#This Row],[BTL CVE]],tblPDV[#All],13,0)</f>
        <v xml:space="preserve">ANIMAS SAUCEDO ANA CRISTINA </v>
      </c>
      <c r="M148" s="26" t="s">
        <v>503</v>
      </c>
      <c r="N148" s="26" t="s">
        <v>54</v>
      </c>
      <c r="O148" s="26" t="s">
        <v>49</v>
      </c>
      <c r="P148" s="26" t="s">
        <v>49</v>
      </c>
      <c r="Q148" s="26" t="s">
        <v>50</v>
      </c>
      <c r="R148" s="38">
        <v>46113</v>
      </c>
      <c r="S148" s="38">
        <v>46142</v>
      </c>
      <c r="T148" s="19">
        <v>1</v>
      </c>
      <c r="U148" s="19">
        <v>1</v>
      </c>
      <c r="V148" s="19">
        <v>1</v>
      </c>
      <c r="W148" s="19">
        <v>1</v>
      </c>
      <c r="X148" s="22"/>
      <c r="Y148" s="19">
        <v>1</v>
      </c>
      <c r="Z148" s="19">
        <v>1</v>
      </c>
      <c r="AA148" s="19">
        <v>1</v>
      </c>
      <c r="AB148" s="19">
        <v>1</v>
      </c>
      <c r="AC148" s="19">
        <v>1</v>
      </c>
      <c r="AD148" s="19">
        <v>1</v>
      </c>
      <c r="AE148" s="22"/>
      <c r="AF148" s="19">
        <v>1</v>
      </c>
      <c r="AG148" s="19">
        <v>1</v>
      </c>
      <c r="AH148" s="19">
        <v>1</v>
      </c>
      <c r="AI148" s="19">
        <v>1</v>
      </c>
      <c r="AJ148" s="19">
        <v>1</v>
      </c>
      <c r="AK148" s="19">
        <v>1</v>
      </c>
      <c r="AL148" s="22"/>
      <c r="AM148" s="19">
        <v>1</v>
      </c>
      <c r="AN148" s="19">
        <v>1</v>
      </c>
      <c r="AO148" s="19">
        <v>1</v>
      </c>
      <c r="AP148" s="19">
        <v>1</v>
      </c>
      <c r="AQ148" s="19">
        <v>1</v>
      </c>
      <c r="AR148" s="19">
        <v>1</v>
      </c>
      <c r="AS148" s="22"/>
      <c r="AT148" s="19">
        <v>1</v>
      </c>
      <c r="AU148" s="19">
        <v>1</v>
      </c>
      <c r="AV148" s="19">
        <v>1</v>
      </c>
      <c r="AW148" s="19">
        <v>1</v>
      </c>
      <c r="AX148" s="19">
        <f>SUM(T148:AW148)</f>
        <v>26</v>
      </c>
      <c r="AY148" s="20"/>
      <c r="AZ148" s="19"/>
      <c r="BA148" s="20"/>
      <c r="BB148" s="49"/>
    </row>
    <row r="149" spans="1:54" ht="13.5" customHeight="1" x14ac:dyDescent="0.2">
      <c r="A149" s="104" t="s">
        <v>1377</v>
      </c>
      <c r="B149" s="86" t="s">
        <v>230</v>
      </c>
      <c r="C149" s="26">
        <v>2981</v>
      </c>
      <c r="D149" s="35" t="s">
        <v>489</v>
      </c>
      <c r="E149" s="26">
        <v>593</v>
      </c>
      <c r="F149" s="26" t="s">
        <v>2386</v>
      </c>
      <c r="G149" s="35" t="s">
        <v>2387</v>
      </c>
      <c r="H149" s="37">
        <v>1</v>
      </c>
      <c r="I149" s="37" t="s">
        <v>47</v>
      </c>
      <c r="J149" s="37">
        <v>1</v>
      </c>
      <c r="K149" s="37" t="s">
        <v>47</v>
      </c>
      <c r="L149" s="35" t="str">
        <f>VLOOKUP(Tabla411[[#This Row],[BTL CVE]],tblPDV[#All],13,0)</f>
        <v xml:space="preserve">ANIMAS SAUCEDO ANA CRISTINA </v>
      </c>
      <c r="M149" s="26" t="s">
        <v>503</v>
      </c>
      <c r="N149" s="26" t="s">
        <v>54</v>
      </c>
      <c r="O149" s="26" t="s">
        <v>49</v>
      </c>
      <c r="P149" s="26" t="s">
        <v>49</v>
      </c>
      <c r="Q149" s="26" t="s">
        <v>50</v>
      </c>
      <c r="R149" s="38">
        <v>46113</v>
      </c>
      <c r="S149" s="38">
        <v>46142</v>
      </c>
      <c r="T149" s="19">
        <v>1</v>
      </c>
      <c r="U149" s="19">
        <v>1</v>
      </c>
      <c r="V149" s="19">
        <v>1</v>
      </c>
      <c r="W149" s="19">
        <v>1</v>
      </c>
      <c r="X149" s="22"/>
      <c r="Y149" s="19">
        <v>1</v>
      </c>
      <c r="Z149" s="19">
        <v>1</v>
      </c>
      <c r="AA149" s="19">
        <v>1</v>
      </c>
      <c r="AB149" s="19">
        <v>1</v>
      </c>
      <c r="AC149" s="19">
        <v>1</v>
      </c>
      <c r="AD149" s="19">
        <v>1</v>
      </c>
      <c r="AE149" s="22"/>
      <c r="AF149" s="19">
        <v>1</v>
      </c>
      <c r="AG149" s="19">
        <v>1</v>
      </c>
      <c r="AH149" s="19">
        <v>1</v>
      </c>
      <c r="AI149" s="19">
        <v>1</v>
      </c>
      <c r="AJ149" s="19">
        <v>1</v>
      </c>
      <c r="AK149" s="19">
        <v>1</v>
      </c>
      <c r="AL149" s="22"/>
      <c r="AM149" s="19">
        <v>1</v>
      </c>
      <c r="AN149" s="19">
        <v>1</v>
      </c>
      <c r="AO149" s="19">
        <v>1</v>
      </c>
      <c r="AP149" s="19">
        <v>1</v>
      </c>
      <c r="AQ149" s="19">
        <v>1</v>
      </c>
      <c r="AR149" s="19">
        <v>1</v>
      </c>
      <c r="AS149" s="22"/>
      <c r="AT149" s="19">
        <v>1</v>
      </c>
      <c r="AU149" s="19">
        <v>1</v>
      </c>
      <c r="AV149" s="19">
        <v>1</v>
      </c>
      <c r="AW149" s="19">
        <v>1</v>
      </c>
      <c r="AX149" s="19">
        <f>SUM(T149:AW149)</f>
        <v>26</v>
      </c>
      <c r="AY149" s="20"/>
      <c r="AZ149" s="19"/>
      <c r="BA149" s="20"/>
      <c r="BB149" s="49"/>
    </row>
    <row r="150" spans="1:54" ht="13.5" customHeight="1" x14ac:dyDescent="0.2">
      <c r="A150" s="104" t="s">
        <v>656</v>
      </c>
      <c r="B150" s="86" t="s">
        <v>230</v>
      </c>
      <c r="C150" s="26">
        <v>2975</v>
      </c>
      <c r="D150" s="35" t="s">
        <v>237</v>
      </c>
      <c r="E150" s="26">
        <v>419</v>
      </c>
      <c r="F150" s="26" t="s">
        <v>2280</v>
      </c>
      <c r="G150" s="35" t="s">
        <v>238</v>
      </c>
      <c r="H150" s="37">
        <v>1</v>
      </c>
      <c r="I150" s="37" t="s">
        <v>47</v>
      </c>
      <c r="J150" s="37">
        <v>1</v>
      </c>
      <c r="K150" s="26" t="s">
        <v>47</v>
      </c>
      <c r="L150" s="35" t="str">
        <f>VLOOKUP(Tabla411[[#This Row],[BTL CVE]],tblPDV[#All],13,0)</f>
        <v>ALVAREZ GARCIA ADRIANA YULISMA</v>
      </c>
      <c r="M150" s="26" t="s">
        <v>503</v>
      </c>
      <c r="N150" s="26" t="s">
        <v>239</v>
      </c>
      <c r="O150" s="26" t="s">
        <v>49</v>
      </c>
      <c r="P150" s="26" t="s">
        <v>49</v>
      </c>
      <c r="Q150" s="26" t="s">
        <v>50</v>
      </c>
      <c r="R150" s="38">
        <v>46113</v>
      </c>
      <c r="S150" s="38">
        <v>46142</v>
      </c>
      <c r="T150" s="19">
        <v>1</v>
      </c>
      <c r="U150" s="19">
        <v>1</v>
      </c>
      <c r="V150" s="19">
        <v>1</v>
      </c>
      <c r="W150" s="19">
        <v>1</v>
      </c>
      <c r="X150" s="22"/>
      <c r="Y150" s="19">
        <v>1</v>
      </c>
      <c r="Z150" s="19">
        <v>1</v>
      </c>
      <c r="AA150" s="19">
        <v>1</v>
      </c>
      <c r="AB150" s="19">
        <v>1</v>
      </c>
      <c r="AC150" s="19">
        <v>1</v>
      </c>
      <c r="AD150" s="19">
        <v>1</v>
      </c>
      <c r="AE150" s="22"/>
      <c r="AF150" s="19">
        <v>1</v>
      </c>
      <c r="AG150" s="19">
        <v>1</v>
      </c>
      <c r="AH150" s="19">
        <v>1</v>
      </c>
      <c r="AI150" s="19">
        <v>1</v>
      </c>
      <c r="AJ150" s="19">
        <v>1</v>
      </c>
      <c r="AK150" s="19">
        <v>1</v>
      </c>
      <c r="AL150" s="22"/>
      <c r="AM150" s="19">
        <v>1</v>
      </c>
      <c r="AN150" s="19">
        <v>1</v>
      </c>
      <c r="AO150" s="19">
        <v>1</v>
      </c>
      <c r="AP150" s="19">
        <v>1</v>
      </c>
      <c r="AQ150" s="19">
        <v>1</v>
      </c>
      <c r="AR150" s="19">
        <v>1</v>
      </c>
      <c r="AS150" s="22"/>
      <c r="AT150" s="19">
        <v>1</v>
      </c>
      <c r="AU150" s="19">
        <v>1</v>
      </c>
      <c r="AV150" s="19">
        <v>1</v>
      </c>
      <c r="AW150" s="19">
        <v>1</v>
      </c>
      <c r="AX150" s="19">
        <f>SUM(T150:AW150)</f>
        <v>26</v>
      </c>
      <c r="AY150" s="20"/>
      <c r="AZ150" s="19"/>
      <c r="BA150" s="20"/>
      <c r="BB150" s="49"/>
    </row>
    <row r="151" spans="1:54" ht="13.5" customHeight="1" x14ac:dyDescent="0.2">
      <c r="A151" s="104" t="s">
        <v>657</v>
      </c>
      <c r="B151" s="86" t="s">
        <v>230</v>
      </c>
      <c r="C151" s="26">
        <v>2964</v>
      </c>
      <c r="D151" s="35" t="s">
        <v>240</v>
      </c>
      <c r="E151" s="26">
        <v>147</v>
      </c>
      <c r="F151" s="26" t="s">
        <v>2192</v>
      </c>
      <c r="G151" s="35" t="s">
        <v>2009</v>
      </c>
      <c r="H151" s="37">
        <v>1</v>
      </c>
      <c r="I151" s="37" t="s">
        <v>47</v>
      </c>
      <c r="J151" s="37">
        <v>1</v>
      </c>
      <c r="K151" s="26" t="s">
        <v>47</v>
      </c>
      <c r="L151" s="35" t="str">
        <f>VLOOKUP(Tabla411[[#This Row],[BTL CVE]],tblPDV[#All],13,0)</f>
        <v>FLORES SALDAÑA JAVIER</v>
      </c>
      <c r="M151" s="26" t="s">
        <v>537</v>
      </c>
      <c r="N151" s="26" t="s">
        <v>54</v>
      </c>
      <c r="O151" s="26" t="s">
        <v>49</v>
      </c>
      <c r="P151" s="26" t="s">
        <v>49</v>
      </c>
      <c r="Q151" s="26" t="s">
        <v>50</v>
      </c>
      <c r="R151" s="38">
        <v>46113</v>
      </c>
      <c r="S151" s="38">
        <v>46142</v>
      </c>
      <c r="T151" s="19">
        <v>1</v>
      </c>
      <c r="U151" s="19">
        <v>1</v>
      </c>
      <c r="V151" s="19">
        <v>1</v>
      </c>
      <c r="W151" s="19">
        <v>1</v>
      </c>
      <c r="X151" s="22"/>
      <c r="Y151" s="19">
        <v>1</v>
      </c>
      <c r="Z151" s="19">
        <v>1</v>
      </c>
      <c r="AA151" s="19">
        <v>1</v>
      </c>
      <c r="AB151" s="19">
        <v>1</v>
      </c>
      <c r="AC151" s="19">
        <v>1</v>
      </c>
      <c r="AD151" s="19">
        <v>1</v>
      </c>
      <c r="AE151" s="22"/>
      <c r="AF151" s="19">
        <v>1</v>
      </c>
      <c r="AG151" s="19">
        <v>1</v>
      </c>
      <c r="AH151" s="19">
        <v>1</v>
      </c>
      <c r="AI151" s="19">
        <v>1</v>
      </c>
      <c r="AJ151" s="19">
        <v>1</v>
      </c>
      <c r="AK151" s="19">
        <v>1</v>
      </c>
      <c r="AL151" s="22"/>
      <c r="AM151" s="19">
        <v>1</v>
      </c>
      <c r="AN151" s="19">
        <v>1</v>
      </c>
      <c r="AO151" s="19">
        <v>1</v>
      </c>
      <c r="AP151" s="19">
        <v>1</v>
      </c>
      <c r="AQ151" s="19">
        <v>1</v>
      </c>
      <c r="AR151" s="19">
        <v>1</v>
      </c>
      <c r="AS151" s="22"/>
      <c r="AT151" s="19">
        <v>1</v>
      </c>
      <c r="AU151" s="19">
        <v>1</v>
      </c>
      <c r="AV151" s="19">
        <v>1</v>
      </c>
      <c r="AW151" s="19">
        <v>1</v>
      </c>
      <c r="AX151" s="19">
        <f>SUM(T151:AW151)</f>
        <v>26</v>
      </c>
      <c r="AY151" s="20"/>
      <c r="AZ151" s="19"/>
      <c r="BA151" s="20"/>
      <c r="BB151" s="49"/>
    </row>
    <row r="152" spans="1:54" ht="13.5" customHeight="1" x14ac:dyDescent="0.2">
      <c r="A152" s="104" t="s">
        <v>662</v>
      </c>
      <c r="B152" s="86" t="s">
        <v>230</v>
      </c>
      <c r="C152" s="26">
        <v>2993</v>
      </c>
      <c r="D152" s="35" t="s">
        <v>246</v>
      </c>
      <c r="E152" s="26">
        <v>455</v>
      </c>
      <c r="F152" s="26" t="s">
        <v>2292</v>
      </c>
      <c r="G152" s="35" t="s">
        <v>247</v>
      </c>
      <c r="H152" s="37">
        <v>1</v>
      </c>
      <c r="I152" s="37" t="s">
        <v>47</v>
      </c>
      <c r="J152" s="37">
        <v>1</v>
      </c>
      <c r="K152" s="37" t="s">
        <v>47</v>
      </c>
      <c r="L152" s="35" t="str">
        <f>VLOOKUP(Tabla411[[#This Row],[BTL CVE]],tblPDV[#All],13,0)</f>
        <v>FLORES SALDAÑA JAVIER</v>
      </c>
      <c r="M152" s="26" t="s">
        <v>538</v>
      </c>
      <c r="N152" s="26" t="s">
        <v>54</v>
      </c>
      <c r="O152" s="26" t="s">
        <v>49</v>
      </c>
      <c r="P152" s="26" t="s">
        <v>49</v>
      </c>
      <c r="Q152" s="26" t="s">
        <v>50</v>
      </c>
      <c r="R152" s="38">
        <v>46113</v>
      </c>
      <c r="S152" s="38">
        <v>46142</v>
      </c>
      <c r="T152" s="19">
        <v>1</v>
      </c>
      <c r="U152" s="19">
        <v>1</v>
      </c>
      <c r="V152" s="19">
        <v>1</v>
      </c>
      <c r="W152" s="19">
        <v>1</v>
      </c>
      <c r="X152" s="22"/>
      <c r="Y152" s="19">
        <v>1</v>
      </c>
      <c r="Z152" s="19">
        <v>1</v>
      </c>
      <c r="AA152" s="19">
        <v>1</v>
      </c>
      <c r="AB152" s="19">
        <v>1</v>
      </c>
      <c r="AC152" s="19">
        <v>1</v>
      </c>
      <c r="AD152" s="19">
        <v>1</v>
      </c>
      <c r="AE152" s="22"/>
      <c r="AF152" s="19">
        <v>1</v>
      </c>
      <c r="AG152" s="19">
        <v>1</v>
      </c>
      <c r="AH152" s="19">
        <v>1</v>
      </c>
      <c r="AI152" s="19">
        <v>1</v>
      </c>
      <c r="AJ152" s="19">
        <v>1</v>
      </c>
      <c r="AK152" s="19">
        <v>1</v>
      </c>
      <c r="AL152" s="22"/>
      <c r="AM152" s="19">
        <v>1</v>
      </c>
      <c r="AN152" s="19">
        <v>1</v>
      </c>
      <c r="AO152" s="19">
        <v>1</v>
      </c>
      <c r="AP152" s="19">
        <v>1</v>
      </c>
      <c r="AQ152" s="19">
        <v>1</v>
      </c>
      <c r="AR152" s="19">
        <v>1</v>
      </c>
      <c r="AS152" s="22"/>
      <c r="AT152" s="19">
        <v>1</v>
      </c>
      <c r="AU152" s="19">
        <v>1</v>
      </c>
      <c r="AV152" s="19">
        <v>1</v>
      </c>
      <c r="AW152" s="19">
        <v>1</v>
      </c>
      <c r="AX152" s="19">
        <f>SUM(T152:AW152)</f>
        <v>26</v>
      </c>
      <c r="AY152" s="20"/>
      <c r="AZ152" s="19"/>
      <c r="BA152" s="20"/>
      <c r="BB152" s="49"/>
    </row>
    <row r="153" spans="1:54" ht="13.5" customHeight="1" x14ac:dyDescent="0.2">
      <c r="A153" s="104" t="s">
        <v>663</v>
      </c>
      <c r="B153" s="86" t="s">
        <v>230</v>
      </c>
      <c r="C153" s="26">
        <v>2985</v>
      </c>
      <c r="D153" s="35" t="s">
        <v>248</v>
      </c>
      <c r="E153" s="26">
        <v>146</v>
      </c>
      <c r="F153" s="26" t="s">
        <v>2191</v>
      </c>
      <c r="G153" s="35" t="s">
        <v>2011</v>
      </c>
      <c r="H153" s="37">
        <v>1</v>
      </c>
      <c r="I153" s="37" t="s">
        <v>47</v>
      </c>
      <c r="J153" s="37">
        <v>1</v>
      </c>
      <c r="K153" s="37" t="s">
        <v>47</v>
      </c>
      <c r="L153" s="35" t="str">
        <f>VLOOKUP(Tabla411[[#This Row],[BTL CVE]],tblPDV[#All],13,0)</f>
        <v>FLORES SALDAÑA JAVIER</v>
      </c>
      <c r="M153" s="26" t="s">
        <v>248</v>
      </c>
      <c r="N153" s="26" t="s">
        <v>54</v>
      </c>
      <c r="O153" s="26" t="s">
        <v>49</v>
      </c>
      <c r="P153" s="26" t="s">
        <v>49</v>
      </c>
      <c r="Q153" s="26" t="s">
        <v>50</v>
      </c>
      <c r="R153" s="38">
        <v>46113</v>
      </c>
      <c r="S153" s="38">
        <v>46142</v>
      </c>
      <c r="T153" s="19">
        <v>1</v>
      </c>
      <c r="U153" s="19">
        <v>1</v>
      </c>
      <c r="V153" s="19">
        <v>1</v>
      </c>
      <c r="W153" s="19">
        <v>1</v>
      </c>
      <c r="X153" s="22"/>
      <c r="Y153" s="19">
        <v>1</v>
      </c>
      <c r="Z153" s="19">
        <v>1</v>
      </c>
      <c r="AA153" s="19">
        <v>1</v>
      </c>
      <c r="AB153" s="19">
        <v>1</v>
      </c>
      <c r="AC153" s="19">
        <v>1</v>
      </c>
      <c r="AD153" s="19">
        <v>1</v>
      </c>
      <c r="AE153" s="22"/>
      <c r="AF153" s="19">
        <v>1</v>
      </c>
      <c r="AG153" s="19">
        <v>1</v>
      </c>
      <c r="AH153" s="19">
        <v>1</v>
      </c>
      <c r="AI153" s="19">
        <v>1</v>
      </c>
      <c r="AJ153" s="19">
        <v>1</v>
      </c>
      <c r="AK153" s="19">
        <v>1</v>
      </c>
      <c r="AL153" s="22"/>
      <c r="AM153" s="19">
        <v>1</v>
      </c>
      <c r="AN153" s="19">
        <v>1</v>
      </c>
      <c r="AO153" s="19">
        <v>1</v>
      </c>
      <c r="AP153" s="19">
        <v>1</v>
      </c>
      <c r="AQ153" s="19">
        <v>1</v>
      </c>
      <c r="AR153" s="19">
        <v>1</v>
      </c>
      <c r="AS153" s="22"/>
      <c r="AT153" s="19">
        <v>1</v>
      </c>
      <c r="AU153" s="19">
        <v>1</v>
      </c>
      <c r="AV153" s="19">
        <v>1</v>
      </c>
      <c r="AW153" s="19">
        <v>1</v>
      </c>
      <c r="AX153" s="19">
        <f>SUM(T153:AW153)</f>
        <v>26</v>
      </c>
      <c r="AY153" s="20"/>
      <c r="AZ153" s="19"/>
      <c r="BA153" s="20"/>
      <c r="BB153" s="49"/>
    </row>
    <row r="154" spans="1:54" ht="13.5" customHeight="1" x14ac:dyDescent="0.2">
      <c r="A154" s="104" t="s">
        <v>667</v>
      </c>
      <c r="B154" s="86" t="s">
        <v>230</v>
      </c>
      <c r="C154" s="26">
        <v>2918</v>
      </c>
      <c r="D154" s="35" t="s">
        <v>451</v>
      </c>
      <c r="E154" s="26"/>
      <c r="F154" s="26"/>
      <c r="G154" s="35" t="s">
        <v>2098</v>
      </c>
      <c r="H154" s="37">
        <v>1</v>
      </c>
      <c r="I154" s="37" t="s">
        <v>47</v>
      </c>
      <c r="J154" s="37">
        <v>1</v>
      </c>
      <c r="K154" s="37" t="s">
        <v>47</v>
      </c>
      <c r="L154" s="35" t="str">
        <f>VLOOKUP(Tabla411[[#This Row],[BTL CVE]],tblPDV[#All],13,0)</f>
        <v>VACANTE</v>
      </c>
      <c r="M154" s="26" t="s">
        <v>451</v>
      </c>
      <c r="N154" s="26" t="s">
        <v>54</v>
      </c>
      <c r="O154" s="26" t="s">
        <v>49</v>
      </c>
      <c r="P154" s="26" t="s">
        <v>49</v>
      </c>
      <c r="Q154" s="26" t="s">
        <v>50</v>
      </c>
      <c r="R154" s="38">
        <v>46113</v>
      </c>
      <c r="S154" s="38">
        <v>46142</v>
      </c>
      <c r="T154" s="19">
        <v>1</v>
      </c>
      <c r="U154" s="19">
        <v>1</v>
      </c>
      <c r="V154" s="19">
        <v>1</v>
      </c>
      <c r="W154" s="19">
        <v>1</v>
      </c>
      <c r="X154" s="22"/>
      <c r="Y154" s="19">
        <v>1</v>
      </c>
      <c r="Z154" s="19">
        <v>1</v>
      </c>
      <c r="AA154" s="19">
        <v>1</v>
      </c>
      <c r="AB154" s="19">
        <v>1</v>
      </c>
      <c r="AC154" s="19">
        <v>1</v>
      </c>
      <c r="AD154" s="19">
        <v>1</v>
      </c>
      <c r="AE154" s="22"/>
      <c r="AF154" s="19">
        <v>1</v>
      </c>
      <c r="AG154" s="19">
        <v>1</v>
      </c>
      <c r="AH154" s="19">
        <v>1</v>
      </c>
      <c r="AI154" s="19">
        <v>1</v>
      </c>
      <c r="AJ154" s="19">
        <v>1</v>
      </c>
      <c r="AK154" s="19">
        <v>1</v>
      </c>
      <c r="AL154" s="22"/>
      <c r="AM154" s="19">
        <v>1</v>
      </c>
      <c r="AN154" s="19">
        <v>1</v>
      </c>
      <c r="AO154" s="19">
        <v>1</v>
      </c>
      <c r="AP154" s="19">
        <v>1</v>
      </c>
      <c r="AQ154" s="19">
        <v>1</v>
      </c>
      <c r="AR154" s="19">
        <v>1</v>
      </c>
      <c r="AS154" s="22"/>
      <c r="AT154" s="19">
        <v>1</v>
      </c>
      <c r="AU154" s="19">
        <v>1</v>
      </c>
      <c r="AV154" s="19">
        <v>1</v>
      </c>
      <c r="AW154" s="19">
        <v>1</v>
      </c>
      <c r="AX154" s="19">
        <f>SUM(T154:AW154)</f>
        <v>26</v>
      </c>
      <c r="AY154" s="20"/>
      <c r="AZ154" s="19"/>
      <c r="BA154" s="20"/>
      <c r="BB154" s="49"/>
    </row>
    <row r="155" spans="1:54" ht="13.5" customHeight="1" x14ac:dyDescent="0.2">
      <c r="A155" s="104" t="s">
        <v>797</v>
      </c>
      <c r="B155" s="86" t="s">
        <v>251</v>
      </c>
      <c r="C155" s="26">
        <v>131</v>
      </c>
      <c r="D155" s="35" t="s">
        <v>255</v>
      </c>
      <c r="E155" s="26">
        <v>140</v>
      </c>
      <c r="F155" s="26" t="s">
        <v>2187</v>
      </c>
      <c r="G155" s="35" t="s">
        <v>1970</v>
      </c>
      <c r="H155" s="37">
        <v>0.5</v>
      </c>
      <c r="I155" s="37" t="s">
        <v>53</v>
      </c>
      <c r="J155" s="37">
        <v>0.5</v>
      </c>
      <c r="K155" s="37" t="s">
        <v>53</v>
      </c>
      <c r="L155" s="35" t="str">
        <f>VLOOKUP(Tabla411[[#This Row],[BTL CVE]],tblPDV[#All],13,0)</f>
        <v xml:space="preserve">CHAVEZ RAMOS  JONATAN RAYMUNDO </v>
      </c>
      <c r="M155" s="26" t="s">
        <v>536</v>
      </c>
      <c r="N155" s="26" t="s">
        <v>54</v>
      </c>
      <c r="O155" s="26" t="s">
        <v>66</v>
      </c>
      <c r="P155" s="26" t="s">
        <v>66</v>
      </c>
      <c r="Q155" s="26" t="s">
        <v>50</v>
      </c>
      <c r="R155" s="38">
        <v>46113</v>
      </c>
      <c r="S155" s="38">
        <v>46142</v>
      </c>
      <c r="T155" s="19"/>
      <c r="U155" s="19">
        <v>1</v>
      </c>
      <c r="V155" s="19">
        <v>1</v>
      </c>
      <c r="W155" s="19">
        <v>1</v>
      </c>
      <c r="X155" s="22"/>
      <c r="Y155" s="19"/>
      <c r="Z155" s="19"/>
      <c r="AA155" s="19"/>
      <c r="AB155" s="19">
        <v>1</v>
      </c>
      <c r="AC155" s="19">
        <v>1</v>
      </c>
      <c r="AD155" s="19">
        <v>1</v>
      </c>
      <c r="AE155" s="22"/>
      <c r="AF155" s="19"/>
      <c r="AG155" s="19"/>
      <c r="AH155" s="19"/>
      <c r="AI155" s="19">
        <v>1</v>
      </c>
      <c r="AJ155" s="19">
        <v>1</v>
      </c>
      <c r="AK155" s="19">
        <v>1</v>
      </c>
      <c r="AL155" s="22"/>
      <c r="AM155" s="19"/>
      <c r="AN155" s="19"/>
      <c r="AO155" s="19"/>
      <c r="AP155" s="19">
        <v>1</v>
      </c>
      <c r="AQ155" s="19">
        <v>1</v>
      </c>
      <c r="AR155" s="19">
        <v>1</v>
      </c>
      <c r="AS155" s="22"/>
      <c r="AT155" s="19"/>
      <c r="AU155" s="19"/>
      <c r="AV155" s="19"/>
      <c r="AW155" s="19">
        <v>1</v>
      </c>
      <c r="AX155" s="19">
        <f>SUM(T155:AW155)</f>
        <v>13</v>
      </c>
      <c r="AY155" s="20"/>
      <c r="AZ155" s="19"/>
      <c r="BA155" s="20"/>
      <c r="BB155" s="49"/>
    </row>
    <row r="156" spans="1:54" ht="13.5" customHeight="1" x14ac:dyDescent="0.2">
      <c r="A156" s="104" t="s">
        <v>798</v>
      </c>
      <c r="B156" s="86" t="s">
        <v>251</v>
      </c>
      <c r="C156" s="26">
        <v>444</v>
      </c>
      <c r="D156" s="35" t="s">
        <v>256</v>
      </c>
      <c r="E156" s="26">
        <v>332</v>
      </c>
      <c r="F156" s="26" t="s">
        <v>2254</v>
      </c>
      <c r="G156" s="35" t="s">
        <v>1971</v>
      </c>
      <c r="H156" s="37">
        <v>0.5</v>
      </c>
      <c r="I156" s="37" t="s">
        <v>53</v>
      </c>
      <c r="J156" s="37">
        <v>0.5</v>
      </c>
      <c r="K156" s="37" t="s">
        <v>53</v>
      </c>
      <c r="L156" s="35" t="str">
        <f>VLOOKUP(Tabla411[[#This Row],[BTL CVE]],tblPDV[#All],13,0)</f>
        <v>LOPEZ RUIZ JACQUELINE</v>
      </c>
      <c r="M156" s="26" t="s">
        <v>536</v>
      </c>
      <c r="N156" s="26" t="s">
        <v>54</v>
      </c>
      <c r="O156" s="26" t="s">
        <v>55</v>
      </c>
      <c r="P156" s="26" t="s">
        <v>55</v>
      </c>
      <c r="Q156" s="26" t="s">
        <v>50</v>
      </c>
      <c r="R156" s="38">
        <v>46113</v>
      </c>
      <c r="S156" s="38">
        <v>46142</v>
      </c>
      <c r="T156" s="19">
        <v>1</v>
      </c>
      <c r="U156" s="19"/>
      <c r="V156" s="19"/>
      <c r="W156" s="19"/>
      <c r="X156" s="22"/>
      <c r="Y156" s="19">
        <v>1</v>
      </c>
      <c r="Z156" s="19">
        <v>1</v>
      </c>
      <c r="AA156" s="19">
        <v>1</v>
      </c>
      <c r="AB156" s="19"/>
      <c r="AC156" s="19"/>
      <c r="AD156" s="19"/>
      <c r="AE156" s="22"/>
      <c r="AF156" s="19">
        <v>1</v>
      </c>
      <c r="AG156" s="19">
        <v>1</v>
      </c>
      <c r="AH156" s="19">
        <v>1</v>
      </c>
      <c r="AI156" s="19"/>
      <c r="AJ156" s="19"/>
      <c r="AK156" s="19"/>
      <c r="AL156" s="22"/>
      <c r="AM156" s="19">
        <v>1</v>
      </c>
      <c r="AN156" s="19">
        <v>1</v>
      </c>
      <c r="AO156" s="19">
        <v>1</v>
      </c>
      <c r="AP156" s="19"/>
      <c r="AQ156" s="19"/>
      <c r="AR156" s="19"/>
      <c r="AS156" s="22"/>
      <c r="AT156" s="19">
        <v>1</v>
      </c>
      <c r="AU156" s="19">
        <v>1</v>
      </c>
      <c r="AV156" s="19">
        <v>1</v>
      </c>
      <c r="AW156" s="19"/>
      <c r="AX156" s="19">
        <f>SUM(T156:AW156)</f>
        <v>13</v>
      </c>
      <c r="AY156" s="20"/>
      <c r="AZ156" s="19"/>
      <c r="BA156" s="20"/>
      <c r="BB156" s="49"/>
    </row>
    <row r="157" spans="1:54" ht="13.5" customHeight="1" x14ac:dyDescent="0.2">
      <c r="A157" s="104" t="s">
        <v>795</v>
      </c>
      <c r="B157" s="86" t="s">
        <v>251</v>
      </c>
      <c r="C157" s="37">
        <v>432</v>
      </c>
      <c r="D157" s="35" t="s">
        <v>253</v>
      </c>
      <c r="E157" s="26">
        <v>445</v>
      </c>
      <c r="F157" s="26" t="s">
        <v>2289</v>
      </c>
      <c r="G157" s="35" t="s">
        <v>1497</v>
      </c>
      <c r="H157" s="37">
        <v>1</v>
      </c>
      <c r="I157" s="37" t="s">
        <v>47</v>
      </c>
      <c r="J157" s="37">
        <v>1</v>
      </c>
      <c r="K157" s="37" t="s">
        <v>47</v>
      </c>
      <c r="L157" s="35" t="str">
        <f>VLOOKUP(Tabla411[[#This Row],[BTL CVE]],tblPDV[#All],13,0)</f>
        <v xml:space="preserve">FERNANDEZ SANCHEZ MIGUEL ANGEL </v>
      </c>
      <c r="M157" s="26" t="s">
        <v>122</v>
      </c>
      <c r="N157" s="26" t="s">
        <v>54</v>
      </c>
      <c r="O157" s="26" t="s">
        <v>49</v>
      </c>
      <c r="P157" s="26" t="s">
        <v>49</v>
      </c>
      <c r="Q157" s="26" t="s">
        <v>50</v>
      </c>
      <c r="R157" s="38">
        <v>46113</v>
      </c>
      <c r="S157" s="38">
        <v>46142</v>
      </c>
      <c r="T157" s="19">
        <v>1</v>
      </c>
      <c r="U157" s="19">
        <v>1</v>
      </c>
      <c r="V157" s="19">
        <v>1</v>
      </c>
      <c r="W157" s="19">
        <v>1</v>
      </c>
      <c r="X157" s="22"/>
      <c r="Y157" s="19">
        <v>1</v>
      </c>
      <c r="Z157" s="19">
        <v>1</v>
      </c>
      <c r="AA157" s="19">
        <v>1</v>
      </c>
      <c r="AB157" s="19">
        <v>1</v>
      </c>
      <c r="AC157" s="19">
        <v>1</v>
      </c>
      <c r="AD157" s="19">
        <v>1</v>
      </c>
      <c r="AE157" s="22"/>
      <c r="AF157" s="19">
        <v>1</v>
      </c>
      <c r="AG157" s="19">
        <v>1</v>
      </c>
      <c r="AH157" s="19">
        <v>1</v>
      </c>
      <c r="AI157" s="19">
        <v>1</v>
      </c>
      <c r="AJ157" s="19">
        <v>1</v>
      </c>
      <c r="AK157" s="19">
        <v>1</v>
      </c>
      <c r="AL157" s="22"/>
      <c r="AM157" s="19">
        <v>1</v>
      </c>
      <c r="AN157" s="19">
        <v>1</v>
      </c>
      <c r="AO157" s="19">
        <v>1</v>
      </c>
      <c r="AP157" s="19">
        <v>1</v>
      </c>
      <c r="AQ157" s="19">
        <v>1</v>
      </c>
      <c r="AR157" s="19">
        <v>1</v>
      </c>
      <c r="AS157" s="22"/>
      <c r="AT157" s="19">
        <v>1</v>
      </c>
      <c r="AU157" s="19">
        <v>1</v>
      </c>
      <c r="AV157" s="19">
        <v>1</v>
      </c>
      <c r="AW157" s="19">
        <v>1</v>
      </c>
      <c r="AX157" s="19">
        <f>SUM(T157:AW157)</f>
        <v>26</v>
      </c>
      <c r="AY157" s="20"/>
      <c r="AZ157" s="19"/>
      <c r="BA157" s="20"/>
      <c r="BB157" s="49"/>
    </row>
    <row r="158" spans="1:54" ht="13.5" customHeight="1" x14ac:dyDescent="0.2">
      <c r="A158" s="104" t="s">
        <v>796</v>
      </c>
      <c r="B158" s="86" t="s">
        <v>251</v>
      </c>
      <c r="C158" s="26">
        <v>441</v>
      </c>
      <c r="D158" s="35" t="s">
        <v>254</v>
      </c>
      <c r="E158" s="26">
        <v>42</v>
      </c>
      <c r="F158" s="26" t="s">
        <v>2141</v>
      </c>
      <c r="G158" s="35" t="s">
        <v>2013</v>
      </c>
      <c r="H158" s="37">
        <v>1</v>
      </c>
      <c r="I158" s="37" t="s">
        <v>47</v>
      </c>
      <c r="J158" s="37">
        <v>1</v>
      </c>
      <c r="K158" s="37" t="s">
        <v>47</v>
      </c>
      <c r="L158" s="35" t="str">
        <f>VLOOKUP(Tabla411[[#This Row],[BTL CVE]],tblPDV[#All],13,0)</f>
        <v xml:space="preserve">BAUTISTA CORONA REYNA </v>
      </c>
      <c r="M158" s="26" t="s">
        <v>505</v>
      </c>
      <c r="N158" s="26" t="s">
        <v>54</v>
      </c>
      <c r="O158" s="26" t="s">
        <v>49</v>
      </c>
      <c r="P158" s="26" t="s">
        <v>49</v>
      </c>
      <c r="Q158" s="26" t="s">
        <v>50</v>
      </c>
      <c r="R158" s="38">
        <v>46113</v>
      </c>
      <c r="S158" s="38">
        <v>46142</v>
      </c>
      <c r="T158" s="19">
        <v>1</v>
      </c>
      <c r="U158" s="19">
        <v>1</v>
      </c>
      <c r="V158" s="19">
        <v>1</v>
      </c>
      <c r="W158" s="19">
        <v>1</v>
      </c>
      <c r="X158" s="22"/>
      <c r="Y158" s="19">
        <v>1</v>
      </c>
      <c r="Z158" s="19">
        <v>1</v>
      </c>
      <c r="AA158" s="19">
        <v>1</v>
      </c>
      <c r="AB158" s="19">
        <v>1</v>
      </c>
      <c r="AC158" s="19">
        <v>1</v>
      </c>
      <c r="AD158" s="19">
        <v>1</v>
      </c>
      <c r="AE158" s="22"/>
      <c r="AF158" s="19">
        <v>1</v>
      </c>
      <c r="AG158" s="19">
        <v>1</v>
      </c>
      <c r="AH158" s="19">
        <v>1</v>
      </c>
      <c r="AI158" s="19">
        <v>1</v>
      </c>
      <c r="AJ158" s="19">
        <v>1</v>
      </c>
      <c r="AK158" s="19">
        <v>1</v>
      </c>
      <c r="AL158" s="22"/>
      <c r="AM158" s="19">
        <v>1</v>
      </c>
      <c r="AN158" s="19">
        <v>1</v>
      </c>
      <c r="AO158" s="19">
        <v>1</v>
      </c>
      <c r="AP158" s="19">
        <v>1</v>
      </c>
      <c r="AQ158" s="19">
        <v>1</v>
      </c>
      <c r="AR158" s="19">
        <v>1</v>
      </c>
      <c r="AS158" s="22"/>
      <c r="AT158" s="19">
        <v>1</v>
      </c>
      <c r="AU158" s="19">
        <v>1</v>
      </c>
      <c r="AV158" s="19">
        <v>1</v>
      </c>
      <c r="AW158" s="19">
        <v>1</v>
      </c>
      <c r="AX158" s="19">
        <f>SUM(T158:AW158)</f>
        <v>26</v>
      </c>
      <c r="AY158" s="20"/>
      <c r="AZ158" s="19"/>
      <c r="BA158" s="20"/>
      <c r="BB158" s="49"/>
    </row>
    <row r="159" spans="1:54" ht="13.5" customHeight="1" x14ac:dyDescent="0.2">
      <c r="A159" s="104" t="s">
        <v>1447</v>
      </c>
      <c r="B159" s="86" t="s">
        <v>251</v>
      </c>
      <c r="C159" s="26">
        <v>14</v>
      </c>
      <c r="D159" s="35" t="s">
        <v>257</v>
      </c>
      <c r="E159" s="26">
        <v>547</v>
      </c>
      <c r="F159" s="26" t="s">
        <v>2337</v>
      </c>
      <c r="G159" s="35" t="s">
        <v>1535</v>
      </c>
      <c r="H159" s="37">
        <v>1</v>
      </c>
      <c r="I159" s="37" t="s">
        <v>47</v>
      </c>
      <c r="J159" s="37">
        <v>1</v>
      </c>
      <c r="K159" s="37" t="s">
        <v>47</v>
      </c>
      <c r="L159" s="35" t="str">
        <f>VLOOKUP(Tabla411[[#This Row],[BTL CVE]],tblPDV[#All],13,0)</f>
        <v>LOPEZ RUIZ JACQUELINE</v>
      </c>
      <c r="M159" s="26" t="s">
        <v>536</v>
      </c>
      <c r="N159" s="26" t="s">
        <v>54</v>
      </c>
      <c r="O159" s="26" t="s">
        <v>49</v>
      </c>
      <c r="P159" s="26" t="s">
        <v>49</v>
      </c>
      <c r="Q159" s="26" t="s">
        <v>50</v>
      </c>
      <c r="R159" s="38">
        <v>46113</v>
      </c>
      <c r="S159" s="38">
        <v>46142</v>
      </c>
      <c r="T159" s="19">
        <v>1</v>
      </c>
      <c r="U159" s="19">
        <v>1</v>
      </c>
      <c r="V159" s="19">
        <v>1</v>
      </c>
      <c r="W159" s="19">
        <v>1</v>
      </c>
      <c r="X159" s="22"/>
      <c r="Y159" s="19">
        <v>1</v>
      </c>
      <c r="Z159" s="19">
        <v>1</v>
      </c>
      <c r="AA159" s="19">
        <v>1</v>
      </c>
      <c r="AB159" s="19">
        <v>1</v>
      </c>
      <c r="AC159" s="19">
        <v>1</v>
      </c>
      <c r="AD159" s="19">
        <v>1</v>
      </c>
      <c r="AE159" s="22"/>
      <c r="AF159" s="19">
        <v>1</v>
      </c>
      <c r="AG159" s="19">
        <v>1</v>
      </c>
      <c r="AH159" s="19">
        <v>1</v>
      </c>
      <c r="AI159" s="19">
        <v>1</v>
      </c>
      <c r="AJ159" s="19">
        <v>1</v>
      </c>
      <c r="AK159" s="19">
        <v>1</v>
      </c>
      <c r="AL159" s="22"/>
      <c r="AM159" s="19">
        <v>1</v>
      </c>
      <c r="AN159" s="19">
        <v>1</v>
      </c>
      <c r="AO159" s="19">
        <v>1</v>
      </c>
      <c r="AP159" s="19">
        <v>1</v>
      </c>
      <c r="AQ159" s="19">
        <v>1</v>
      </c>
      <c r="AR159" s="19">
        <v>1</v>
      </c>
      <c r="AS159" s="22"/>
      <c r="AT159" s="19">
        <v>1</v>
      </c>
      <c r="AU159" s="19">
        <v>1</v>
      </c>
      <c r="AV159" s="19">
        <v>1</v>
      </c>
      <c r="AW159" s="19">
        <v>1</v>
      </c>
      <c r="AX159" s="19">
        <f>SUM(T159:AW159)</f>
        <v>26</v>
      </c>
      <c r="AY159" s="20"/>
      <c r="AZ159" s="19"/>
      <c r="BA159" s="20"/>
      <c r="BB159" s="49"/>
    </row>
    <row r="160" spans="1:54" ht="13.5" customHeight="1" x14ac:dyDescent="0.2">
      <c r="A160" s="104" t="s">
        <v>800</v>
      </c>
      <c r="B160" s="86" t="s">
        <v>251</v>
      </c>
      <c r="C160" s="26">
        <v>431</v>
      </c>
      <c r="D160" s="35" t="s">
        <v>259</v>
      </c>
      <c r="E160" s="26">
        <v>76</v>
      </c>
      <c r="F160" s="26" t="s">
        <v>2158</v>
      </c>
      <c r="G160" s="35" t="s">
        <v>2014</v>
      </c>
      <c r="H160" s="37">
        <v>1</v>
      </c>
      <c r="I160" s="37" t="s">
        <v>47</v>
      </c>
      <c r="J160" s="37">
        <v>1</v>
      </c>
      <c r="K160" s="37" t="s">
        <v>47</v>
      </c>
      <c r="L160" s="35" t="str">
        <f>VLOOKUP(Tabla411[[#This Row],[BTL CVE]],tblPDV[#All],13,0)</f>
        <v>MONTAGNER OLIVARES MIGUEL ANGEL</v>
      </c>
      <c r="M160" s="26" t="s">
        <v>536</v>
      </c>
      <c r="N160" s="26" t="s">
        <v>54</v>
      </c>
      <c r="O160" s="26" t="s">
        <v>49</v>
      </c>
      <c r="P160" s="26" t="s">
        <v>49</v>
      </c>
      <c r="Q160" s="26" t="s">
        <v>50</v>
      </c>
      <c r="R160" s="38">
        <v>46113</v>
      </c>
      <c r="S160" s="38">
        <v>46142</v>
      </c>
      <c r="T160" s="19">
        <v>1</v>
      </c>
      <c r="U160" s="19">
        <v>1</v>
      </c>
      <c r="V160" s="19">
        <v>1</v>
      </c>
      <c r="W160" s="19">
        <v>1</v>
      </c>
      <c r="X160" s="22"/>
      <c r="Y160" s="19">
        <v>1</v>
      </c>
      <c r="Z160" s="19">
        <v>1</v>
      </c>
      <c r="AA160" s="19">
        <v>1</v>
      </c>
      <c r="AB160" s="19">
        <v>1</v>
      </c>
      <c r="AC160" s="19">
        <v>1</v>
      </c>
      <c r="AD160" s="19">
        <v>1</v>
      </c>
      <c r="AE160" s="22"/>
      <c r="AF160" s="19">
        <v>1</v>
      </c>
      <c r="AG160" s="19">
        <v>1</v>
      </c>
      <c r="AH160" s="19">
        <v>1</v>
      </c>
      <c r="AI160" s="19">
        <v>1</v>
      </c>
      <c r="AJ160" s="19">
        <v>1</v>
      </c>
      <c r="AK160" s="19">
        <v>1</v>
      </c>
      <c r="AL160" s="22"/>
      <c r="AM160" s="19">
        <v>1</v>
      </c>
      <c r="AN160" s="19">
        <v>1</v>
      </c>
      <c r="AO160" s="19">
        <v>1</v>
      </c>
      <c r="AP160" s="19">
        <v>1</v>
      </c>
      <c r="AQ160" s="19">
        <v>1</v>
      </c>
      <c r="AR160" s="19">
        <v>1</v>
      </c>
      <c r="AS160" s="22"/>
      <c r="AT160" s="19">
        <v>1</v>
      </c>
      <c r="AU160" s="19">
        <v>1</v>
      </c>
      <c r="AV160" s="19">
        <v>1</v>
      </c>
      <c r="AW160" s="19">
        <v>1</v>
      </c>
      <c r="AX160" s="19">
        <f>SUM(T160:AW160)</f>
        <v>26</v>
      </c>
      <c r="AY160" s="20"/>
      <c r="AZ160" s="19"/>
      <c r="BA160" s="20"/>
      <c r="BB160" s="49"/>
    </row>
    <row r="161" spans="1:54" ht="13.5" customHeight="1" x14ac:dyDescent="0.2">
      <c r="A161" s="104" t="s">
        <v>804</v>
      </c>
      <c r="B161" s="86" t="s">
        <v>251</v>
      </c>
      <c r="C161" s="26">
        <v>375</v>
      </c>
      <c r="D161" s="35" t="s">
        <v>438</v>
      </c>
      <c r="E161" s="26">
        <v>575</v>
      </c>
      <c r="F161" s="26" t="s">
        <v>2348</v>
      </c>
      <c r="G161" s="35" t="s">
        <v>1571</v>
      </c>
      <c r="H161" s="37">
        <v>1</v>
      </c>
      <c r="I161" s="37" t="s">
        <v>47</v>
      </c>
      <c r="J161" s="37">
        <v>1</v>
      </c>
      <c r="K161" s="26" t="s">
        <v>47</v>
      </c>
      <c r="L161" s="35" t="str">
        <f>VLOOKUP(Tabla411[[#This Row],[BTL CVE]],tblPDV[#All],13,0)</f>
        <v>CARRILLO XOCHIHUA XOCHITL</v>
      </c>
      <c r="M161" s="26" t="s">
        <v>536</v>
      </c>
      <c r="N161" s="26" t="s">
        <v>54</v>
      </c>
      <c r="O161" s="26" t="s">
        <v>49</v>
      </c>
      <c r="P161" s="26" t="s">
        <v>49</v>
      </c>
      <c r="Q161" s="26" t="s">
        <v>50</v>
      </c>
      <c r="R161" s="38">
        <v>46113</v>
      </c>
      <c r="S161" s="38">
        <v>46142</v>
      </c>
      <c r="T161" s="19">
        <v>1</v>
      </c>
      <c r="U161" s="19">
        <v>1</v>
      </c>
      <c r="V161" s="19">
        <v>1</v>
      </c>
      <c r="W161" s="19">
        <v>1</v>
      </c>
      <c r="X161" s="22"/>
      <c r="Y161" s="19">
        <v>1</v>
      </c>
      <c r="Z161" s="19">
        <v>1</v>
      </c>
      <c r="AA161" s="19">
        <v>1</v>
      </c>
      <c r="AB161" s="19">
        <v>1</v>
      </c>
      <c r="AC161" s="19">
        <v>1</v>
      </c>
      <c r="AD161" s="19">
        <v>1</v>
      </c>
      <c r="AE161" s="22"/>
      <c r="AF161" s="19">
        <v>1</v>
      </c>
      <c r="AG161" s="19">
        <v>1</v>
      </c>
      <c r="AH161" s="19">
        <v>1</v>
      </c>
      <c r="AI161" s="19">
        <v>1</v>
      </c>
      <c r="AJ161" s="19">
        <v>1</v>
      </c>
      <c r="AK161" s="19">
        <v>1</v>
      </c>
      <c r="AL161" s="22"/>
      <c r="AM161" s="19">
        <v>1</v>
      </c>
      <c r="AN161" s="19">
        <v>1</v>
      </c>
      <c r="AO161" s="19">
        <v>1</v>
      </c>
      <c r="AP161" s="19">
        <v>1</v>
      </c>
      <c r="AQ161" s="19">
        <v>1</v>
      </c>
      <c r="AR161" s="19">
        <v>1</v>
      </c>
      <c r="AS161" s="22"/>
      <c r="AT161" s="19">
        <v>1</v>
      </c>
      <c r="AU161" s="19">
        <v>1</v>
      </c>
      <c r="AV161" s="19">
        <v>1</v>
      </c>
      <c r="AW161" s="19">
        <v>1</v>
      </c>
      <c r="AX161" s="19">
        <f>SUM(T161:AW161)</f>
        <v>26</v>
      </c>
      <c r="AY161" s="20"/>
      <c r="AZ161" s="19"/>
      <c r="BA161" s="20"/>
      <c r="BB161" s="49"/>
    </row>
    <row r="162" spans="1:54" ht="13.5" customHeight="1" x14ac:dyDescent="0.2">
      <c r="A162" s="104" t="s">
        <v>805</v>
      </c>
      <c r="B162" s="105" t="s">
        <v>251</v>
      </c>
      <c r="C162" s="26">
        <v>55</v>
      </c>
      <c r="D162" s="35" t="s">
        <v>437</v>
      </c>
      <c r="E162" s="26">
        <v>126</v>
      </c>
      <c r="F162" s="26" t="s">
        <v>2182</v>
      </c>
      <c r="G162" s="35" t="s">
        <v>1554</v>
      </c>
      <c r="H162" s="37">
        <v>1</v>
      </c>
      <c r="I162" s="37" t="s">
        <v>47</v>
      </c>
      <c r="J162" s="37">
        <v>1</v>
      </c>
      <c r="K162" s="37" t="s">
        <v>47</v>
      </c>
      <c r="L162" s="35" t="str">
        <f>VLOOKUP(Tabla411[[#This Row],[BTL CVE]],tblPDV[#All],13,0)</f>
        <v xml:space="preserve">ESTRADA NAVA MIRIAM ROCIO </v>
      </c>
      <c r="M162" s="26" t="s">
        <v>536</v>
      </c>
      <c r="N162" s="26" t="s">
        <v>54</v>
      </c>
      <c r="O162" s="26" t="s">
        <v>49</v>
      </c>
      <c r="P162" s="26" t="s">
        <v>49</v>
      </c>
      <c r="Q162" s="26" t="s">
        <v>50</v>
      </c>
      <c r="R162" s="38">
        <v>46113</v>
      </c>
      <c r="S162" s="38">
        <v>46142</v>
      </c>
      <c r="T162" s="19">
        <v>1</v>
      </c>
      <c r="U162" s="19">
        <v>1</v>
      </c>
      <c r="V162" s="19">
        <v>1</v>
      </c>
      <c r="W162" s="19">
        <v>1</v>
      </c>
      <c r="X162" s="22"/>
      <c r="Y162" s="19">
        <v>1</v>
      </c>
      <c r="Z162" s="19">
        <v>1</v>
      </c>
      <c r="AA162" s="19">
        <v>1</v>
      </c>
      <c r="AB162" s="19">
        <v>1</v>
      </c>
      <c r="AC162" s="19">
        <v>1</v>
      </c>
      <c r="AD162" s="19">
        <v>1</v>
      </c>
      <c r="AE162" s="22"/>
      <c r="AF162" s="19">
        <v>1</v>
      </c>
      <c r="AG162" s="19">
        <v>1</v>
      </c>
      <c r="AH162" s="19">
        <v>1</v>
      </c>
      <c r="AI162" s="19">
        <v>1</v>
      </c>
      <c r="AJ162" s="19">
        <v>1</v>
      </c>
      <c r="AK162" s="19">
        <v>1</v>
      </c>
      <c r="AL162" s="22"/>
      <c r="AM162" s="19">
        <v>1</v>
      </c>
      <c r="AN162" s="19">
        <v>1</v>
      </c>
      <c r="AO162" s="19">
        <v>1</v>
      </c>
      <c r="AP162" s="19">
        <v>1</v>
      </c>
      <c r="AQ162" s="19">
        <v>1</v>
      </c>
      <c r="AR162" s="19">
        <v>1</v>
      </c>
      <c r="AS162" s="22"/>
      <c r="AT162" s="19">
        <v>1</v>
      </c>
      <c r="AU162" s="19">
        <v>1</v>
      </c>
      <c r="AV162" s="19">
        <v>1</v>
      </c>
      <c r="AW162" s="19">
        <v>1</v>
      </c>
      <c r="AX162" s="19">
        <f>SUM(T162:AW162)</f>
        <v>26</v>
      </c>
      <c r="AY162" s="20"/>
      <c r="AZ162" s="19"/>
      <c r="BA162" s="20"/>
      <c r="BB162" s="49"/>
    </row>
    <row r="163" spans="1:54" ht="13.5" customHeight="1" x14ac:dyDescent="0.2">
      <c r="A163" s="104" t="s">
        <v>801</v>
      </c>
      <c r="B163" s="86" t="s">
        <v>251</v>
      </c>
      <c r="C163" s="26">
        <v>422</v>
      </c>
      <c r="D163" s="35" t="s">
        <v>260</v>
      </c>
      <c r="E163" s="26">
        <v>394</v>
      </c>
      <c r="F163" s="26" t="s">
        <v>2272</v>
      </c>
      <c r="G163" s="35" t="s">
        <v>2015</v>
      </c>
      <c r="H163" s="37">
        <v>1</v>
      </c>
      <c r="I163" s="37" t="s">
        <v>47</v>
      </c>
      <c r="J163" s="37">
        <v>1</v>
      </c>
      <c r="K163" s="26" t="s">
        <v>47</v>
      </c>
      <c r="L163" s="35" t="str">
        <f>VLOOKUP(Tabla411[[#This Row],[BTL CVE]],tblPDV[#All],13,0)</f>
        <v xml:space="preserve">BAUTISTA CORONA REYNA </v>
      </c>
      <c r="M163" s="26" t="s">
        <v>505</v>
      </c>
      <c r="N163" s="26" t="s">
        <v>54</v>
      </c>
      <c r="O163" s="26" t="s">
        <v>49</v>
      </c>
      <c r="P163" s="26" t="s">
        <v>49</v>
      </c>
      <c r="Q163" s="26" t="s">
        <v>50</v>
      </c>
      <c r="R163" s="38">
        <v>46113</v>
      </c>
      <c r="S163" s="38">
        <v>46142</v>
      </c>
      <c r="T163" s="19">
        <v>1</v>
      </c>
      <c r="U163" s="19">
        <v>1</v>
      </c>
      <c r="V163" s="19">
        <v>1</v>
      </c>
      <c r="W163" s="19">
        <v>1</v>
      </c>
      <c r="X163" s="22"/>
      <c r="Y163" s="19">
        <v>1</v>
      </c>
      <c r="Z163" s="19">
        <v>1</v>
      </c>
      <c r="AA163" s="19">
        <v>1</v>
      </c>
      <c r="AB163" s="19">
        <v>1</v>
      </c>
      <c r="AC163" s="19">
        <v>1</v>
      </c>
      <c r="AD163" s="19">
        <v>1</v>
      </c>
      <c r="AE163" s="22"/>
      <c r="AF163" s="19">
        <v>1</v>
      </c>
      <c r="AG163" s="19">
        <v>1</v>
      </c>
      <c r="AH163" s="19">
        <v>1</v>
      </c>
      <c r="AI163" s="19">
        <v>1</v>
      </c>
      <c r="AJ163" s="19">
        <v>1</v>
      </c>
      <c r="AK163" s="19">
        <v>1</v>
      </c>
      <c r="AL163" s="22"/>
      <c r="AM163" s="19">
        <v>1</v>
      </c>
      <c r="AN163" s="19">
        <v>1</v>
      </c>
      <c r="AO163" s="19">
        <v>1</v>
      </c>
      <c r="AP163" s="19">
        <v>1</v>
      </c>
      <c r="AQ163" s="19">
        <v>1</v>
      </c>
      <c r="AR163" s="19">
        <v>1</v>
      </c>
      <c r="AS163" s="22"/>
      <c r="AT163" s="19">
        <v>1</v>
      </c>
      <c r="AU163" s="19">
        <v>1</v>
      </c>
      <c r="AV163" s="19">
        <v>1</v>
      </c>
      <c r="AW163" s="19">
        <v>1</v>
      </c>
      <c r="AX163" s="19">
        <f>SUM(T163:AW163)</f>
        <v>26</v>
      </c>
      <c r="AY163" s="20"/>
      <c r="AZ163" s="19"/>
      <c r="BA163" s="20"/>
      <c r="BB163" s="49"/>
    </row>
    <row r="164" spans="1:54" ht="13.5" customHeight="1" x14ac:dyDescent="0.2">
      <c r="A164" s="104" t="s">
        <v>802</v>
      </c>
      <c r="B164" s="86" t="s">
        <v>251</v>
      </c>
      <c r="C164" s="26">
        <v>445</v>
      </c>
      <c r="D164" s="35" t="s">
        <v>261</v>
      </c>
      <c r="E164" s="26">
        <v>85</v>
      </c>
      <c r="F164" s="26" t="s">
        <v>2163</v>
      </c>
      <c r="G164" s="35" t="s">
        <v>2016</v>
      </c>
      <c r="H164" s="37">
        <v>1</v>
      </c>
      <c r="I164" s="37" t="s">
        <v>47</v>
      </c>
      <c r="J164" s="37">
        <v>1</v>
      </c>
      <c r="K164" s="37" t="s">
        <v>47</v>
      </c>
      <c r="L164" s="35" t="str">
        <f>VLOOKUP(Tabla411[[#This Row],[BTL CVE]],tblPDV[#All],13,0)</f>
        <v>FLORES SALDAÑA JAVIER</v>
      </c>
      <c r="M164" s="26" t="s">
        <v>506</v>
      </c>
      <c r="N164" s="26" t="s">
        <v>54</v>
      </c>
      <c r="O164" s="26" t="s">
        <v>49</v>
      </c>
      <c r="P164" s="26" t="s">
        <v>49</v>
      </c>
      <c r="Q164" s="26" t="s">
        <v>50</v>
      </c>
      <c r="R164" s="38">
        <v>46113</v>
      </c>
      <c r="S164" s="38">
        <v>46142</v>
      </c>
      <c r="T164" s="19">
        <v>1</v>
      </c>
      <c r="U164" s="19">
        <v>1</v>
      </c>
      <c r="V164" s="19">
        <v>1</v>
      </c>
      <c r="W164" s="19">
        <v>1</v>
      </c>
      <c r="X164" s="22"/>
      <c r="Y164" s="19">
        <v>1</v>
      </c>
      <c r="Z164" s="19">
        <v>1</v>
      </c>
      <c r="AA164" s="19">
        <v>1</v>
      </c>
      <c r="AB164" s="19">
        <v>1</v>
      </c>
      <c r="AC164" s="19">
        <v>1</v>
      </c>
      <c r="AD164" s="19">
        <v>1</v>
      </c>
      <c r="AE164" s="22"/>
      <c r="AF164" s="19">
        <v>1</v>
      </c>
      <c r="AG164" s="19">
        <v>1</v>
      </c>
      <c r="AH164" s="19">
        <v>1</v>
      </c>
      <c r="AI164" s="19">
        <v>1</v>
      </c>
      <c r="AJ164" s="19">
        <v>1</v>
      </c>
      <c r="AK164" s="19">
        <v>1</v>
      </c>
      <c r="AL164" s="22"/>
      <c r="AM164" s="19">
        <v>1</v>
      </c>
      <c r="AN164" s="19">
        <v>1</v>
      </c>
      <c r="AO164" s="19">
        <v>1</v>
      </c>
      <c r="AP164" s="19">
        <v>1</v>
      </c>
      <c r="AQ164" s="19">
        <v>1</v>
      </c>
      <c r="AR164" s="19">
        <v>1</v>
      </c>
      <c r="AS164" s="22"/>
      <c r="AT164" s="19">
        <v>1</v>
      </c>
      <c r="AU164" s="19">
        <v>1</v>
      </c>
      <c r="AV164" s="19">
        <v>1</v>
      </c>
      <c r="AW164" s="19">
        <v>1</v>
      </c>
      <c r="AX164" s="19">
        <f>SUM(T164:AW164)</f>
        <v>26</v>
      </c>
      <c r="AY164" s="20"/>
      <c r="AZ164" s="19"/>
      <c r="BA164" s="20"/>
      <c r="BB164" s="49"/>
    </row>
    <row r="165" spans="1:54" ht="13.5" customHeight="1" x14ac:dyDescent="0.2">
      <c r="A165" s="104" t="s">
        <v>799</v>
      </c>
      <c r="B165" s="105" t="s">
        <v>251</v>
      </c>
      <c r="C165" s="26">
        <v>420</v>
      </c>
      <c r="D165" s="35" t="s">
        <v>258</v>
      </c>
      <c r="E165" s="26">
        <v>306</v>
      </c>
      <c r="F165" s="26" t="s">
        <v>2248</v>
      </c>
      <c r="G165" s="35" t="s">
        <v>1555</v>
      </c>
      <c r="H165" s="37">
        <v>1</v>
      </c>
      <c r="I165" s="37" t="s">
        <v>47</v>
      </c>
      <c r="J165" s="37">
        <v>1</v>
      </c>
      <c r="K165" s="26" t="s">
        <v>47</v>
      </c>
      <c r="L165" s="35" t="str">
        <f>VLOOKUP(Tabla411[[#This Row],[BTL CVE]],tblPDV[#All],13,0)</f>
        <v>MONTAGNER OLIVARES MIGUEL ANGEL</v>
      </c>
      <c r="M165" s="26" t="s">
        <v>536</v>
      </c>
      <c r="N165" s="26" t="s">
        <v>54</v>
      </c>
      <c r="O165" s="26" t="s">
        <v>49</v>
      </c>
      <c r="P165" s="26" t="s">
        <v>49</v>
      </c>
      <c r="Q165" s="26" t="s">
        <v>50</v>
      </c>
      <c r="R165" s="38">
        <v>46113</v>
      </c>
      <c r="S165" s="38">
        <v>46142</v>
      </c>
      <c r="T165" s="19">
        <v>1</v>
      </c>
      <c r="U165" s="19">
        <v>1</v>
      </c>
      <c r="V165" s="19">
        <v>1</v>
      </c>
      <c r="W165" s="19">
        <v>1</v>
      </c>
      <c r="X165" s="22"/>
      <c r="Y165" s="19">
        <v>1</v>
      </c>
      <c r="Z165" s="19">
        <v>1</v>
      </c>
      <c r="AA165" s="19">
        <v>1</v>
      </c>
      <c r="AB165" s="19">
        <v>1</v>
      </c>
      <c r="AC165" s="19">
        <v>1</v>
      </c>
      <c r="AD165" s="19">
        <v>1</v>
      </c>
      <c r="AE165" s="22"/>
      <c r="AF165" s="19">
        <v>1</v>
      </c>
      <c r="AG165" s="19">
        <v>1</v>
      </c>
      <c r="AH165" s="19">
        <v>1</v>
      </c>
      <c r="AI165" s="19">
        <v>1</v>
      </c>
      <c r="AJ165" s="19">
        <v>1</v>
      </c>
      <c r="AK165" s="19">
        <v>1</v>
      </c>
      <c r="AL165" s="22"/>
      <c r="AM165" s="19">
        <v>1</v>
      </c>
      <c r="AN165" s="19">
        <v>1</v>
      </c>
      <c r="AO165" s="19">
        <v>1</v>
      </c>
      <c r="AP165" s="19">
        <v>1</v>
      </c>
      <c r="AQ165" s="19">
        <v>1</v>
      </c>
      <c r="AR165" s="19">
        <v>1</v>
      </c>
      <c r="AS165" s="22"/>
      <c r="AT165" s="19">
        <v>1</v>
      </c>
      <c r="AU165" s="19">
        <v>1</v>
      </c>
      <c r="AV165" s="19">
        <v>1</v>
      </c>
      <c r="AW165" s="19">
        <v>1</v>
      </c>
      <c r="AX165" s="19">
        <f>SUM(T165:AW165)</f>
        <v>26</v>
      </c>
      <c r="AY165" s="20"/>
      <c r="AZ165" s="19"/>
      <c r="BA165" s="20"/>
      <c r="BB165" s="49"/>
    </row>
    <row r="166" spans="1:54" ht="13.5" customHeight="1" x14ac:dyDescent="0.2">
      <c r="A166" s="104" t="s">
        <v>794</v>
      </c>
      <c r="B166" s="86" t="s">
        <v>251</v>
      </c>
      <c r="C166" s="26">
        <v>287</v>
      </c>
      <c r="D166" s="35" t="s">
        <v>252</v>
      </c>
      <c r="E166" s="26">
        <v>303</v>
      </c>
      <c r="F166" s="26" t="s">
        <v>2246</v>
      </c>
      <c r="G166" s="35" t="s">
        <v>1512</v>
      </c>
      <c r="H166" s="37">
        <v>1</v>
      </c>
      <c r="I166" s="37" t="s">
        <v>47</v>
      </c>
      <c r="J166" s="37">
        <v>1</v>
      </c>
      <c r="K166" s="37" t="s">
        <v>47</v>
      </c>
      <c r="L166" s="35" t="str">
        <f>VLOOKUP(Tabla411[[#This Row],[BTL CVE]],tblPDV[#All],13,0)</f>
        <v xml:space="preserve">ESTRADA NAVA MIRIAM ROCIO </v>
      </c>
      <c r="M166" s="26" t="s">
        <v>536</v>
      </c>
      <c r="N166" s="26" t="s">
        <v>54</v>
      </c>
      <c r="O166" s="26" t="s">
        <v>49</v>
      </c>
      <c r="P166" s="26" t="s">
        <v>49</v>
      </c>
      <c r="Q166" s="26" t="s">
        <v>50</v>
      </c>
      <c r="R166" s="38">
        <v>46113</v>
      </c>
      <c r="S166" s="38">
        <v>46142</v>
      </c>
      <c r="T166" s="19">
        <v>1</v>
      </c>
      <c r="U166" s="19">
        <v>1</v>
      </c>
      <c r="V166" s="19">
        <v>1</v>
      </c>
      <c r="W166" s="19">
        <v>1</v>
      </c>
      <c r="X166" s="22"/>
      <c r="Y166" s="19">
        <v>1</v>
      </c>
      <c r="Z166" s="19">
        <v>1</v>
      </c>
      <c r="AA166" s="19">
        <v>1</v>
      </c>
      <c r="AB166" s="19">
        <v>1</v>
      </c>
      <c r="AC166" s="19">
        <v>1</v>
      </c>
      <c r="AD166" s="19">
        <v>1</v>
      </c>
      <c r="AE166" s="22"/>
      <c r="AF166" s="19">
        <v>1</v>
      </c>
      <c r="AG166" s="19">
        <v>1</v>
      </c>
      <c r="AH166" s="19">
        <v>1</v>
      </c>
      <c r="AI166" s="19">
        <v>1</v>
      </c>
      <c r="AJ166" s="19">
        <v>1</v>
      </c>
      <c r="AK166" s="19">
        <v>1</v>
      </c>
      <c r="AL166" s="22"/>
      <c r="AM166" s="19">
        <v>1</v>
      </c>
      <c r="AN166" s="19">
        <v>1</v>
      </c>
      <c r="AO166" s="19">
        <v>1</v>
      </c>
      <c r="AP166" s="19">
        <v>1</v>
      </c>
      <c r="AQ166" s="19">
        <v>1</v>
      </c>
      <c r="AR166" s="19">
        <v>1</v>
      </c>
      <c r="AS166" s="22"/>
      <c r="AT166" s="19">
        <v>1</v>
      </c>
      <c r="AU166" s="19">
        <v>1</v>
      </c>
      <c r="AV166" s="19">
        <v>1</v>
      </c>
      <c r="AW166" s="19">
        <v>1</v>
      </c>
      <c r="AX166" s="19">
        <f>SUM(T166:AW166)</f>
        <v>26</v>
      </c>
      <c r="AY166" s="20"/>
      <c r="AZ166" s="19"/>
      <c r="BA166" s="20"/>
      <c r="BB166" s="49"/>
    </row>
    <row r="167" spans="1:54" ht="13.5" customHeight="1" x14ac:dyDescent="0.2">
      <c r="A167" s="104" t="s">
        <v>803</v>
      </c>
      <c r="B167" s="86" t="s">
        <v>251</v>
      </c>
      <c r="C167" s="26">
        <v>163</v>
      </c>
      <c r="D167" s="35" t="s">
        <v>262</v>
      </c>
      <c r="E167" s="26">
        <v>374</v>
      </c>
      <c r="F167" s="26" t="s">
        <v>2269</v>
      </c>
      <c r="G167" s="35" t="s">
        <v>2017</v>
      </c>
      <c r="H167" s="37">
        <v>1</v>
      </c>
      <c r="I167" s="37" t="s">
        <v>47</v>
      </c>
      <c r="J167" s="37">
        <v>1</v>
      </c>
      <c r="K167" s="37" t="s">
        <v>47</v>
      </c>
      <c r="L167" s="35" t="str">
        <f>VLOOKUP(Tabla411[[#This Row],[BTL CVE]],tblPDV[#All],13,0)</f>
        <v>FLORES SALDAÑA JAVIER</v>
      </c>
      <c r="M167" s="26" t="s">
        <v>263</v>
      </c>
      <c r="N167" s="26" t="s">
        <v>54</v>
      </c>
      <c r="O167" s="26" t="s">
        <v>49</v>
      </c>
      <c r="P167" s="26" t="s">
        <v>49</v>
      </c>
      <c r="Q167" s="26" t="s">
        <v>50</v>
      </c>
      <c r="R167" s="38">
        <v>46113</v>
      </c>
      <c r="S167" s="38">
        <v>46142</v>
      </c>
      <c r="T167" s="19">
        <v>1</v>
      </c>
      <c r="U167" s="19">
        <v>1</v>
      </c>
      <c r="V167" s="19">
        <v>1</v>
      </c>
      <c r="W167" s="19">
        <v>1</v>
      </c>
      <c r="X167" s="22"/>
      <c r="Y167" s="19">
        <v>1</v>
      </c>
      <c r="Z167" s="19">
        <v>1</v>
      </c>
      <c r="AA167" s="19">
        <v>1</v>
      </c>
      <c r="AB167" s="19">
        <v>1</v>
      </c>
      <c r="AC167" s="19">
        <v>1</v>
      </c>
      <c r="AD167" s="19">
        <v>1</v>
      </c>
      <c r="AE167" s="22"/>
      <c r="AF167" s="19">
        <v>1</v>
      </c>
      <c r="AG167" s="19">
        <v>1</v>
      </c>
      <c r="AH167" s="19">
        <v>1</v>
      </c>
      <c r="AI167" s="19">
        <v>1</v>
      </c>
      <c r="AJ167" s="19">
        <v>1</v>
      </c>
      <c r="AK167" s="19">
        <v>1</v>
      </c>
      <c r="AL167" s="22"/>
      <c r="AM167" s="19">
        <v>1</v>
      </c>
      <c r="AN167" s="19">
        <v>1</v>
      </c>
      <c r="AO167" s="19">
        <v>1</v>
      </c>
      <c r="AP167" s="19">
        <v>1</v>
      </c>
      <c r="AQ167" s="19">
        <v>1</v>
      </c>
      <c r="AR167" s="19">
        <v>1</v>
      </c>
      <c r="AS167" s="22"/>
      <c r="AT167" s="19">
        <v>1</v>
      </c>
      <c r="AU167" s="19">
        <v>1</v>
      </c>
      <c r="AV167" s="19">
        <v>1</v>
      </c>
      <c r="AW167" s="19">
        <v>1</v>
      </c>
      <c r="AX167" s="19">
        <f>SUM(T167:AW167)</f>
        <v>26</v>
      </c>
      <c r="AY167" s="20"/>
      <c r="AZ167" s="19"/>
      <c r="BA167" s="20"/>
      <c r="BB167" s="49"/>
    </row>
    <row r="168" spans="1:54" ht="13.5" customHeight="1" x14ac:dyDescent="0.2">
      <c r="A168" s="104" t="s">
        <v>809</v>
      </c>
      <c r="B168" s="86" t="s">
        <v>264</v>
      </c>
      <c r="C168" s="26">
        <v>189</v>
      </c>
      <c r="D168" s="35" t="s">
        <v>277</v>
      </c>
      <c r="E168" s="26"/>
      <c r="F168" s="26"/>
      <c r="G168" s="35" t="s">
        <v>2098</v>
      </c>
      <c r="H168" s="37">
        <v>1</v>
      </c>
      <c r="I168" s="37" t="s">
        <v>47</v>
      </c>
      <c r="J168" s="37">
        <v>1</v>
      </c>
      <c r="K168" s="37" t="s">
        <v>47</v>
      </c>
      <c r="L168" s="35" t="str">
        <f>VLOOKUP(Tabla411[[#This Row],[BTL CVE]],tblPDV[#All],13,0)</f>
        <v xml:space="preserve">ANIMAS SAUCEDO ANA CRISTINA </v>
      </c>
      <c r="M168" s="26" t="s">
        <v>503</v>
      </c>
      <c r="N168" s="26" t="s">
        <v>54</v>
      </c>
      <c r="O168" s="26" t="s">
        <v>94</v>
      </c>
      <c r="P168" s="88" t="s">
        <v>94</v>
      </c>
      <c r="Q168" s="26" t="s">
        <v>95</v>
      </c>
      <c r="R168" s="38">
        <v>46113</v>
      </c>
      <c r="S168" s="38">
        <v>46142</v>
      </c>
      <c r="T168" s="22"/>
      <c r="U168" s="19">
        <v>1</v>
      </c>
      <c r="V168" s="19">
        <v>1</v>
      </c>
      <c r="W168" s="19">
        <v>1</v>
      </c>
      <c r="X168" s="19">
        <v>1</v>
      </c>
      <c r="Y168" s="19">
        <v>1</v>
      </c>
      <c r="Z168" s="19">
        <v>1</v>
      </c>
      <c r="AA168" s="22"/>
      <c r="AB168" s="19">
        <v>1</v>
      </c>
      <c r="AC168" s="19">
        <v>1</v>
      </c>
      <c r="AD168" s="19">
        <v>1</v>
      </c>
      <c r="AE168" s="19">
        <v>1</v>
      </c>
      <c r="AF168" s="19">
        <v>1</v>
      </c>
      <c r="AG168" s="19">
        <v>1</v>
      </c>
      <c r="AH168" s="22"/>
      <c r="AI168" s="19">
        <v>1</v>
      </c>
      <c r="AJ168" s="19">
        <v>1</v>
      </c>
      <c r="AK168" s="19">
        <v>1</v>
      </c>
      <c r="AL168" s="19">
        <v>1</v>
      </c>
      <c r="AM168" s="19">
        <v>1</v>
      </c>
      <c r="AN168" s="19">
        <v>1</v>
      </c>
      <c r="AO168" s="22"/>
      <c r="AP168" s="19">
        <v>1</v>
      </c>
      <c r="AQ168" s="19">
        <v>1</v>
      </c>
      <c r="AR168" s="19">
        <v>1</v>
      </c>
      <c r="AS168" s="19">
        <v>1</v>
      </c>
      <c r="AT168" s="19">
        <v>1</v>
      </c>
      <c r="AU168" s="19">
        <v>1</v>
      </c>
      <c r="AV168" s="22"/>
      <c r="AW168" s="19">
        <v>1</v>
      </c>
      <c r="AX168" s="19">
        <f>SUM(T168:AW168)</f>
        <v>25</v>
      </c>
      <c r="AY168" s="20"/>
      <c r="AZ168" s="19"/>
      <c r="BA168" s="20"/>
      <c r="BB168" s="49"/>
    </row>
    <row r="169" spans="1:54" ht="13.5" customHeight="1" x14ac:dyDescent="0.2">
      <c r="A169" s="104" t="s">
        <v>1450</v>
      </c>
      <c r="B169" s="86" t="s">
        <v>264</v>
      </c>
      <c r="C169" s="26">
        <v>4</v>
      </c>
      <c r="D169" s="35" t="s">
        <v>273</v>
      </c>
      <c r="E169" s="26"/>
      <c r="F169" s="26"/>
      <c r="G169" s="35" t="s">
        <v>2098</v>
      </c>
      <c r="H169" s="37">
        <v>1</v>
      </c>
      <c r="I169" s="37" t="s">
        <v>47</v>
      </c>
      <c r="J169" s="37">
        <v>1</v>
      </c>
      <c r="K169" s="37" t="s">
        <v>47</v>
      </c>
      <c r="L169" s="35" t="str">
        <f>VLOOKUP(Tabla411[[#This Row],[BTL CVE]],tblPDV[#All],13,0)</f>
        <v>CARRILLO XOCHIHUA XOCHITL</v>
      </c>
      <c r="M169" s="26" t="s">
        <v>536</v>
      </c>
      <c r="N169" s="26" t="s">
        <v>54</v>
      </c>
      <c r="O169" s="26" t="s">
        <v>94</v>
      </c>
      <c r="P169" s="88" t="s">
        <v>94</v>
      </c>
      <c r="Q169" s="26" t="s">
        <v>95</v>
      </c>
      <c r="R169" s="38">
        <v>46113</v>
      </c>
      <c r="S169" s="38">
        <v>46142</v>
      </c>
      <c r="T169" s="22"/>
      <c r="U169" s="19">
        <v>1</v>
      </c>
      <c r="V169" s="19">
        <v>1</v>
      </c>
      <c r="W169" s="19">
        <v>1</v>
      </c>
      <c r="X169" s="19">
        <v>1</v>
      </c>
      <c r="Y169" s="19">
        <v>1</v>
      </c>
      <c r="Z169" s="19">
        <v>1</v>
      </c>
      <c r="AA169" s="22"/>
      <c r="AB169" s="19">
        <v>1</v>
      </c>
      <c r="AC169" s="19">
        <v>1</v>
      </c>
      <c r="AD169" s="19">
        <v>1</v>
      </c>
      <c r="AE169" s="19">
        <v>1</v>
      </c>
      <c r="AF169" s="19">
        <v>1</v>
      </c>
      <c r="AG169" s="19">
        <v>1</v>
      </c>
      <c r="AH169" s="22"/>
      <c r="AI169" s="19">
        <v>1</v>
      </c>
      <c r="AJ169" s="19">
        <v>1</v>
      </c>
      <c r="AK169" s="19">
        <v>1</v>
      </c>
      <c r="AL169" s="19">
        <v>1</v>
      </c>
      <c r="AM169" s="19">
        <v>1</v>
      </c>
      <c r="AN169" s="19">
        <v>1</v>
      </c>
      <c r="AO169" s="22"/>
      <c r="AP169" s="19">
        <v>1</v>
      </c>
      <c r="AQ169" s="19">
        <v>1</v>
      </c>
      <c r="AR169" s="19">
        <v>1</v>
      </c>
      <c r="AS169" s="19">
        <v>1</v>
      </c>
      <c r="AT169" s="19">
        <v>1</v>
      </c>
      <c r="AU169" s="19">
        <v>1</v>
      </c>
      <c r="AV169" s="22"/>
      <c r="AW169" s="19">
        <v>1</v>
      </c>
      <c r="AX169" s="19">
        <f>SUM(T169:AW169)</f>
        <v>25</v>
      </c>
      <c r="AY169" s="20"/>
      <c r="AZ169" s="19"/>
      <c r="BA169" s="20"/>
      <c r="BB169" s="49"/>
    </row>
    <row r="170" spans="1:54" ht="13.5" customHeight="1" x14ac:dyDescent="0.2">
      <c r="A170" s="104" t="s">
        <v>1452</v>
      </c>
      <c r="B170" s="86" t="s">
        <v>264</v>
      </c>
      <c r="C170" s="37">
        <v>176</v>
      </c>
      <c r="D170" s="35" t="s">
        <v>269</v>
      </c>
      <c r="E170" s="26">
        <v>588</v>
      </c>
      <c r="F170" s="26"/>
      <c r="G170" s="35" t="s">
        <v>2367</v>
      </c>
      <c r="H170" s="37">
        <v>1</v>
      </c>
      <c r="I170" s="37" t="s">
        <v>47</v>
      </c>
      <c r="J170" s="37">
        <v>0.5</v>
      </c>
      <c r="K170" s="37" t="s">
        <v>53</v>
      </c>
      <c r="L170" s="35" t="str">
        <f>VLOOKUP(Tabla411[[#This Row],[BTL CVE]],tblPDV[#All],13,0)</f>
        <v xml:space="preserve">ESTRADA NAVA MIRIAM ROCIO </v>
      </c>
      <c r="M170" s="26" t="s">
        <v>536</v>
      </c>
      <c r="N170" s="26" t="s">
        <v>1561</v>
      </c>
      <c r="O170" s="26" t="s">
        <v>94</v>
      </c>
      <c r="P170" s="26" t="s">
        <v>94</v>
      </c>
      <c r="Q170" s="26" t="s">
        <v>95</v>
      </c>
      <c r="R170" s="93">
        <v>46113</v>
      </c>
      <c r="S170" s="93">
        <v>46142</v>
      </c>
      <c r="T170" s="22"/>
      <c r="U170" s="19"/>
      <c r="V170" s="19"/>
      <c r="W170" s="19"/>
      <c r="X170" s="19"/>
      <c r="Y170" s="19"/>
      <c r="Z170" s="19"/>
      <c r="AA170" s="22"/>
      <c r="AB170" s="19"/>
      <c r="AC170" s="19"/>
      <c r="AD170" s="19"/>
      <c r="AE170" s="19"/>
      <c r="AF170" s="19"/>
      <c r="AG170" s="19"/>
      <c r="AH170" s="22"/>
      <c r="AI170" s="19"/>
      <c r="AJ170" s="19"/>
      <c r="AK170" s="19"/>
      <c r="AL170" s="19"/>
      <c r="AM170" s="19"/>
      <c r="AN170" s="19"/>
      <c r="AO170" s="22"/>
      <c r="AP170" s="19"/>
      <c r="AQ170" s="19"/>
      <c r="AR170" s="19"/>
      <c r="AS170" s="19"/>
      <c r="AT170" s="19"/>
      <c r="AU170" s="19"/>
      <c r="AV170" s="22"/>
      <c r="AW170" s="19"/>
      <c r="AX170" s="19">
        <f>SUM(T170:AW170)</f>
        <v>0</v>
      </c>
      <c r="AY170" s="20"/>
      <c r="AZ170" s="19"/>
      <c r="BA170" s="20"/>
      <c r="BB170" s="49" t="s">
        <v>2385</v>
      </c>
    </row>
    <row r="171" spans="1:54" ht="13.5" customHeight="1" x14ac:dyDescent="0.2">
      <c r="A171" s="104" t="s">
        <v>1445</v>
      </c>
      <c r="B171" s="86" t="s">
        <v>264</v>
      </c>
      <c r="C171" s="26">
        <v>1</v>
      </c>
      <c r="D171" s="35" t="s">
        <v>265</v>
      </c>
      <c r="E171" s="26">
        <v>585</v>
      </c>
      <c r="F171" s="26" t="s">
        <v>2392</v>
      </c>
      <c r="G171" s="35" t="s">
        <v>1498</v>
      </c>
      <c r="H171" s="37">
        <v>1</v>
      </c>
      <c r="I171" s="37" t="s">
        <v>47</v>
      </c>
      <c r="J171" s="37">
        <v>1</v>
      </c>
      <c r="K171" s="37" t="s">
        <v>47</v>
      </c>
      <c r="L171" s="35" t="str">
        <f>VLOOKUP(Tabla411[[#This Row],[BTL CVE]],tblPDV[#All],13,0)</f>
        <v xml:space="preserve">AVILA BELTRAN GLORIA MARIBEL </v>
      </c>
      <c r="M171" s="26" t="s">
        <v>117</v>
      </c>
      <c r="N171" s="26" t="s">
        <v>1524</v>
      </c>
      <c r="O171" s="26" t="s">
        <v>94</v>
      </c>
      <c r="P171" s="26" t="s">
        <v>94</v>
      </c>
      <c r="Q171" s="26" t="s">
        <v>95</v>
      </c>
      <c r="R171" s="38">
        <v>46113</v>
      </c>
      <c r="S171" s="38">
        <v>46142</v>
      </c>
      <c r="T171" s="22"/>
      <c r="U171" s="19">
        <v>1</v>
      </c>
      <c r="V171" s="19">
        <v>1</v>
      </c>
      <c r="W171" s="19">
        <v>1</v>
      </c>
      <c r="X171" s="19">
        <v>1</v>
      </c>
      <c r="Y171" s="19">
        <v>1</v>
      </c>
      <c r="Z171" s="19">
        <v>1</v>
      </c>
      <c r="AA171" s="22"/>
      <c r="AB171" s="19">
        <v>1</v>
      </c>
      <c r="AC171" s="19">
        <v>1</v>
      </c>
      <c r="AD171" s="19">
        <v>1</v>
      </c>
      <c r="AE171" s="19">
        <v>1</v>
      </c>
      <c r="AF171" s="19">
        <v>1</v>
      </c>
      <c r="AG171" s="19">
        <v>1</v>
      </c>
      <c r="AH171" s="22"/>
      <c r="AI171" s="19">
        <v>1</v>
      </c>
      <c r="AJ171" s="19">
        <v>1</v>
      </c>
      <c r="AK171" s="19">
        <v>1</v>
      </c>
      <c r="AL171" s="19">
        <v>1</v>
      </c>
      <c r="AM171" s="19">
        <v>1</v>
      </c>
      <c r="AN171" s="19">
        <v>1</v>
      </c>
      <c r="AO171" s="22"/>
      <c r="AP171" s="19">
        <v>1</v>
      </c>
      <c r="AQ171" s="19">
        <v>1</v>
      </c>
      <c r="AR171" s="19">
        <v>1</v>
      </c>
      <c r="AS171" s="19">
        <v>1</v>
      </c>
      <c r="AT171" s="19">
        <v>1</v>
      </c>
      <c r="AU171" s="19">
        <v>1</v>
      </c>
      <c r="AV171" s="22"/>
      <c r="AW171" s="19">
        <v>1</v>
      </c>
      <c r="AX171" s="19">
        <f>SUM(T171:AW171)</f>
        <v>25</v>
      </c>
      <c r="AY171" s="20"/>
      <c r="AZ171" s="19"/>
      <c r="BA171" s="20"/>
      <c r="BB171" s="49"/>
    </row>
    <row r="172" spans="1:54" ht="13.5" customHeight="1" x14ac:dyDescent="0.2">
      <c r="A172" s="104" t="s">
        <v>1454</v>
      </c>
      <c r="B172" s="86" t="s">
        <v>264</v>
      </c>
      <c r="C172" s="26">
        <v>31</v>
      </c>
      <c r="D172" s="35" t="s">
        <v>266</v>
      </c>
      <c r="E172" s="26">
        <v>480</v>
      </c>
      <c r="F172" s="26" t="s">
        <v>2304</v>
      </c>
      <c r="G172" s="35" t="s">
        <v>2018</v>
      </c>
      <c r="H172" s="37">
        <v>1</v>
      </c>
      <c r="I172" s="37" t="s">
        <v>47</v>
      </c>
      <c r="J172" s="37">
        <v>1</v>
      </c>
      <c r="K172" s="37" t="s">
        <v>47</v>
      </c>
      <c r="L172" s="35" t="str">
        <f>VLOOKUP(Tabla411[[#This Row],[BTL CVE]],tblPDV[#All],13,0)</f>
        <v>ALVAREZ GARCIA ADRIANA YULISMA</v>
      </c>
      <c r="M172" s="26" t="s">
        <v>503</v>
      </c>
      <c r="N172" s="26" t="s">
        <v>54</v>
      </c>
      <c r="O172" s="26" t="s">
        <v>94</v>
      </c>
      <c r="P172" s="26" t="s">
        <v>94</v>
      </c>
      <c r="Q172" s="26" t="s">
        <v>95</v>
      </c>
      <c r="R172" s="38">
        <v>46113</v>
      </c>
      <c r="S172" s="38">
        <v>46142</v>
      </c>
      <c r="T172" s="22"/>
      <c r="U172" s="19">
        <v>1</v>
      </c>
      <c r="V172" s="19">
        <v>1</v>
      </c>
      <c r="W172" s="19">
        <v>1</v>
      </c>
      <c r="X172" s="19">
        <v>1</v>
      </c>
      <c r="Y172" s="19">
        <v>1</v>
      </c>
      <c r="Z172" s="19">
        <v>1</v>
      </c>
      <c r="AA172" s="22"/>
      <c r="AB172" s="19">
        <v>1</v>
      </c>
      <c r="AC172" s="19">
        <v>1</v>
      </c>
      <c r="AD172" s="19">
        <v>1</v>
      </c>
      <c r="AE172" s="19">
        <v>1</v>
      </c>
      <c r="AF172" s="19">
        <v>1</v>
      </c>
      <c r="AG172" s="19">
        <v>1</v>
      </c>
      <c r="AH172" s="22"/>
      <c r="AI172" s="19">
        <v>1</v>
      </c>
      <c r="AJ172" s="19">
        <v>1</v>
      </c>
      <c r="AK172" s="19">
        <v>1</v>
      </c>
      <c r="AL172" s="19">
        <v>1</v>
      </c>
      <c r="AM172" s="19">
        <v>1</v>
      </c>
      <c r="AN172" s="19">
        <v>1</v>
      </c>
      <c r="AO172" s="22"/>
      <c r="AP172" s="19">
        <v>1</v>
      </c>
      <c r="AQ172" s="19">
        <v>1</v>
      </c>
      <c r="AR172" s="19">
        <v>1</v>
      </c>
      <c r="AS172" s="19">
        <v>1</v>
      </c>
      <c r="AT172" s="19">
        <v>1</v>
      </c>
      <c r="AU172" s="19">
        <v>1</v>
      </c>
      <c r="AV172" s="22"/>
      <c r="AW172" s="19">
        <v>1</v>
      </c>
      <c r="AX172" s="19">
        <f>SUM(T172:AW172)</f>
        <v>25</v>
      </c>
      <c r="AY172" s="20"/>
      <c r="AZ172" s="19"/>
      <c r="BA172" s="20"/>
      <c r="BB172" s="49"/>
    </row>
    <row r="173" spans="1:54" ht="13.5" customHeight="1" x14ac:dyDescent="0.2">
      <c r="A173" s="104" t="s">
        <v>806</v>
      </c>
      <c r="B173" s="86" t="s">
        <v>264</v>
      </c>
      <c r="C173" s="26">
        <v>76</v>
      </c>
      <c r="D173" s="35" t="s">
        <v>267</v>
      </c>
      <c r="E173" s="26">
        <v>537</v>
      </c>
      <c r="F173" s="26"/>
      <c r="G173" s="35" t="s">
        <v>1550</v>
      </c>
      <c r="H173" s="37">
        <v>1</v>
      </c>
      <c r="I173" s="37" t="s">
        <v>47</v>
      </c>
      <c r="J173" s="37">
        <v>0.5</v>
      </c>
      <c r="K173" s="37" t="s">
        <v>53</v>
      </c>
      <c r="L173" s="35" t="str">
        <f>VLOOKUP(Tabla411[[#This Row],[BTL CVE]],tblPDV[#All],13,0)</f>
        <v>FLORES SALDAÑA JAVIER</v>
      </c>
      <c r="M173" s="26" t="s">
        <v>108</v>
      </c>
      <c r="N173" s="26" t="s">
        <v>54</v>
      </c>
      <c r="O173" s="26" t="s">
        <v>94</v>
      </c>
      <c r="P173" s="26" t="s">
        <v>94</v>
      </c>
      <c r="Q173" s="26" t="s">
        <v>95</v>
      </c>
      <c r="R173" s="93">
        <v>46113</v>
      </c>
      <c r="S173" s="93">
        <v>46142</v>
      </c>
      <c r="T173" s="22"/>
      <c r="U173" s="19"/>
      <c r="V173" s="19"/>
      <c r="W173" s="19"/>
      <c r="X173" s="19"/>
      <c r="Y173" s="19"/>
      <c r="Z173" s="19"/>
      <c r="AA173" s="22"/>
      <c r="AB173" s="19"/>
      <c r="AC173" s="19"/>
      <c r="AD173" s="19"/>
      <c r="AE173" s="19"/>
      <c r="AF173" s="19"/>
      <c r="AG173" s="19"/>
      <c r="AH173" s="22"/>
      <c r="AI173" s="19"/>
      <c r="AJ173" s="19"/>
      <c r="AK173" s="19"/>
      <c r="AL173" s="19"/>
      <c r="AM173" s="19"/>
      <c r="AN173" s="19"/>
      <c r="AO173" s="22"/>
      <c r="AP173" s="19"/>
      <c r="AQ173" s="19"/>
      <c r="AR173" s="19"/>
      <c r="AS173" s="19"/>
      <c r="AT173" s="19"/>
      <c r="AU173" s="19"/>
      <c r="AV173" s="22"/>
      <c r="AW173" s="19"/>
      <c r="AX173" s="19">
        <f>SUM(T173:AW173)</f>
        <v>0</v>
      </c>
      <c r="AY173" s="20"/>
      <c r="AZ173" s="19"/>
      <c r="BA173" s="20"/>
      <c r="BB173" s="49" t="s">
        <v>2385</v>
      </c>
    </row>
    <row r="174" spans="1:54" ht="13.5" customHeight="1" x14ac:dyDescent="0.2">
      <c r="A174" s="104" t="s">
        <v>1444</v>
      </c>
      <c r="B174" s="105" t="s">
        <v>264</v>
      </c>
      <c r="C174" s="26">
        <v>81</v>
      </c>
      <c r="D174" s="35" t="s">
        <v>268</v>
      </c>
      <c r="E174" s="26">
        <v>112</v>
      </c>
      <c r="F174" s="26"/>
      <c r="G174" s="35" t="s">
        <v>2020</v>
      </c>
      <c r="H174" s="37">
        <v>1</v>
      </c>
      <c r="I174" s="37" t="s">
        <v>47</v>
      </c>
      <c r="J174" s="37">
        <v>0.5</v>
      </c>
      <c r="K174" s="37" t="s">
        <v>53</v>
      </c>
      <c r="L174" s="35" t="str">
        <f>VLOOKUP(Tabla411[[#This Row],[BTL CVE]],tblPDV[#All],13,0)</f>
        <v>MONTAGNER OLIVARES MIGUEL ANGEL</v>
      </c>
      <c r="M174" s="26" t="s">
        <v>536</v>
      </c>
      <c r="N174" s="26" t="s">
        <v>54</v>
      </c>
      <c r="O174" s="26" t="s">
        <v>94</v>
      </c>
      <c r="P174" s="26" t="s">
        <v>94</v>
      </c>
      <c r="Q174" s="26" t="s">
        <v>95</v>
      </c>
      <c r="R174" s="93">
        <v>46113</v>
      </c>
      <c r="S174" s="93">
        <v>46142</v>
      </c>
      <c r="T174" s="22"/>
      <c r="U174" s="19"/>
      <c r="V174" s="19"/>
      <c r="W174" s="19"/>
      <c r="X174" s="19"/>
      <c r="Y174" s="19"/>
      <c r="Z174" s="19"/>
      <c r="AA174" s="22"/>
      <c r="AB174" s="19"/>
      <c r="AC174" s="19"/>
      <c r="AD174" s="19"/>
      <c r="AE174" s="19"/>
      <c r="AF174" s="19"/>
      <c r="AG174" s="19"/>
      <c r="AH174" s="22"/>
      <c r="AI174" s="19"/>
      <c r="AJ174" s="19"/>
      <c r="AK174" s="19"/>
      <c r="AL174" s="19"/>
      <c r="AM174" s="19"/>
      <c r="AN174" s="19"/>
      <c r="AO174" s="22"/>
      <c r="AP174" s="19"/>
      <c r="AQ174" s="19"/>
      <c r="AR174" s="19"/>
      <c r="AS174" s="19"/>
      <c r="AT174" s="19"/>
      <c r="AU174" s="19"/>
      <c r="AV174" s="22"/>
      <c r="AW174" s="19"/>
      <c r="AX174" s="19">
        <f>SUM(T174:AW174)</f>
        <v>0</v>
      </c>
      <c r="AY174" s="20"/>
      <c r="AZ174" s="19"/>
      <c r="BA174" s="20"/>
      <c r="BB174" s="49" t="s">
        <v>2385</v>
      </c>
    </row>
    <row r="175" spans="1:54" ht="13.5" customHeight="1" x14ac:dyDescent="0.2">
      <c r="A175" s="104" t="s">
        <v>808</v>
      </c>
      <c r="B175" s="86" t="s">
        <v>264</v>
      </c>
      <c r="C175" s="26">
        <v>83</v>
      </c>
      <c r="D175" s="35" t="s">
        <v>271</v>
      </c>
      <c r="E175" s="26">
        <v>120</v>
      </c>
      <c r="F175" s="26" t="s">
        <v>2177</v>
      </c>
      <c r="G175" s="35" t="s">
        <v>2022</v>
      </c>
      <c r="H175" s="37">
        <v>1</v>
      </c>
      <c r="I175" s="37" t="s">
        <v>47</v>
      </c>
      <c r="J175" s="37">
        <v>1</v>
      </c>
      <c r="K175" s="37" t="s">
        <v>47</v>
      </c>
      <c r="L175" s="35" t="str">
        <f>VLOOKUP(Tabla411[[#This Row],[BTL CVE]],tblPDV[#All],13,0)</f>
        <v xml:space="preserve">MONROY GONZALEZ MARIA ZENAIDA </v>
      </c>
      <c r="M175" s="26" t="s">
        <v>536</v>
      </c>
      <c r="N175" s="26" t="s">
        <v>54</v>
      </c>
      <c r="O175" s="26" t="s">
        <v>94</v>
      </c>
      <c r="P175" s="26" t="s">
        <v>94</v>
      </c>
      <c r="Q175" s="26" t="s">
        <v>95</v>
      </c>
      <c r="R175" s="38">
        <v>46113</v>
      </c>
      <c r="S175" s="38">
        <v>46142</v>
      </c>
      <c r="T175" s="22"/>
      <c r="U175" s="19">
        <v>1</v>
      </c>
      <c r="V175" s="19">
        <v>1</v>
      </c>
      <c r="W175" s="19">
        <v>1</v>
      </c>
      <c r="X175" s="19">
        <v>1</v>
      </c>
      <c r="Y175" s="19">
        <v>1</v>
      </c>
      <c r="Z175" s="19">
        <v>1</v>
      </c>
      <c r="AA175" s="22"/>
      <c r="AB175" s="19">
        <v>1</v>
      </c>
      <c r="AC175" s="19">
        <v>1</v>
      </c>
      <c r="AD175" s="19">
        <v>1</v>
      </c>
      <c r="AE175" s="19">
        <v>1</v>
      </c>
      <c r="AF175" s="19">
        <v>1</v>
      </c>
      <c r="AG175" s="19">
        <v>1</v>
      </c>
      <c r="AH175" s="22"/>
      <c r="AI175" s="19">
        <v>1</v>
      </c>
      <c r="AJ175" s="19">
        <v>1</v>
      </c>
      <c r="AK175" s="19">
        <v>1</v>
      </c>
      <c r="AL175" s="19">
        <v>1</v>
      </c>
      <c r="AM175" s="19">
        <v>1</v>
      </c>
      <c r="AN175" s="19">
        <v>1</v>
      </c>
      <c r="AO175" s="22"/>
      <c r="AP175" s="19">
        <v>1</v>
      </c>
      <c r="AQ175" s="19">
        <v>1</v>
      </c>
      <c r="AR175" s="19">
        <v>1</v>
      </c>
      <c r="AS175" s="19">
        <v>1</v>
      </c>
      <c r="AT175" s="19">
        <v>1</v>
      </c>
      <c r="AU175" s="19">
        <v>1</v>
      </c>
      <c r="AV175" s="22"/>
      <c r="AW175" s="19">
        <v>1</v>
      </c>
      <c r="AX175" s="19">
        <f>SUM(T175:AW175)</f>
        <v>25</v>
      </c>
      <c r="AY175" s="20"/>
      <c r="AZ175" s="19"/>
      <c r="BA175" s="20"/>
      <c r="BB175" s="49"/>
    </row>
    <row r="176" spans="1:54" ht="13.5" customHeight="1" x14ac:dyDescent="0.2">
      <c r="A176" s="104" t="s">
        <v>1448</v>
      </c>
      <c r="B176" s="86" t="s">
        <v>264</v>
      </c>
      <c r="C176" s="37">
        <v>2</v>
      </c>
      <c r="D176" s="35" t="s">
        <v>270</v>
      </c>
      <c r="E176" s="26">
        <v>156</v>
      </c>
      <c r="F176" s="26"/>
      <c r="G176" s="35" t="s">
        <v>527</v>
      </c>
      <c r="H176" s="37">
        <v>1</v>
      </c>
      <c r="I176" s="37" t="s">
        <v>47</v>
      </c>
      <c r="J176" s="37">
        <v>0.5</v>
      </c>
      <c r="K176" s="37" t="s">
        <v>53</v>
      </c>
      <c r="L176" s="35" t="str">
        <f>VLOOKUP(Tabla411[[#This Row],[BTL CVE]],tblPDV[#All],13,0)</f>
        <v>MONTAGNER OLIVARES MIGUEL ANGEL</v>
      </c>
      <c r="M176" s="26" t="s">
        <v>536</v>
      </c>
      <c r="N176" s="26" t="s">
        <v>54</v>
      </c>
      <c r="O176" s="26" t="s">
        <v>94</v>
      </c>
      <c r="P176" s="26" t="s">
        <v>94</v>
      </c>
      <c r="Q176" s="26" t="s">
        <v>95</v>
      </c>
      <c r="R176" s="93">
        <v>46113</v>
      </c>
      <c r="S176" s="93">
        <v>46142</v>
      </c>
      <c r="T176" s="22"/>
      <c r="U176" s="19"/>
      <c r="V176" s="19"/>
      <c r="W176" s="19"/>
      <c r="X176" s="19"/>
      <c r="Y176" s="19"/>
      <c r="Z176" s="19"/>
      <c r="AA176" s="22"/>
      <c r="AB176" s="19"/>
      <c r="AC176" s="19"/>
      <c r="AD176" s="19"/>
      <c r="AE176" s="19"/>
      <c r="AF176" s="19"/>
      <c r="AG176" s="19"/>
      <c r="AH176" s="22"/>
      <c r="AI176" s="19"/>
      <c r="AJ176" s="19"/>
      <c r="AK176" s="19"/>
      <c r="AL176" s="19"/>
      <c r="AM176" s="19"/>
      <c r="AN176" s="19"/>
      <c r="AO176" s="22"/>
      <c r="AP176" s="19"/>
      <c r="AQ176" s="19"/>
      <c r="AR176" s="19"/>
      <c r="AS176" s="19"/>
      <c r="AT176" s="19"/>
      <c r="AU176" s="19"/>
      <c r="AV176" s="22"/>
      <c r="AW176" s="19"/>
      <c r="AX176" s="19">
        <f>SUM(T176:AW176)</f>
        <v>0</v>
      </c>
      <c r="AY176" s="20"/>
      <c r="AZ176" s="19"/>
      <c r="BA176" s="20"/>
      <c r="BB176" s="49" t="s">
        <v>2385</v>
      </c>
    </row>
    <row r="177" spans="1:54" ht="13.5" customHeight="1" x14ac:dyDescent="0.2">
      <c r="A177" s="104" t="s">
        <v>1457</v>
      </c>
      <c r="B177" s="86" t="s">
        <v>264</v>
      </c>
      <c r="C177" s="26">
        <v>117</v>
      </c>
      <c r="D177" s="35" t="s">
        <v>272</v>
      </c>
      <c r="E177" s="26">
        <v>481</v>
      </c>
      <c r="F177" s="26" t="s">
        <v>2305</v>
      </c>
      <c r="G177" s="35" t="s">
        <v>1499</v>
      </c>
      <c r="H177" s="37">
        <v>1</v>
      </c>
      <c r="I177" s="37" t="s">
        <v>47</v>
      </c>
      <c r="J177" s="37">
        <v>1</v>
      </c>
      <c r="K177" s="37" t="s">
        <v>47</v>
      </c>
      <c r="L177" s="35" t="str">
        <f>VLOOKUP(Tabla411[[#This Row],[BTL CVE]],tblPDV[#All],13,0)</f>
        <v xml:space="preserve">AVILA BELTRAN GLORIA MARIBEL </v>
      </c>
      <c r="M177" s="26" t="s">
        <v>117</v>
      </c>
      <c r="N177" s="26" t="s">
        <v>1524</v>
      </c>
      <c r="O177" s="26" t="s">
        <v>94</v>
      </c>
      <c r="P177" s="26" t="s">
        <v>94</v>
      </c>
      <c r="Q177" s="26" t="s">
        <v>95</v>
      </c>
      <c r="R177" s="38">
        <v>46113</v>
      </c>
      <c r="S177" s="38">
        <v>46142</v>
      </c>
      <c r="T177" s="22"/>
      <c r="U177" s="19">
        <v>1</v>
      </c>
      <c r="V177" s="19">
        <v>1</v>
      </c>
      <c r="W177" s="19">
        <v>1</v>
      </c>
      <c r="X177" s="19">
        <v>1</v>
      </c>
      <c r="Y177" s="19">
        <v>1</v>
      </c>
      <c r="Z177" s="19">
        <v>1</v>
      </c>
      <c r="AA177" s="22"/>
      <c r="AB177" s="19">
        <v>1</v>
      </c>
      <c r="AC177" s="19">
        <v>1</v>
      </c>
      <c r="AD177" s="19">
        <v>1</v>
      </c>
      <c r="AE177" s="19">
        <v>1</v>
      </c>
      <c r="AF177" s="19">
        <v>1</v>
      </c>
      <c r="AG177" s="19">
        <v>1</v>
      </c>
      <c r="AH177" s="22"/>
      <c r="AI177" s="19">
        <v>1</v>
      </c>
      <c r="AJ177" s="19">
        <v>1</v>
      </c>
      <c r="AK177" s="19">
        <v>1</v>
      </c>
      <c r="AL177" s="19">
        <v>1</v>
      </c>
      <c r="AM177" s="19">
        <v>1</v>
      </c>
      <c r="AN177" s="19">
        <v>1</v>
      </c>
      <c r="AO177" s="22"/>
      <c r="AP177" s="19">
        <v>1</v>
      </c>
      <c r="AQ177" s="19">
        <v>1</v>
      </c>
      <c r="AR177" s="19">
        <v>1</v>
      </c>
      <c r="AS177" s="19">
        <v>1</v>
      </c>
      <c r="AT177" s="19">
        <v>1</v>
      </c>
      <c r="AU177" s="19">
        <v>1</v>
      </c>
      <c r="AV177" s="22"/>
      <c r="AW177" s="19">
        <v>1</v>
      </c>
      <c r="AX177" s="19">
        <f>SUM(T177:AW177)</f>
        <v>25</v>
      </c>
      <c r="AY177" s="20"/>
      <c r="AZ177" s="19"/>
      <c r="BA177" s="20"/>
      <c r="BB177" s="49"/>
    </row>
    <row r="178" spans="1:54" ht="13.5" customHeight="1" x14ac:dyDescent="0.2">
      <c r="A178" s="104" t="s">
        <v>1453</v>
      </c>
      <c r="B178" s="86" t="s">
        <v>264</v>
      </c>
      <c r="C178" s="26">
        <v>5</v>
      </c>
      <c r="D178" s="35" t="s">
        <v>278</v>
      </c>
      <c r="E178" s="26">
        <v>548</v>
      </c>
      <c r="F178" s="26"/>
      <c r="G178" s="35" t="s">
        <v>1537</v>
      </c>
      <c r="H178" s="37">
        <v>1</v>
      </c>
      <c r="I178" s="37" t="s">
        <v>47</v>
      </c>
      <c r="J178" s="37">
        <v>0.5</v>
      </c>
      <c r="K178" s="37" t="s">
        <v>53</v>
      </c>
      <c r="L178" s="35" t="str">
        <f>VLOOKUP(Tabla411[[#This Row],[BTL CVE]],tblPDV[#All],13,0)</f>
        <v xml:space="preserve">CHAVEZ RAMOS  JONATAN RAYMUNDO </v>
      </c>
      <c r="M178" s="26" t="s">
        <v>536</v>
      </c>
      <c r="N178" s="26" t="s">
        <v>54</v>
      </c>
      <c r="O178" s="26" t="s">
        <v>94</v>
      </c>
      <c r="P178" s="26" t="s">
        <v>94</v>
      </c>
      <c r="Q178" s="26" t="s">
        <v>95</v>
      </c>
      <c r="R178" s="93">
        <v>46113</v>
      </c>
      <c r="S178" s="93">
        <v>46142</v>
      </c>
      <c r="T178" s="22"/>
      <c r="U178" s="19"/>
      <c r="V178" s="19"/>
      <c r="W178" s="19"/>
      <c r="X178" s="19"/>
      <c r="Y178" s="19"/>
      <c r="Z178" s="19"/>
      <c r="AA178" s="22"/>
      <c r="AB178" s="19"/>
      <c r="AC178" s="19"/>
      <c r="AD178" s="19"/>
      <c r="AE178" s="19"/>
      <c r="AF178" s="19"/>
      <c r="AG178" s="19"/>
      <c r="AH178" s="22"/>
      <c r="AI178" s="19"/>
      <c r="AJ178" s="19"/>
      <c r="AK178" s="19"/>
      <c r="AL178" s="19"/>
      <c r="AM178" s="19"/>
      <c r="AN178" s="19"/>
      <c r="AO178" s="22"/>
      <c r="AP178" s="19"/>
      <c r="AQ178" s="19"/>
      <c r="AR178" s="19"/>
      <c r="AS178" s="19"/>
      <c r="AT178" s="19"/>
      <c r="AU178" s="19"/>
      <c r="AV178" s="22"/>
      <c r="AW178" s="19"/>
      <c r="AX178" s="19">
        <f>SUM(T178:AW178)</f>
        <v>0</v>
      </c>
      <c r="AY178" s="20"/>
      <c r="AZ178" s="19"/>
      <c r="BA178" s="20"/>
      <c r="BB178" s="49" t="s">
        <v>2385</v>
      </c>
    </row>
    <row r="179" spans="1:54" ht="13.5" customHeight="1" x14ac:dyDescent="0.2">
      <c r="A179" s="104" t="s">
        <v>1449</v>
      </c>
      <c r="B179" s="86" t="s">
        <v>264</v>
      </c>
      <c r="C179" s="26">
        <v>3</v>
      </c>
      <c r="D179" s="35" t="s">
        <v>275</v>
      </c>
      <c r="E179" s="26">
        <v>482</v>
      </c>
      <c r="F179" s="26" t="s">
        <v>2306</v>
      </c>
      <c r="G179" s="35" t="s">
        <v>1529</v>
      </c>
      <c r="H179" s="37">
        <v>1</v>
      </c>
      <c r="I179" s="37" t="s">
        <v>47</v>
      </c>
      <c r="J179" s="37">
        <v>1</v>
      </c>
      <c r="K179" s="37" t="s">
        <v>47</v>
      </c>
      <c r="L179" s="35" t="str">
        <f>VLOOKUP(Tabla411[[#This Row],[BTL CVE]],tblPDV[#All],13,0)</f>
        <v xml:space="preserve">MONROY GONZALEZ MARIA ZENAIDA </v>
      </c>
      <c r="M179" s="26" t="s">
        <v>536</v>
      </c>
      <c r="N179" s="26" t="s">
        <v>54</v>
      </c>
      <c r="O179" s="26" t="s">
        <v>94</v>
      </c>
      <c r="P179" s="26" t="s">
        <v>94</v>
      </c>
      <c r="Q179" s="26" t="s">
        <v>95</v>
      </c>
      <c r="R179" s="38">
        <v>46113</v>
      </c>
      <c r="S179" s="38">
        <v>46142</v>
      </c>
      <c r="T179" s="22"/>
      <c r="U179" s="19">
        <v>1</v>
      </c>
      <c r="V179" s="19">
        <v>1</v>
      </c>
      <c r="W179" s="19">
        <v>1</v>
      </c>
      <c r="X179" s="19">
        <v>1</v>
      </c>
      <c r="Y179" s="19">
        <v>1</v>
      </c>
      <c r="Z179" s="19">
        <v>1</v>
      </c>
      <c r="AA179" s="22"/>
      <c r="AB179" s="19">
        <v>1</v>
      </c>
      <c r="AC179" s="19">
        <v>1</v>
      </c>
      <c r="AD179" s="19">
        <v>1</v>
      </c>
      <c r="AE179" s="19">
        <v>1</v>
      </c>
      <c r="AF179" s="19">
        <v>1</v>
      </c>
      <c r="AG179" s="19">
        <v>1</v>
      </c>
      <c r="AH179" s="22"/>
      <c r="AI179" s="19">
        <v>1</v>
      </c>
      <c r="AJ179" s="19">
        <v>1</v>
      </c>
      <c r="AK179" s="19">
        <v>1</v>
      </c>
      <c r="AL179" s="19">
        <v>1</v>
      </c>
      <c r="AM179" s="19">
        <v>1</v>
      </c>
      <c r="AN179" s="19">
        <v>1</v>
      </c>
      <c r="AO179" s="22"/>
      <c r="AP179" s="19">
        <v>1</v>
      </c>
      <c r="AQ179" s="19">
        <v>1</v>
      </c>
      <c r="AR179" s="19">
        <v>1</v>
      </c>
      <c r="AS179" s="19">
        <v>1</v>
      </c>
      <c r="AT179" s="19">
        <v>1</v>
      </c>
      <c r="AU179" s="19">
        <v>1</v>
      </c>
      <c r="AV179" s="22"/>
      <c r="AW179" s="19">
        <v>1</v>
      </c>
      <c r="AX179" s="19">
        <f>SUM(T179:AW179)</f>
        <v>25</v>
      </c>
      <c r="AY179" s="20"/>
      <c r="AZ179" s="19"/>
      <c r="BA179" s="20"/>
      <c r="BB179" s="49"/>
    </row>
    <row r="180" spans="1:54" ht="13.5" customHeight="1" x14ac:dyDescent="0.2">
      <c r="A180" s="104" t="s">
        <v>807</v>
      </c>
      <c r="B180" s="86" t="s">
        <v>264</v>
      </c>
      <c r="C180" s="26">
        <v>458</v>
      </c>
      <c r="D180" s="35" t="s">
        <v>455</v>
      </c>
      <c r="E180" s="26">
        <v>280</v>
      </c>
      <c r="F180" s="26"/>
      <c r="G180" s="35" t="s">
        <v>1549</v>
      </c>
      <c r="H180" s="37">
        <v>1</v>
      </c>
      <c r="I180" s="37" t="s">
        <v>47</v>
      </c>
      <c r="J180" s="37">
        <v>0.5</v>
      </c>
      <c r="K180" s="37" t="s">
        <v>53</v>
      </c>
      <c r="L180" s="35" t="str">
        <f>VLOOKUP(Tabla411[[#This Row],[BTL CVE]],tblPDV[#All],13,0)</f>
        <v>FLORES SALDAÑA JAVIER</v>
      </c>
      <c r="M180" s="26" t="s">
        <v>108</v>
      </c>
      <c r="N180" s="26" t="s">
        <v>54</v>
      </c>
      <c r="O180" s="26" t="s">
        <v>94</v>
      </c>
      <c r="P180" s="26" t="s">
        <v>94</v>
      </c>
      <c r="Q180" s="26" t="s">
        <v>95</v>
      </c>
      <c r="R180" s="93">
        <v>46113</v>
      </c>
      <c r="S180" s="93">
        <v>46142</v>
      </c>
      <c r="T180" s="22"/>
      <c r="U180" s="19"/>
      <c r="V180" s="19"/>
      <c r="W180" s="19"/>
      <c r="X180" s="19"/>
      <c r="Y180" s="19"/>
      <c r="Z180" s="19"/>
      <c r="AA180" s="22"/>
      <c r="AB180" s="19"/>
      <c r="AC180" s="19"/>
      <c r="AD180" s="19"/>
      <c r="AE180" s="19"/>
      <c r="AF180" s="19"/>
      <c r="AG180" s="19"/>
      <c r="AH180" s="22"/>
      <c r="AI180" s="19"/>
      <c r="AJ180" s="19"/>
      <c r="AK180" s="19"/>
      <c r="AL180" s="19"/>
      <c r="AM180" s="19"/>
      <c r="AN180" s="19"/>
      <c r="AO180" s="22"/>
      <c r="AP180" s="19"/>
      <c r="AQ180" s="19"/>
      <c r="AR180" s="19"/>
      <c r="AS180" s="19"/>
      <c r="AT180" s="19"/>
      <c r="AU180" s="19"/>
      <c r="AV180" s="22"/>
      <c r="AW180" s="19"/>
      <c r="AX180" s="19">
        <f>SUM(T180:AW180)</f>
        <v>0</v>
      </c>
      <c r="AY180" s="20"/>
      <c r="AZ180" s="19"/>
      <c r="BA180" s="20"/>
      <c r="BB180" s="49" t="s">
        <v>2385</v>
      </c>
    </row>
    <row r="181" spans="1:54" ht="13.5" customHeight="1" x14ac:dyDescent="0.2">
      <c r="A181" s="104" t="s">
        <v>1446</v>
      </c>
      <c r="B181" s="86" t="s">
        <v>264</v>
      </c>
      <c r="C181" s="26">
        <v>7</v>
      </c>
      <c r="D181" s="35" t="s">
        <v>274</v>
      </c>
      <c r="E181" s="26">
        <v>494</v>
      </c>
      <c r="F181" s="26"/>
      <c r="G181" s="35" t="s">
        <v>2024</v>
      </c>
      <c r="H181" s="37">
        <v>1</v>
      </c>
      <c r="I181" s="37" t="s">
        <v>47</v>
      </c>
      <c r="J181" s="37">
        <v>0.5</v>
      </c>
      <c r="K181" s="37" t="s">
        <v>53</v>
      </c>
      <c r="L181" s="35" t="str">
        <f>VLOOKUP(Tabla411[[#This Row],[BTL CVE]],tblPDV[#All],13,0)</f>
        <v xml:space="preserve">MONROY GONZALEZ MARIA ZENAIDA </v>
      </c>
      <c r="M181" s="26" t="s">
        <v>536</v>
      </c>
      <c r="N181" s="26" t="s">
        <v>54</v>
      </c>
      <c r="O181" s="26" t="s">
        <v>94</v>
      </c>
      <c r="P181" s="26" t="s">
        <v>94</v>
      </c>
      <c r="Q181" s="26" t="s">
        <v>95</v>
      </c>
      <c r="R181" s="93">
        <v>46113</v>
      </c>
      <c r="S181" s="93">
        <v>46142</v>
      </c>
      <c r="T181" s="22"/>
      <c r="U181" s="19"/>
      <c r="V181" s="19"/>
      <c r="W181" s="19"/>
      <c r="X181" s="19"/>
      <c r="Y181" s="19"/>
      <c r="Z181" s="19"/>
      <c r="AA181" s="22"/>
      <c r="AB181" s="19"/>
      <c r="AC181" s="19"/>
      <c r="AD181" s="19"/>
      <c r="AE181" s="19"/>
      <c r="AF181" s="19"/>
      <c r="AG181" s="19"/>
      <c r="AH181" s="22"/>
      <c r="AI181" s="19"/>
      <c r="AJ181" s="19"/>
      <c r="AK181" s="19"/>
      <c r="AL181" s="19"/>
      <c r="AM181" s="19"/>
      <c r="AN181" s="19"/>
      <c r="AO181" s="22"/>
      <c r="AP181" s="19"/>
      <c r="AQ181" s="19"/>
      <c r="AR181" s="19"/>
      <c r="AS181" s="19"/>
      <c r="AT181" s="19"/>
      <c r="AU181" s="19"/>
      <c r="AV181" s="22"/>
      <c r="AW181" s="19"/>
      <c r="AX181" s="19">
        <f>SUM(T181:AW181)</f>
        <v>0</v>
      </c>
      <c r="AY181" s="20"/>
      <c r="AZ181" s="19"/>
      <c r="BA181" s="20"/>
      <c r="BB181" s="49" t="s">
        <v>2385</v>
      </c>
    </row>
    <row r="182" spans="1:54" ht="13.5" customHeight="1" x14ac:dyDescent="0.2">
      <c r="A182" s="104" t="s">
        <v>1451</v>
      </c>
      <c r="B182" s="86" t="s">
        <v>264</v>
      </c>
      <c r="C182" s="26">
        <v>140</v>
      </c>
      <c r="D182" s="35" t="s">
        <v>276</v>
      </c>
      <c r="E182" s="26">
        <v>241</v>
      </c>
      <c r="F182" s="26" t="s">
        <v>2228</v>
      </c>
      <c r="G182" s="35" t="s">
        <v>2025</v>
      </c>
      <c r="H182" s="37">
        <v>1</v>
      </c>
      <c r="I182" s="37" t="s">
        <v>47</v>
      </c>
      <c r="J182" s="37">
        <v>1</v>
      </c>
      <c r="K182" s="37" t="s">
        <v>47</v>
      </c>
      <c r="L182" s="35" t="str">
        <f>VLOOKUP(Tabla411[[#This Row],[BTL CVE]],tblPDV[#All],13,0)</f>
        <v xml:space="preserve">FERNANDEZ SANCHEZ MIGUEL ANGEL </v>
      </c>
      <c r="M182" s="26" t="s">
        <v>122</v>
      </c>
      <c r="N182" s="26" t="s">
        <v>54</v>
      </c>
      <c r="O182" s="26" t="s">
        <v>94</v>
      </c>
      <c r="P182" s="26" t="s">
        <v>94</v>
      </c>
      <c r="Q182" s="26" t="s">
        <v>95</v>
      </c>
      <c r="R182" s="38">
        <v>46113</v>
      </c>
      <c r="S182" s="38">
        <v>46142</v>
      </c>
      <c r="T182" s="22"/>
      <c r="U182" s="19">
        <v>1</v>
      </c>
      <c r="V182" s="19">
        <v>1</v>
      </c>
      <c r="W182" s="19">
        <v>1</v>
      </c>
      <c r="X182" s="19">
        <v>1</v>
      </c>
      <c r="Y182" s="19">
        <v>1</v>
      </c>
      <c r="Z182" s="19">
        <v>1</v>
      </c>
      <c r="AA182" s="22"/>
      <c r="AB182" s="19">
        <v>1</v>
      </c>
      <c r="AC182" s="19">
        <v>1</v>
      </c>
      <c r="AD182" s="19">
        <v>1</v>
      </c>
      <c r="AE182" s="19">
        <v>1</v>
      </c>
      <c r="AF182" s="19">
        <v>1</v>
      </c>
      <c r="AG182" s="19">
        <v>1</v>
      </c>
      <c r="AH182" s="22"/>
      <c r="AI182" s="19">
        <v>1</v>
      </c>
      <c r="AJ182" s="19">
        <v>1</v>
      </c>
      <c r="AK182" s="19">
        <v>1</v>
      </c>
      <c r="AL182" s="19">
        <v>1</v>
      </c>
      <c r="AM182" s="19">
        <v>1</v>
      </c>
      <c r="AN182" s="19">
        <v>1</v>
      </c>
      <c r="AO182" s="22"/>
      <c r="AP182" s="19">
        <v>1</v>
      </c>
      <c r="AQ182" s="19">
        <v>1</v>
      </c>
      <c r="AR182" s="19">
        <v>1</v>
      </c>
      <c r="AS182" s="19">
        <v>1</v>
      </c>
      <c r="AT182" s="19">
        <v>1</v>
      </c>
      <c r="AU182" s="19">
        <v>1</v>
      </c>
      <c r="AV182" s="22"/>
      <c r="AW182" s="19">
        <v>1</v>
      </c>
      <c r="AX182" s="19">
        <f>SUM(T182:AW182)</f>
        <v>25</v>
      </c>
      <c r="AY182" s="20"/>
      <c r="AZ182" s="19"/>
      <c r="BA182" s="20"/>
      <c r="BB182" s="49"/>
    </row>
    <row r="183" spans="1:54" ht="13.5" customHeight="1" x14ac:dyDescent="0.2">
      <c r="A183" s="104" t="s">
        <v>1456</v>
      </c>
      <c r="B183" s="86" t="s">
        <v>264</v>
      </c>
      <c r="C183" s="26">
        <v>72</v>
      </c>
      <c r="D183" s="35" t="s">
        <v>279</v>
      </c>
      <c r="E183" s="26">
        <v>208</v>
      </c>
      <c r="F183" s="26"/>
      <c r="G183" s="35" t="s">
        <v>2026</v>
      </c>
      <c r="H183" s="37">
        <v>1</v>
      </c>
      <c r="I183" s="37" t="s">
        <v>47</v>
      </c>
      <c r="J183" s="37">
        <v>0.5</v>
      </c>
      <c r="K183" s="37" t="s">
        <v>53</v>
      </c>
      <c r="L183" s="35" t="str">
        <f>VLOOKUP(Tabla411[[#This Row],[BTL CVE]],tblPDV[#All],13,0)</f>
        <v xml:space="preserve">BAUTISTA CORONA REYNA </v>
      </c>
      <c r="M183" s="26" t="s">
        <v>505</v>
      </c>
      <c r="N183" s="26" t="s">
        <v>54</v>
      </c>
      <c r="O183" s="26" t="s">
        <v>94</v>
      </c>
      <c r="P183" s="26" t="s">
        <v>94</v>
      </c>
      <c r="Q183" s="26" t="s">
        <v>95</v>
      </c>
      <c r="R183" s="93">
        <v>46113</v>
      </c>
      <c r="S183" s="93">
        <v>46142</v>
      </c>
      <c r="T183" s="22"/>
      <c r="U183" s="19"/>
      <c r="V183" s="19"/>
      <c r="W183" s="19"/>
      <c r="X183" s="19"/>
      <c r="Y183" s="19"/>
      <c r="Z183" s="19"/>
      <c r="AA183" s="22"/>
      <c r="AB183" s="19"/>
      <c r="AC183" s="19"/>
      <c r="AD183" s="19"/>
      <c r="AE183" s="19"/>
      <c r="AF183" s="19"/>
      <c r="AG183" s="19"/>
      <c r="AH183" s="22"/>
      <c r="AI183" s="19"/>
      <c r="AJ183" s="19"/>
      <c r="AK183" s="19"/>
      <c r="AL183" s="19"/>
      <c r="AM183" s="19"/>
      <c r="AN183" s="19"/>
      <c r="AO183" s="22"/>
      <c r="AP183" s="19"/>
      <c r="AQ183" s="19"/>
      <c r="AR183" s="19"/>
      <c r="AS183" s="19"/>
      <c r="AT183" s="19"/>
      <c r="AU183" s="19"/>
      <c r="AV183" s="22"/>
      <c r="AW183" s="19"/>
      <c r="AX183" s="19">
        <f>SUM(T183:AW183)</f>
        <v>0</v>
      </c>
      <c r="AY183" s="20"/>
      <c r="AZ183" s="19"/>
      <c r="BA183" s="20"/>
      <c r="BB183" s="49" t="s">
        <v>2385</v>
      </c>
    </row>
    <row r="184" spans="1:54" ht="13.5" customHeight="1" x14ac:dyDescent="0.2">
      <c r="A184" s="104" t="s">
        <v>810</v>
      </c>
      <c r="B184" s="86" t="s">
        <v>264</v>
      </c>
      <c r="C184" s="26">
        <v>78</v>
      </c>
      <c r="D184" s="35" t="s">
        <v>446</v>
      </c>
      <c r="E184" s="26"/>
      <c r="F184" s="26"/>
      <c r="G184" s="35" t="s">
        <v>2098</v>
      </c>
      <c r="H184" s="37">
        <v>0.5</v>
      </c>
      <c r="I184" s="37" t="s">
        <v>53</v>
      </c>
      <c r="J184" s="37">
        <v>0.5</v>
      </c>
      <c r="K184" s="37" t="s">
        <v>53</v>
      </c>
      <c r="L184" s="35" t="str">
        <f>VLOOKUP(Tabla411[[#This Row],[BTL CVE]],tblPDV[#All],13,0)</f>
        <v xml:space="preserve">GUTIERREZ ROMERO MARUJA BETTY </v>
      </c>
      <c r="M184" s="26" t="s">
        <v>502</v>
      </c>
      <c r="N184" s="26" t="s">
        <v>54</v>
      </c>
      <c r="O184" s="26" t="s">
        <v>66</v>
      </c>
      <c r="P184" s="26" t="s">
        <v>66</v>
      </c>
      <c r="Q184" s="26" t="s">
        <v>95</v>
      </c>
      <c r="R184" s="38">
        <v>46113</v>
      </c>
      <c r="S184" s="38">
        <v>46142</v>
      </c>
      <c r="T184" s="22"/>
      <c r="U184" s="19">
        <v>1</v>
      </c>
      <c r="V184" s="19">
        <v>1</v>
      </c>
      <c r="W184" s="19">
        <v>1</v>
      </c>
      <c r="X184" s="19"/>
      <c r="Y184" s="19"/>
      <c r="Z184" s="19"/>
      <c r="AA184" s="22"/>
      <c r="AB184" s="19">
        <v>1</v>
      </c>
      <c r="AC184" s="19">
        <v>1</v>
      </c>
      <c r="AD184" s="19">
        <v>1</v>
      </c>
      <c r="AE184" s="19"/>
      <c r="AF184" s="19"/>
      <c r="AG184" s="19"/>
      <c r="AH184" s="22"/>
      <c r="AI184" s="19">
        <v>1</v>
      </c>
      <c r="AJ184" s="19">
        <v>1</v>
      </c>
      <c r="AK184" s="19">
        <v>1</v>
      </c>
      <c r="AL184" s="19"/>
      <c r="AM184" s="19"/>
      <c r="AN184" s="19"/>
      <c r="AO184" s="22"/>
      <c r="AP184" s="19">
        <v>1</v>
      </c>
      <c r="AQ184" s="19">
        <v>1</v>
      </c>
      <c r="AR184" s="19">
        <v>1</v>
      </c>
      <c r="AS184" s="19"/>
      <c r="AT184" s="19"/>
      <c r="AU184" s="19"/>
      <c r="AV184" s="22"/>
      <c r="AW184" s="19">
        <v>1</v>
      </c>
      <c r="AX184" s="19">
        <f>SUM(T184:AW184)</f>
        <v>13</v>
      </c>
      <c r="AY184" s="20"/>
      <c r="AZ184" s="19"/>
      <c r="BA184" s="20"/>
      <c r="BB184" s="49"/>
    </row>
    <row r="185" spans="1:54" ht="13.5" customHeight="1" x14ac:dyDescent="0.2">
      <c r="A185" s="104" t="s">
        <v>1379</v>
      </c>
      <c r="B185" s="86" t="s">
        <v>264</v>
      </c>
      <c r="C185" s="26">
        <v>135</v>
      </c>
      <c r="D185" s="35" t="s">
        <v>444</v>
      </c>
      <c r="E185" s="26"/>
      <c r="F185" s="26"/>
      <c r="G185" s="35" t="s">
        <v>2098</v>
      </c>
      <c r="H185" s="37">
        <v>0.5</v>
      </c>
      <c r="I185" s="37" t="s">
        <v>53</v>
      </c>
      <c r="J185" s="37">
        <v>0.5</v>
      </c>
      <c r="K185" s="37" t="s">
        <v>53</v>
      </c>
      <c r="L185" s="35" t="str">
        <f>VLOOKUP(Tabla411[[#This Row],[BTL CVE]],tblPDV[#All],13,0)</f>
        <v xml:space="preserve">GUTIERREZ ROMERO MARUJA BETTY </v>
      </c>
      <c r="M185" s="26" t="s">
        <v>502</v>
      </c>
      <c r="N185" s="26" t="s">
        <v>54</v>
      </c>
      <c r="O185" s="26" t="s">
        <v>1540</v>
      </c>
      <c r="P185" s="26" t="s">
        <v>1540</v>
      </c>
      <c r="Q185" s="26" t="s">
        <v>95</v>
      </c>
      <c r="R185" s="38">
        <v>46113</v>
      </c>
      <c r="S185" s="38">
        <v>46142</v>
      </c>
      <c r="T185" s="22"/>
      <c r="U185" s="19"/>
      <c r="V185" s="19"/>
      <c r="W185" s="19"/>
      <c r="X185" s="19">
        <v>1</v>
      </c>
      <c r="Y185" s="19">
        <v>1</v>
      </c>
      <c r="Z185" s="19">
        <v>1</v>
      </c>
      <c r="AA185" s="22"/>
      <c r="AB185" s="19"/>
      <c r="AC185" s="19"/>
      <c r="AD185" s="19"/>
      <c r="AE185" s="19">
        <v>1</v>
      </c>
      <c r="AF185" s="19">
        <v>1</v>
      </c>
      <c r="AG185" s="19">
        <v>1</v>
      </c>
      <c r="AH185" s="22"/>
      <c r="AI185" s="19"/>
      <c r="AJ185" s="19"/>
      <c r="AK185" s="19"/>
      <c r="AL185" s="19">
        <v>1</v>
      </c>
      <c r="AM185" s="19">
        <v>1</v>
      </c>
      <c r="AN185" s="19">
        <v>1</v>
      </c>
      <c r="AO185" s="22"/>
      <c r="AP185" s="19"/>
      <c r="AQ185" s="19"/>
      <c r="AR185" s="19"/>
      <c r="AS185" s="19">
        <v>1</v>
      </c>
      <c r="AT185" s="19">
        <v>1</v>
      </c>
      <c r="AU185" s="19">
        <v>1</v>
      </c>
      <c r="AV185" s="22"/>
      <c r="AW185" s="19"/>
      <c r="AX185" s="19">
        <f>SUM(T185:AW185)</f>
        <v>12</v>
      </c>
      <c r="AY185" s="20"/>
      <c r="AZ185" s="19"/>
      <c r="BA185" s="20"/>
      <c r="BB185" s="49"/>
    </row>
    <row r="186" spans="1:54" ht="13.5" customHeight="1" x14ac:dyDescent="0.2">
      <c r="A186" s="104" t="s">
        <v>813</v>
      </c>
      <c r="B186" s="86" t="s">
        <v>264</v>
      </c>
      <c r="C186" s="26">
        <v>70</v>
      </c>
      <c r="D186" s="35" t="s">
        <v>445</v>
      </c>
      <c r="E186" s="26"/>
      <c r="F186" s="26"/>
      <c r="G186" s="35" t="s">
        <v>2098</v>
      </c>
      <c r="H186" s="37">
        <v>0.5</v>
      </c>
      <c r="I186" s="37" t="s">
        <v>53</v>
      </c>
      <c r="J186" s="37">
        <v>0.5</v>
      </c>
      <c r="K186" s="37" t="s">
        <v>53</v>
      </c>
      <c r="L186" s="35" t="str">
        <f>VLOOKUP(Tabla411[[#This Row],[BTL CVE]],tblPDV[#All],13,0)</f>
        <v xml:space="preserve">LOPEZ ESTRADA SILVIA BERENICE </v>
      </c>
      <c r="M186" s="26" t="s">
        <v>502</v>
      </c>
      <c r="N186" s="26" t="s">
        <v>54</v>
      </c>
      <c r="O186" s="26" t="s">
        <v>1540</v>
      </c>
      <c r="P186" s="26" t="s">
        <v>1540</v>
      </c>
      <c r="Q186" s="26" t="s">
        <v>95</v>
      </c>
      <c r="R186" s="38">
        <v>46113</v>
      </c>
      <c r="S186" s="38">
        <v>46142</v>
      </c>
      <c r="T186" s="22"/>
      <c r="U186" s="19"/>
      <c r="V186" s="19"/>
      <c r="W186" s="19"/>
      <c r="X186" s="19">
        <v>1</v>
      </c>
      <c r="Y186" s="19">
        <v>1</v>
      </c>
      <c r="Z186" s="19">
        <v>1</v>
      </c>
      <c r="AA186" s="22"/>
      <c r="AB186" s="19"/>
      <c r="AC186" s="19"/>
      <c r="AD186" s="19"/>
      <c r="AE186" s="19">
        <v>1</v>
      </c>
      <c r="AF186" s="19">
        <v>1</v>
      </c>
      <c r="AG186" s="19">
        <v>1</v>
      </c>
      <c r="AH186" s="22"/>
      <c r="AI186" s="19"/>
      <c r="AJ186" s="19"/>
      <c r="AK186" s="19"/>
      <c r="AL186" s="19">
        <v>1</v>
      </c>
      <c r="AM186" s="19">
        <v>1</v>
      </c>
      <c r="AN186" s="19">
        <v>1</v>
      </c>
      <c r="AO186" s="22"/>
      <c r="AP186" s="19"/>
      <c r="AQ186" s="19"/>
      <c r="AR186" s="19"/>
      <c r="AS186" s="19">
        <v>1</v>
      </c>
      <c r="AT186" s="19">
        <v>1</v>
      </c>
      <c r="AU186" s="19">
        <v>1</v>
      </c>
      <c r="AV186" s="22"/>
      <c r="AW186" s="19"/>
      <c r="AX186" s="19">
        <f>SUM(T186:AW186)</f>
        <v>12</v>
      </c>
      <c r="AY186" s="20"/>
      <c r="AZ186" s="19"/>
      <c r="BA186" s="20"/>
      <c r="BB186" s="49"/>
    </row>
    <row r="187" spans="1:54" ht="13.5" customHeight="1" x14ac:dyDescent="0.2">
      <c r="A187" s="104" t="s">
        <v>811</v>
      </c>
      <c r="B187" s="86" t="s">
        <v>264</v>
      </c>
      <c r="C187" s="26">
        <v>135</v>
      </c>
      <c r="D187" s="35" t="s">
        <v>447</v>
      </c>
      <c r="E187" s="26"/>
      <c r="F187" s="26"/>
      <c r="G187" s="35" t="s">
        <v>2098</v>
      </c>
      <c r="H187" s="37">
        <v>0.5</v>
      </c>
      <c r="I187" s="37" t="s">
        <v>53</v>
      </c>
      <c r="J187" s="37">
        <v>0.5</v>
      </c>
      <c r="K187" s="37" t="s">
        <v>53</v>
      </c>
      <c r="L187" s="35" t="str">
        <f>VLOOKUP(Tabla411[[#This Row],[BTL CVE]],tblPDV[#All],13,0)</f>
        <v xml:space="preserve">LOPEZ ESTRADA SILVIA BERENICE </v>
      </c>
      <c r="M187" s="26" t="s">
        <v>502</v>
      </c>
      <c r="N187" s="26" t="s">
        <v>54</v>
      </c>
      <c r="O187" s="26" t="s">
        <v>66</v>
      </c>
      <c r="P187" s="26" t="s">
        <v>66</v>
      </c>
      <c r="Q187" s="26" t="s">
        <v>95</v>
      </c>
      <c r="R187" s="38">
        <v>46113</v>
      </c>
      <c r="S187" s="38">
        <v>46142</v>
      </c>
      <c r="T187" s="22"/>
      <c r="U187" s="19">
        <v>1</v>
      </c>
      <c r="V187" s="19">
        <v>1</v>
      </c>
      <c r="W187" s="19">
        <v>1</v>
      </c>
      <c r="X187" s="19"/>
      <c r="Y187" s="19"/>
      <c r="Z187" s="19"/>
      <c r="AA187" s="22"/>
      <c r="AB187" s="19">
        <v>1</v>
      </c>
      <c r="AC187" s="19">
        <v>1</v>
      </c>
      <c r="AD187" s="19">
        <v>1</v>
      </c>
      <c r="AE187" s="19"/>
      <c r="AF187" s="19"/>
      <c r="AG187" s="19"/>
      <c r="AH187" s="22"/>
      <c r="AI187" s="19">
        <v>1</v>
      </c>
      <c r="AJ187" s="19">
        <v>1</v>
      </c>
      <c r="AK187" s="19">
        <v>1</v>
      </c>
      <c r="AL187" s="19"/>
      <c r="AM187" s="19"/>
      <c r="AN187" s="19"/>
      <c r="AO187" s="22"/>
      <c r="AP187" s="19">
        <v>1</v>
      </c>
      <c r="AQ187" s="19">
        <v>1</v>
      </c>
      <c r="AR187" s="19">
        <v>1</v>
      </c>
      <c r="AS187" s="19"/>
      <c r="AT187" s="19"/>
      <c r="AU187" s="19"/>
      <c r="AV187" s="22"/>
      <c r="AW187" s="19">
        <v>1</v>
      </c>
      <c r="AX187" s="19">
        <f>SUM(T187:AW187)</f>
        <v>13</v>
      </c>
      <c r="AY187" s="20"/>
      <c r="AZ187" s="19"/>
      <c r="BA187" s="20"/>
      <c r="BB187" s="49"/>
    </row>
    <row r="188" spans="1:54" ht="13.5" customHeight="1" x14ac:dyDescent="0.2">
      <c r="A188" s="104" t="s">
        <v>812</v>
      </c>
      <c r="B188" s="86" t="s">
        <v>264</v>
      </c>
      <c r="C188" s="26">
        <v>166</v>
      </c>
      <c r="D188" s="35" t="s">
        <v>454</v>
      </c>
      <c r="E188" s="26"/>
      <c r="F188" s="26"/>
      <c r="G188" s="35" t="s">
        <v>2098</v>
      </c>
      <c r="H188" s="37">
        <v>1</v>
      </c>
      <c r="I188" s="37" t="s">
        <v>47</v>
      </c>
      <c r="J188" s="37">
        <v>1</v>
      </c>
      <c r="K188" s="37" t="s">
        <v>47</v>
      </c>
      <c r="L188" s="35" t="str">
        <f>VLOOKUP(Tabla411[[#This Row],[BTL CVE]],tblPDV[#All],13,0)</f>
        <v>VACANTE</v>
      </c>
      <c r="M188" s="26" t="s">
        <v>516</v>
      </c>
      <c r="N188" s="26" t="s">
        <v>54</v>
      </c>
      <c r="O188" s="26" t="s">
        <v>94</v>
      </c>
      <c r="P188" s="26" t="s">
        <v>94</v>
      </c>
      <c r="Q188" s="26" t="s">
        <v>95</v>
      </c>
      <c r="R188" s="38">
        <v>46113</v>
      </c>
      <c r="S188" s="38">
        <v>46142</v>
      </c>
      <c r="T188" s="22"/>
      <c r="U188" s="19">
        <v>1</v>
      </c>
      <c r="V188" s="19">
        <v>1</v>
      </c>
      <c r="W188" s="19">
        <v>1</v>
      </c>
      <c r="X188" s="19">
        <v>1</v>
      </c>
      <c r="Y188" s="19">
        <v>1</v>
      </c>
      <c r="Z188" s="19">
        <v>1</v>
      </c>
      <c r="AA188" s="22"/>
      <c r="AB188" s="19">
        <v>1</v>
      </c>
      <c r="AC188" s="19">
        <v>1</v>
      </c>
      <c r="AD188" s="19">
        <v>1</v>
      </c>
      <c r="AE188" s="19">
        <v>1</v>
      </c>
      <c r="AF188" s="19">
        <v>1</v>
      </c>
      <c r="AG188" s="19">
        <v>1</v>
      </c>
      <c r="AH188" s="22"/>
      <c r="AI188" s="19">
        <v>1</v>
      </c>
      <c r="AJ188" s="19">
        <v>1</v>
      </c>
      <c r="AK188" s="19">
        <v>1</v>
      </c>
      <c r="AL188" s="19">
        <v>1</v>
      </c>
      <c r="AM188" s="19">
        <v>1</v>
      </c>
      <c r="AN188" s="19">
        <v>1</v>
      </c>
      <c r="AO188" s="22"/>
      <c r="AP188" s="19">
        <v>1</v>
      </c>
      <c r="AQ188" s="19">
        <v>1</v>
      </c>
      <c r="AR188" s="19">
        <v>1</v>
      </c>
      <c r="AS188" s="19">
        <v>1</v>
      </c>
      <c r="AT188" s="19">
        <v>1</v>
      </c>
      <c r="AU188" s="19">
        <v>1</v>
      </c>
      <c r="AV188" s="22"/>
      <c r="AW188" s="19">
        <v>1</v>
      </c>
      <c r="AX188" s="19">
        <f>SUM(T188:AW188)</f>
        <v>25</v>
      </c>
      <c r="AY188" s="20"/>
      <c r="AZ188" s="19"/>
      <c r="BA188" s="20"/>
      <c r="BB188" s="49"/>
    </row>
    <row r="189" spans="1:54" ht="13.5" customHeight="1" x14ac:dyDescent="0.2">
      <c r="A189" s="104" t="s">
        <v>675</v>
      </c>
      <c r="B189" s="86" t="s">
        <v>280</v>
      </c>
      <c r="C189" s="26">
        <v>74</v>
      </c>
      <c r="D189" s="35" t="s">
        <v>289</v>
      </c>
      <c r="E189" s="26">
        <v>226</v>
      </c>
      <c r="F189" s="26" t="s">
        <v>2221</v>
      </c>
      <c r="G189" s="35" t="s">
        <v>1503</v>
      </c>
      <c r="H189" s="37">
        <v>0.5</v>
      </c>
      <c r="I189" s="37" t="s">
        <v>53</v>
      </c>
      <c r="J189" s="37">
        <v>0.5</v>
      </c>
      <c r="K189" s="37" t="s">
        <v>53</v>
      </c>
      <c r="L189" s="35" t="str">
        <f>VLOOKUP(Tabla411[[#This Row],[BTL CVE]],tblPDV[#All],13,0)</f>
        <v xml:space="preserve">CHAVEZ RAMOS  JONATAN RAYMUNDO </v>
      </c>
      <c r="M189" s="26" t="s">
        <v>536</v>
      </c>
      <c r="N189" s="26" t="s">
        <v>54</v>
      </c>
      <c r="O189" s="26" t="s">
        <v>55</v>
      </c>
      <c r="P189" s="26" t="s">
        <v>55</v>
      </c>
      <c r="Q189" s="26" t="s">
        <v>50</v>
      </c>
      <c r="R189" s="38">
        <v>46113</v>
      </c>
      <c r="S189" s="38">
        <v>46142</v>
      </c>
      <c r="T189" s="19">
        <v>1</v>
      </c>
      <c r="U189" s="19"/>
      <c r="V189" s="19"/>
      <c r="W189" s="19"/>
      <c r="X189" s="22"/>
      <c r="Y189" s="19">
        <v>1</v>
      </c>
      <c r="Z189" s="19">
        <v>1</v>
      </c>
      <c r="AA189" s="19">
        <v>1</v>
      </c>
      <c r="AB189" s="19"/>
      <c r="AC189" s="19"/>
      <c r="AD189" s="19"/>
      <c r="AE189" s="22"/>
      <c r="AF189" s="19">
        <v>1</v>
      </c>
      <c r="AG189" s="19">
        <v>1</v>
      </c>
      <c r="AH189" s="19">
        <v>1</v>
      </c>
      <c r="AI189" s="19"/>
      <c r="AJ189" s="19"/>
      <c r="AK189" s="19"/>
      <c r="AL189" s="22"/>
      <c r="AM189" s="19">
        <v>1</v>
      </c>
      <c r="AN189" s="19">
        <v>1</v>
      </c>
      <c r="AO189" s="19">
        <v>1</v>
      </c>
      <c r="AP189" s="19"/>
      <c r="AQ189" s="19"/>
      <c r="AR189" s="19"/>
      <c r="AS189" s="22"/>
      <c r="AT189" s="19">
        <v>1</v>
      </c>
      <c r="AU189" s="19">
        <v>1</v>
      </c>
      <c r="AV189" s="19">
        <v>1</v>
      </c>
      <c r="AW189" s="19"/>
      <c r="AX189" s="19">
        <f>SUM(T189:AW189)</f>
        <v>13</v>
      </c>
      <c r="AY189" s="20"/>
      <c r="AZ189" s="19"/>
      <c r="BA189" s="20"/>
      <c r="BB189" s="49"/>
    </row>
    <row r="190" spans="1:54" ht="13.5" customHeight="1" x14ac:dyDescent="0.2">
      <c r="A190" s="104" t="s">
        <v>676</v>
      </c>
      <c r="B190" s="86" t="s">
        <v>280</v>
      </c>
      <c r="C190" s="26">
        <v>21</v>
      </c>
      <c r="D190" s="35" t="s">
        <v>290</v>
      </c>
      <c r="E190" s="26">
        <v>226</v>
      </c>
      <c r="F190" s="26" t="s">
        <v>2221</v>
      </c>
      <c r="G190" s="35" t="s">
        <v>1503</v>
      </c>
      <c r="H190" s="37">
        <v>0.5</v>
      </c>
      <c r="I190" s="37" t="s">
        <v>53</v>
      </c>
      <c r="J190" s="37">
        <v>0.5</v>
      </c>
      <c r="K190" s="37" t="s">
        <v>53</v>
      </c>
      <c r="L190" s="35" t="str">
        <f>VLOOKUP(Tabla411[[#This Row],[BTL CVE]],tblPDV[#All],13,0)</f>
        <v xml:space="preserve">CHAVEZ RAMOS  JONATAN RAYMUNDO </v>
      </c>
      <c r="M190" s="26" t="s">
        <v>536</v>
      </c>
      <c r="N190" s="26" t="s">
        <v>54</v>
      </c>
      <c r="O190" s="26" t="s">
        <v>66</v>
      </c>
      <c r="P190" s="26" t="s">
        <v>66</v>
      </c>
      <c r="Q190" s="26" t="s">
        <v>50</v>
      </c>
      <c r="R190" s="38">
        <v>46113</v>
      </c>
      <c r="S190" s="38">
        <v>46142</v>
      </c>
      <c r="T190" s="19"/>
      <c r="U190" s="19">
        <v>1</v>
      </c>
      <c r="V190" s="19">
        <v>1</v>
      </c>
      <c r="W190" s="19">
        <v>1</v>
      </c>
      <c r="X190" s="22"/>
      <c r="Y190" s="19"/>
      <c r="Z190" s="19"/>
      <c r="AA190" s="19"/>
      <c r="AB190" s="19">
        <v>1</v>
      </c>
      <c r="AC190" s="19">
        <v>1</v>
      </c>
      <c r="AD190" s="19">
        <v>1</v>
      </c>
      <c r="AE190" s="22"/>
      <c r="AF190" s="19"/>
      <c r="AG190" s="19"/>
      <c r="AH190" s="19"/>
      <c r="AI190" s="19">
        <v>1</v>
      </c>
      <c r="AJ190" s="19">
        <v>1</v>
      </c>
      <c r="AK190" s="19">
        <v>1</v>
      </c>
      <c r="AL190" s="22"/>
      <c r="AM190" s="19"/>
      <c r="AN190" s="19"/>
      <c r="AO190" s="19"/>
      <c r="AP190" s="19">
        <v>1</v>
      </c>
      <c r="AQ190" s="19">
        <v>1</v>
      </c>
      <c r="AR190" s="19">
        <v>1</v>
      </c>
      <c r="AS190" s="22"/>
      <c r="AT190" s="19"/>
      <c r="AU190" s="19"/>
      <c r="AV190" s="19"/>
      <c r="AW190" s="19">
        <v>1</v>
      </c>
      <c r="AX190" s="19">
        <f>SUM(T190:AW190)</f>
        <v>13</v>
      </c>
      <c r="AY190" s="20"/>
      <c r="AZ190" s="19"/>
      <c r="BA190" s="20"/>
      <c r="BB190" s="49"/>
    </row>
    <row r="191" spans="1:54" ht="13.5" customHeight="1" x14ac:dyDescent="0.2">
      <c r="A191" s="104" t="s">
        <v>670</v>
      </c>
      <c r="B191" s="86" t="s">
        <v>280</v>
      </c>
      <c r="C191" s="26">
        <v>36</v>
      </c>
      <c r="D191" s="35" t="s">
        <v>283</v>
      </c>
      <c r="E191" s="26">
        <v>592</v>
      </c>
      <c r="F191" s="26" t="s">
        <v>2393</v>
      </c>
      <c r="G191" s="35" t="s">
        <v>2368</v>
      </c>
      <c r="H191" s="37">
        <v>0.5</v>
      </c>
      <c r="I191" s="37" t="s">
        <v>53</v>
      </c>
      <c r="J191" s="109">
        <v>0.33333333333333298</v>
      </c>
      <c r="K191" s="37" t="s">
        <v>53</v>
      </c>
      <c r="L191" s="35" t="str">
        <f>VLOOKUP(Tabla411[[#This Row],[BTL CVE]],tblPDV[#All],13,0)</f>
        <v xml:space="preserve">AGUIRRE CAMACHO ATZIN SUSANA </v>
      </c>
      <c r="M191" s="26" t="s">
        <v>536</v>
      </c>
      <c r="N191" s="26" t="s">
        <v>54</v>
      </c>
      <c r="O191" s="26" t="s">
        <v>66</v>
      </c>
      <c r="P191" s="26" t="s">
        <v>66</v>
      </c>
      <c r="Q191" s="26" t="s">
        <v>50</v>
      </c>
      <c r="R191" s="38">
        <v>46113</v>
      </c>
      <c r="S191" s="38">
        <v>46142</v>
      </c>
      <c r="T191" s="19"/>
      <c r="U191" s="19">
        <v>1</v>
      </c>
      <c r="V191" s="19">
        <v>1</v>
      </c>
      <c r="W191" s="19">
        <v>1</v>
      </c>
      <c r="X191" s="22"/>
      <c r="Y191" s="19"/>
      <c r="Z191" s="19"/>
      <c r="AA191" s="19"/>
      <c r="AB191" s="19">
        <v>1</v>
      </c>
      <c r="AC191" s="19">
        <v>1</v>
      </c>
      <c r="AD191" s="19">
        <v>1</v>
      </c>
      <c r="AE191" s="22"/>
      <c r="AF191" s="19"/>
      <c r="AG191" s="19"/>
      <c r="AH191" s="19"/>
      <c r="AI191" s="19">
        <v>1</v>
      </c>
      <c r="AJ191" s="19">
        <v>1</v>
      </c>
      <c r="AK191" s="19">
        <v>1</v>
      </c>
      <c r="AL191" s="22"/>
      <c r="AM191" s="19"/>
      <c r="AN191" s="19"/>
      <c r="AO191" s="19"/>
      <c r="AP191" s="19">
        <v>1</v>
      </c>
      <c r="AQ191" s="19">
        <v>1</v>
      </c>
      <c r="AR191" s="19">
        <v>1</v>
      </c>
      <c r="AS191" s="22"/>
      <c r="AT191" s="19"/>
      <c r="AU191" s="19"/>
      <c r="AV191" s="19"/>
      <c r="AW191" s="19">
        <v>1</v>
      </c>
      <c r="AX191" s="19">
        <f>SUM(T191:AW191)</f>
        <v>13</v>
      </c>
      <c r="AY191" s="20"/>
      <c r="AZ191" s="19"/>
      <c r="BA191" s="20"/>
      <c r="BB191" s="49"/>
    </row>
    <row r="192" spans="1:54" ht="13.5" customHeight="1" x14ac:dyDescent="0.2">
      <c r="A192" s="104" t="s">
        <v>669</v>
      </c>
      <c r="B192" s="86" t="s">
        <v>280</v>
      </c>
      <c r="C192" s="26">
        <v>86</v>
      </c>
      <c r="D192" s="35" t="s">
        <v>281</v>
      </c>
      <c r="E192" s="26">
        <v>592</v>
      </c>
      <c r="F192" s="26" t="s">
        <v>2393</v>
      </c>
      <c r="G192" s="35" t="s">
        <v>2368</v>
      </c>
      <c r="H192" s="37">
        <v>0.5</v>
      </c>
      <c r="I192" s="37" t="s">
        <v>53</v>
      </c>
      <c r="J192" s="109">
        <v>0.33333333333333298</v>
      </c>
      <c r="K192" s="37" t="s">
        <v>53</v>
      </c>
      <c r="L192" s="35" t="str">
        <f>VLOOKUP(Tabla411[[#This Row],[BTL CVE]],tblPDV[#All],13,0)</f>
        <v xml:space="preserve">AGUIRRE CAMACHO ATZIN SUSANA </v>
      </c>
      <c r="M192" s="26" t="s">
        <v>536</v>
      </c>
      <c r="N192" s="26" t="s">
        <v>54</v>
      </c>
      <c r="O192" s="26" t="s">
        <v>55</v>
      </c>
      <c r="P192" s="26" t="s">
        <v>55</v>
      </c>
      <c r="Q192" s="26" t="s">
        <v>50</v>
      </c>
      <c r="R192" s="38">
        <v>46113</v>
      </c>
      <c r="S192" s="38">
        <v>46142</v>
      </c>
      <c r="T192" s="19">
        <v>1</v>
      </c>
      <c r="U192" s="19"/>
      <c r="V192" s="19"/>
      <c r="W192" s="19"/>
      <c r="X192" s="22"/>
      <c r="Y192" s="19">
        <v>1</v>
      </c>
      <c r="Z192" s="19">
        <v>1</v>
      </c>
      <c r="AA192" s="19">
        <v>1</v>
      </c>
      <c r="AB192" s="19"/>
      <c r="AC192" s="19"/>
      <c r="AD192" s="19"/>
      <c r="AE192" s="22"/>
      <c r="AF192" s="19">
        <v>1</v>
      </c>
      <c r="AG192" s="19">
        <v>1</v>
      </c>
      <c r="AH192" s="19">
        <v>1</v>
      </c>
      <c r="AI192" s="19"/>
      <c r="AJ192" s="19"/>
      <c r="AK192" s="19"/>
      <c r="AL192" s="22"/>
      <c r="AM192" s="19">
        <v>1</v>
      </c>
      <c r="AN192" s="19">
        <v>1</v>
      </c>
      <c r="AO192" s="19">
        <v>1</v>
      </c>
      <c r="AP192" s="19"/>
      <c r="AQ192" s="19"/>
      <c r="AR192" s="19"/>
      <c r="AS192" s="22"/>
      <c r="AT192" s="19">
        <v>1</v>
      </c>
      <c r="AU192" s="19">
        <v>1</v>
      </c>
      <c r="AV192" s="19">
        <v>1</v>
      </c>
      <c r="AW192" s="19"/>
      <c r="AX192" s="19">
        <f>SUM(T192:AW192)</f>
        <v>13</v>
      </c>
      <c r="AY192" s="20"/>
      <c r="AZ192" s="19"/>
      <c r="BA192" s="20"/>
      <c r="BB192" s="49"/>
    </row>
    <row r="193" spans="1:54" ht="13.5" customHeight="1" x14ac:dyDescent="0.2">
      <c r="A193" s="104" t="s">
        <v>1420</v>
      </c>
      <c r="B193" s="86" t="s">
        <v>280</v>
      </c>
      <c r="C193" s="26">
        <v>147</v>
      </c>
      <c r="D193" s="35" t="s">
        <v>529</v>
      </c>
      <c r="E193" s="26">
        <v>522</v>
      </c>
      <c r="F193" s="26" t="s">
        <v>2325</v>
      </c>
      <c r="G193" s="35" t="s">
        <v>2032</v>
      </c>
      <c r="H193" s="37">
        <v>0.5</v>
      </c>
      <c r="I193" s="37" t="s">
        <v>53</v>
      </c>
      <c r="J193" s="37">
        <v>0.5</v>
      </c>
      <c r="K193" s="37" t="s">
        <v>53</v>
      </c>
      <c r="L193" s="35" t="str">
        <f>VLOOKUP(Tabla411[[#This Row],[BTL CVE]],tblPDV[#All],13,0)</f>
        <v xml:space="preserve">BAUTISTA CORONA REYNA </v>
      </c>
      <c r="M193" s="26" t="s">
        <v>535</v>
      </c>
      <c r="N193" s="26" t="s">
        <v>54</v>
      </c>
      <c r="O193" s="26" t="s">
        <v>55</v>
      </c>
      <c r="P193" s="26" t="s">
        <v>55</v>
      </c>
      <c r="Q193" s="26" t="s">
        <v>50</v>
      </c>
      <c r="R193" s="38">
        <v>46113</v>
      </c>
      <c r="S193" s="38">
        <v>46142</v>
      </c>
      <c r="T193" s="19">
        <v>1</v>
      </c>
      <c r="U193" s="19"/>
      <c r="V193" s="19"/>
      <c r="W193" s="19"/>
      <c r="X193" s="22"/>
      <c r="Y193" s="19">
        <v>1</v>
      </c>
      <c r="Z193" s="19">
        <v>1</v>
      </c>
      <c r="AA193" s="19">
        <v>1</v>
      </c>
      <c r="AB193" s="19"/>
      <c r="AC193" s="19"/>
      <c r="AD193" s="19"/>
      <c r="AE193" s="22"/>
      <c r="AF193" s="19">
        <v>1</v>
      </c>
      <c r="AG193" s="19">
        <v>1</v>
      </c>
      <c r="AH193" s="19">
        <v>1</v>
      </c>
      <c r="AI193" s="19"/>
      <c r="AJ193" s="19"/>
      <c r="AK193" s="19"/>
      <c r="AL193" s="22"/>
      <c r="AM193" s="19">
        <v>1</v>
      </c>
      <c r="AN193" s="19">
        <v>1</v>
      </c>
      <c r="AO193" s="19">
        <v>1</v>
      </c>
      <c r="AP193" s="19"/>
      <c r="AQ193" s="19"/>
      <c r="AR193" s="19"/>
      <c r="AS193" s="22"/>
      <c r="AT193" s="19">
        <v>1</v>
      </c>
      <c r="AU193" s="19">
        <v>1</v>
      </c>
      <c r="AV193" s="19">
        <v>1</v>
      </c>
      <c r="AW193" s="19"/>
      <c r="AX193" s="19">
        <f>SUM(T193:AW193)</f>
        <v>13</v>
      </c>
      <c r="AY193" s="20"/>
      <c r="AZ193" s="19"/>
      <c r="BA193" s="20"/>
      <c r="BB193" s="49"/>
    </row>
    <row r="194" spans="1:54" ht="13.5" customHeight="1" x14ac:dyDescent="0.2">
      <c r="A194" s="104" t="s">
        <v>1421</v>
      </c>
      <c r="B194" s="86" t="s">
        <v>280</v>
      </c>
      <c r="C194" s="26">
        <v>151</v>
      </c>
      <c r="D194" s="35" t="s">
        <v>531</v>
      </c>
      <c r="E194" s="26">
        <v>522</v>
      </c>
      <c r="F194" s="26" t="s">
        <v>2325</v>
      </c>
      <c r="G194" s="35" t="s">
        <v>2032</v>
      </c>
      <c r="H194" s="37">
        <v>0.5</v>
      </c>
      <c r="I194" s="37" t="s">
        <v>53</v>
      </c>
      <c r="J194" s="37">
        <v>0.5</v>
      </c>
      <c r="K194" s="37" t="s">
        <v>53</v>
      </c>
      <c r="L194" s="35" t="str">
        <f>VLOOKUP(Tabla411[[#This Row],[BTL CVE]],tblPDV[#All],13,0)</f>
        <v xml:space="preserve">BAUTISTA CORONA REYNA </v>
      </c>
      <c r="M194" s="26" t="s">
        <v>535</v>
      </c>
      <c r="N194" s="26" t="s">
        <v>54</v>
      </c>
      <c r="O194" s="26" t="s">
        <v>66</v>
      </c>
      <c r="P194" s="26" t="s">
        <v>66</v>
      </c>
      <c r="Q194" s="26" t="s">
        <v>50</v>
      </c>
      <c r="R194" s="38">
        <v>46113</v>
      </c>
      <c r="S194" s="38">
        <v>46142</v>
      </c>
      <c r="T194" s="19"/>
      <c r="U194" s="19">
        <v>1</v>
      </c>
      <c r="V194" s="19">
        <v>1</v>
      </c>
      <c r="W194" s="19">
        <v>1</v>
      </c>
      <c r="X194" s="22"/>
      <c r="Y194" s="19"/>
      <c r="Z194" s="19"/>
      <c r="AA194" s="19"/>
      <c r="AB194" s="19">
        <v>1</v>
      </c>
      <c r="AC194" s="19">
        <v>1</v>
      </c>
      <c r="AD194" s="19">
        <v>1</v>
      </c>
      <c r="AE194" s="22"/>
      <c r="AF194" s="19"/>
      <c r="AG194" s="19"/>
      <c r="AH194" s="19"/>
      <c r="AI194" s="19">
        <v>1</v>
      </c>
      <c r="AJ194" s="19">
        <v>1</v>
      </c>
      <c r="AK194" s="19">
        <v>1</v>
      </c>
      <c r="AL194" s="22"/>
      <c r="AM194" s="19"/>
      <c r="AN194" s="19"/>
      <c r="AO194" s="19"/>
      <c r="AP194" s="19">
        <v>1</v>
      </c>
      <c r="AQ194" s="19">
        <v>1</v>
      </c>
      <c r="AR194" s="19">
        <v>1</v>
      </c>
      <c r="AS194" s="22"/>
      <c r="AT194" s="19"/>
      <c r="AU194" s="19"/>
      <c r="AV194" s="19"/>
      <c r="AW194" s="19">
        <v>1</v>
      </c>
      <c r="AX194" s="19">
        <f>SUM(T194:AW194)</f>
        <v>13</v>
      </c>
      <c r="AY194" s="20"/>
      <c r="AZ194" s="19"/>
      <c r="BA194" s="20"/>
      <c r="BB194" s="49"/>
    </row>
    <row r="195" spans="1:54" ht="13.5" customHeight="1" x14ac:dyDescent="0.2">
      <c r="A195" s="119" t="s">
        <v>694</v>
      </c>
      <c r="B195" s="113" t="s">
        <v>280</v>
      </c>
      <c r="C195" s="44">
        <v>142</v>
      </c>
      <c r="D195" s="35" t="s">
        <v>309</v>
      </c>
      <c r="E195" s="26">
        <v>242</v>
      </c>
      <c r="F195" s="26" t="s">
        <v>2229</v>
      </c>
      <c r="G195" s="35" t="s">
        <v>1505</v>
      </c>
      <c r="H195" s="37">
        <v>0.5</v>
      </c>
      <c r="I195" s="37" t="s">
        <v>53</v>
      </c>
      <c r="J195" s="37">
        <v>0.5</v>
      </c>
      <c r="K195" s="37" t="s">
        <v>53</v>
      </c>
      <c r="L195" s="35" t="str">
        <f>VLOOKUP(Tabla411[[#This Row],[BTL CVE]],tblPDV[#All],13,0)</f>
        <v>LOPEZ RUIZ JACQUELINE</v>
      </c>
      <c r="M195" s="26" t="s">
        <v>536</v>
      </c>
      <c r="N195" s="26" t="s">
        <v>54</v>
      </c>
      <c r="O195" s="26" t="s">
        <v>55</v>
      </c>
      <c r="P195" s="26" t="s">
        <v>55</v>
      </c>
      <c r="Q195" s="26" t="s">
        <v>50</v>
      </c>
      <c r="R195" s="38">
        <v>46113</v>
      </c>
      <c r="S195" s="38">
        <v>46134</v>
      </c>
      <c r="T195" s="19">
        <v>1</v>
      </c>
      <c r="U195" s="19">
        <v>1</v>
      </c>
      <c r="V195" s="19">
        <v>1</v>
      </c>
      <c r="W195" s="19">
        <v>1</v>
      </c>
      <c r="X195" s="22"/>
      <c r="Y195" s="19">
        <v>1</v>
      </c>
      <c r="Z195" s="19">
        <v>1</v>
      </c>
      <c r="AA195" s="19">
        <v>1</v>
      </c>
      <c r="AB195" s="19">
        <v>1</v>
      </c>
      <c r="AC195" s="19">
        <v>1</v>
      </c>
      <c r="AD195" s="19">
        <v>1</v>
      </c>
      <c r="AE195" s="22"/>
      <c r="AF195" s="19">
        <v>1</v>
      </c>
      <c r="AG195" s="19">
        <v>1</v>
      </c>
      <c r="AH195" s="19">
        <v>1</v>
      </c>
      <c r="AI195" s="19">
        <v>1</v>
      </c>
      <c r="AJ195" s="19">
        <v>1</v>
      </c>
      <c r="AK195" s="19">
        <v>1</v>
      </c>
      <c r="AL195" s="22"/>
      <c r="AM195" s="19">
        <v>1</v>
      </c>
      <c r="AN195" s="19">
        <v>1</v>
      </c>
      <c r="AO195" s="19">
        <v>1</v>
      </c>
      <c r="AP195" s="19"/>
      <c r="AQ195" s="19"/>
      <c r="AR195" s="19"/>
      <c r="AS195" s="22"/>
      <c r="AT195" s="19"/>
      <c r="AU195" s="19"/>
      <c r="AV195" s="19"/>
      <c r="AW195" s="19"/>
      <c r="AX195" s="19">
        <f>SUM(T195:AW195)</f>
        <v>19</v>
      </c>
      <c r="AY195" s="20"/>
      <c r="AZ195" s="19"/>
      <c r="BA195" s="20"/>
      <c r="BB195" s="49" t="s">
        <v>2103</v>
      </c>
    </row>
    <row r="196" spans="1:54" ht="13.5" customHeight="1" x14ac:dyDescent="0.2">
      <c r="A196" s="122" t="s">
        <v>695</v>
      </c>
      <c r="B196" s="114" t="s">
        <v>280</v>
      </c>
      <c r="C196" s="26">
        <v>40</v>
      </c>
      <c r="D196" s="66" t="s">
        <v>310</v>
      </c>
      <c r="E196" s="26">
        <v>242</v>
      </c>
      <c r="F196" s="26" t="s">
        <v>2229</v>
      </c>
      <c r="G196" s="35" t="s">
        <v>1505</v>
      </c>
      <c r="H196" s="37">
        <v>0.5</v>
      </c>
      <c r="I196" s="37" t="s">
        <v>53</v>
      </c>
      <c r="J196" s="37">
        <v>0.5</v>
      </c>
      <c r="K196" s="37" t="s">
        <v>53</v>
      </c>
      <c r="L196" s="35" t="str">
        <f>VLOOKUP(Tabla411[[#This Row],[BTL CVE]],tblPDV[#All],13,0)</f>
        <v>LOPEZ RUIZ JACQUELINE</v>
      </c>
      <c r="M196" s="26" t="s">
        <v>536</v>
      </c>
      <c r="N196" s="26" t="s">
        <v>54</v>
      </c>
      <c r="O196" s="26" t="s">
        <v>66</v>
      </c>
      <c r="P196" s="26" t="s">
        <v>49</v>
      </c>
      <c r="Q196" s="26" t="s">
        <v>50</v>
      </c>
      <c r="R196" s="38">
        <v>46135</v>
      </c>
      <c r="S196" s="38">
        <v>46142</v>
      </c>
      <c r="T196" s="19"/>
      <c r="U196" s="19"/>
      <c r="V196" s="19"/>
      <c r="W196" s="19"/>
      <c r="X196" s="22"/>
      <c r="Y196" s="19"/>
      <c r="Z196" s="19"/>
      <c r="AA196" s="19"/>
      <c r="AB196" s="19"/>
      <c r="AC196" s="19"/>
      <c r="AD196" s="19"/>
      <c r="AE196" s="22"/>
      <c r="AF196" s="19"/>
      <c r="AG196" s="19"/>
      <c r="AH196" s="19"/>
      <c r="AI196" s="19"/>
      <c r="AJ196" s="19"/>
      <c r="AK196" s="19"/>
      <c r="AL196" s="22"/>
      <c r="AM196" s="19"/>
      <c r="AN196" s="19"/>
      <c r="AO196" s="19"/>
      <c r="AP196" s="99">
        <v>1</v>
      </c>
      <c r="AQ196" s="99">
        <v>1</v>
      </c>
      <c r="AR196" s="99">
        <v>1</v>
      </c>
      <c r="AS196" s="22"/>
      <c r="AT196" s="99">
        <v>1</v>
      </c>
      <c r="AU196" s="99">
        <v>1</v>
      </c>
      <c r="AV196" s="99">
        <v>1</v>
      </c>
      <c r="AW196" s="99">
        <v>1</v>
      </c>
      <c r="AX196" s="99">
        <f>SUM(T196:AW196)</f>
        <v>7</v>
      </c>
      <c r="AY196" s="20"/>
      <c r="AZ196" s="19"/>
      <c r="BA196" s="20"/>
      <c r="BB196" s="50" t="s">
        <v>2358</v>
      </c>
    </row>
    <row r="197" spans="1:54" ht="13.5" customHeight="1" x14ac:dyDescent="0.2">
      <c r="A197" s="104" t="s">
        <v>697</v>
      </c>
      <c r="B197" s="86" t="s">
        <v>280</v>
      </c>
      <c r="C197" s="26">
        <v>97</v>
      </c>
      <c r="D197" s="35" t="s">
        <v>314</v>
      </c>
      <c r="E197" s="26">
        <v>221</v>
      </c>
      <c r="F197" s="26" t="s">
        <v>2220</v>
      </c>
      <c r="G197" s="35" t="s">
        <v>1501</v>
      </c>
      <c r="H197" s="37">
        <v>0.5</v>
      </c>
      <c r="I197" s="37" t="s">
        <v>53</v>
      </c>
      <c r="J197" s="37">
        <v>0.5</v>
      </c>
      <c r="K197" s="37" t="s">
        <v>53</v>
      </c>
      <c r="L197" s="35" t="str">
        <f>VLOOKUP(Tabla411[[#This Row],[BTL CVE]],tblPDV[#All],13,0)</f>
        <v xml:space="preserve">ESTRADA NAVA MIRIAM ROCIO </v>
      </c>
      <c r="M197" s="26" t="s">
        <v>536</v>
      </c>
      <c r="N197" s="26" t="s">
        <v>54</v>
      </c>
      <c r="O197" s="26" t="s">
        <v>55</v>
      </c>
      <c r="P197" s="26" t="s">
        <v>55</v>
      </c>
      <c r="Q197" s="26" t="s">
        <v>50</v>
      </c>
      <c r="R197" s="38">
        <v>46113</v>
      </c>
      <c r="S197" s="38">
        <v>46142</v>
      </c>
      <c r="T197" s="19">
        <v>1</v>
      </c>
      <c r="U197" s="19"/>
      <c r="V197" s="19"/>
      <c r="W197" s="19"/>
      <c r="X197" s="22"/>
      <c r="Y197" s="19">
        <v>1</v>
      </c>
      <c r="Z197" s="19">
        <v>1</v>
      </c>
      <c r="AA197" s="19">
        <v>1</v>
      </c>
      <c r="AB197" s="19"/>
      <c r="AC197" s="19"/>
      <c r="AD197" s="19"/>
      <c r="AE197" s="22"/>
      <c r="AF197" s="19">
        <v>1</v>
      </c>
      <c r="AG197" s="19">
        <v>1</v>
      </c>
      <c r="AH197" s="19">
        <v>1</v>
      </c>
      <c r="AI197" s="19"/>
      <c r="AJ197" s="19"/>
      <c r="AK197" s="19"/>
      <c r="AL197" s="22"/>
      <c r="AM197" s="19">
        <v>1</v>
      </c>
      <c r="AN197" s="19">
        <v>1</v>
      </c>
      <c r="AO197" s="19">
        <v>1</v>
      </c>
      <c r="AP197" s="19"/>
      <c r="AQ197" s="19"/>
      <c r="AR197" s="19"/>
      <c r="AS197" s="22"/>
      <c r="AT197" s="19">
        <v>1</v>
      </c>
      <c r="AU197" s="19">
        <v>1</v>
      </c>
      <c r="AV197" s="19">
        <v>1</v>
      </c>
      <c r="AW197" s="19"/>
      <c r="AX197" s="19">
        <f>SUM(T197:AW197)</f>
        <v>13</v>
      </c>
      <c r="AY197" s="20"/>
      <c r="AZ197" s="19"/>
      <c r="BA197" s="20"/>
      <c r="BB197" s="49"/>
    </row>
    <row r="198" spans="1:54" ht="13.5" customHeight="1" x14ac:dyDescent="0.2">
      <c r="A198" s="104" t="s">
        <v>698</v>
      </c>
      <c r="B198" s="105" t="s">
        <v>280</v>
      </c>
      <c r="C198" s="26">
        <v>31</v>
      </c>
      <c r="D198" s="35" t="s">
        <v>315</v>
      </c>
      <c r="E198" s="26">
        <v>221</v>
      </c>
      <c r="F198" s="26" t="s">
        <v>2220</v>
      </c>
      <c r="G198" s="35" t="s">
        <v>1501</v>
      </c>
      <c r="H198" s="26">
        <v>0.5</v>
      </c>
      <c r="I198" s="37" t="s">
        <v>53</v>
      </c>
      <c r="J198" s="37">
        <v>0.5</v>
      </c>
      <c r="K198" s="37" t="s">
        <v>53</v>
      </c>
      <c r="L198" s="35" t="str">
        <f>VLOOKUP(Tabla411[[#This Row],[BTL CVE]],tblPDV[#All],13,0)</f>
        <v xml:space="preserve">ESTRADA NAVA MIRIAM ROCIO </v>
      </c>
      <c r="M198" s="26" t="s">
        <v>536</v>
      </c>
      <c r="N198" s="26" t="s">
        <v>54</v>
      </c>
      <c r="O198" s="26" t="s">
        <v>66</v>
      </c>
      <c r="P198" s="26" t="s">
        <v>66</v>
      </c>
      <c r="Q198" s="26" t="s">
        <v>50</v>
      </c>
      <c r="R198" s="38">
        <v>46113</v>
      </c>
      <c r="S198" s="38">
        <v>46142</v>
      </c>
      <c r="T198" s="19"/>
      <c r="U198" s="19">
        <v>1</v>
      </c>
      <c r="V198" s="19">
        <v>1</v>
      </c>
      <c r="W198" s="19">
        <v>1</v>
      </c>
      <c r="X198" s="22"/>
      <c r="Y198" s="19"/>
      <c r="Z198" s="19"/>
      <c r="AA198" s="19"/>
      <c r="AB198" s="19">
        <v>1</v>
      </c>
      <c r="AC198" s="19">
        <v>1</v>
      </c>
      <c r="AD198" s="19">
        <v>1</v>
      </c>
      <c r="AE198" s="22"/>
      <c r="AF198" s="19"/>
      <c r="AG198" s="19"/>
      <c r="AH198" s="19"/>
      <c r="AI198" s="19">
        <v>1</v>
      </c>
      <c r="AJ198" s="19">
        <v>1</v>
      </c>
      <c r="AK198" s="19">
        <v>1</v>
      </c>
      <c r="AL198" s="22"/>
      <c r="AM198" s="19"/>
      <c r="AN198" s="19"/>
      <c r="AO198" s="19"/>
      <c r="AP198" s="19">
        <v>1</v>
      </c>
      <c r="AQ198" s="19">
        <v>1</v>
      </c>
      <c r="AR198" s="19">
        <v>1</v>
      </c>
      <c r="AS198" s="22"/>
      <c r="AT198" s="19"/>
      <c r="AU198" s="19"/>
      <c r="AV198" s="19"/>
      <c r="AW198" s="19">
        <v>1</v>
      </c>
      <c r="AX198" s="19">
        <f>SUM(T198:AW198)</f>
        <v>13</v>
      </c>
      <c r="AY198" s="20"/>
      <c r="AZ198" s="19"/>
      <c r="BA198" s="20"/>
      <c r="BB198" s="49"/>
    </row>
    <row r="199" spans="1:54" ht="13.5" customHeight="1" x14ac:dyDescent="0.2">
      <c r="A199" s="119" t="s">
        <v>700</v>
      </c>
      <c r="B199" s="110" t="s">
        <v>280</v>
      </c>
      <c r="C199" s="44">
        <v>81</v>
      </c>
      <c r="D199" s="35" t="s">
        <v>317</v>
      </c>
      <c r="E199" s="26">
        <v>34</v>
      </c>
      <c r="F199" s="26" t="s">
        <v>2140</v>
      </c>
      <c r="G199" s="35" t="s">
        <v>2040</v>
      </c>
      <c r="H199" s="37">
        <v>0.5</v>
      </c>
      <c r="I199" s="37" t="s">
        <v>53</v>
      </c>
      <c r="J199" s="37">
        <v>0.5</v>
      </c>
      <c r="K199" s="37" t="s">
        <v>53</v>
      </c>
      <c r="L199" s="35" t="str">
        <f>VLOOKUP(Tabla411[[#This Row],[BTL CVE]],tblPDV[#All],13,0)</f>
        <v xml:space="preserve">REYES AYBAR LILIANA </v>
      </c>
      <c r="M199" s="26" t="s">
        <v>536</v>
      </c>
      <c r="N199" s="26" t="s">
        <v>54</v>
      </c>
      <c r="O199" s="26" t="s">
        <v>55</v>
      </c>
      <c r="P199" s="26" t="s">
        <v>55</v>
      </c>
      <c r="Q199" s="26" t="s">
        <v>50</v>
      </c>
      <c r="R199" s="38">
        <v>46113</v>
      </c>
      <c r="S199" s="38">
        <v>46142</v>
      </c>
      <c r="T199" s="19">
        <v>1</v>
      </c>
      <c r="U199" s="19">
        <v>1</v>
      </c>
      <c r="V199" s="19">
        <v>1</v>
      </c>
      <c r="W199" s="19">
        <v>1</v>
      </c>
      <c r="X199" s="22"/>
      <c r="Y199" s="19">
        <v>1</v>
      </c>
      <c r="Z199" s="19">
        <v>1</v>
      </c>
      <c r="AA199" s="19">
        <v>1</v>
      </c>
      <c r="AB199" s="19">
        <v>1</v>
      </c>
      <c r="AC199" s="19">
        <v>1</v>
      </c>
      <c r="AD199" s="19">
        <v>1</v>
      </c>
      <c r="AE199" s="22"/>
      <c r="AF199" s="19">
        <v>1</v>
      </c>
      <c r="AG199" s="19">
        <v>1</v>
      </c>
      <c r="AH199" s="19">
        <v>1</v>
      </c>
      <c r="AI199" s="19">
        <v>1</v>
      </c>
      <c r="AJ199" s="19">
        <v>1</v>
      </c>
      <c r="AK199" s="19">
        <v>1</v>
      </c>
      <c r="AL199" s="22"/>
      <c r="AM199" s="19">
        <v>1</v>
      </c>
      <c r="AN199" s="19">
        <v>1</v>
      </c>
      <c r="AO199" s="19">
        <v>1</v>
      </c>
      <c r="AP199" s="19"/>
      <c r="AQ199" s="19"/>
      <c r="AR199" s="19"/>
      <c r="AS199" s="22"/>
      <c r="AT199" s="19">
        <v>1</v>
      </c>
      <c r="AU199" s="19">
        <v>1</v>
      </c>
      <c r="AV199" s="19">
        <v>1</v>
      </c>
      <c r="AW199" s="19"/>
      <c r="AX199" s="19">
        <f>SUM(T199:AW199)</f>
        <v>22</v>
      </c>
      <c r="AY199" s="20"/>
      <c r="AZ199" s="19"/>
      <c r="BA199" s="20"/>
      <c r="BB199" s="49" t="s">
        <v>2103</v>
      </c>
    </row>
    <row r="200" spans="1:54" ht="13.5" customHeight="1" x14ac:dyDescent="0.2">
      <c r="A200" s="104" t="s">
        <v>701</v>
      </c>
      <c r="B200" s="105" t="s">
        <v>280</v>
      </c>
      <c r="C200" s="26">
        <v>63</v>
      </c>
      <c r="D200" s="35" t="s">
        <v>318</v>
      </c>
      <c r="E200" s="26">
        <v>34</v>
      </c>
      <c r="F200" s="26" t="s">
        <v>2140</v>
      </c>
      <c r="G200" s="35" t="s">
        <v>2040</v>
      </c>
      <c r="H200" s="37">
        <v>0.5</v>
      </c>
      <c r="I200" s="37" t="s">
        <v>53</v>
      </c>
      <c r="J200" s="37">
        <v>0.5</v>
      </c>
      <c r="K200" s="37" t="s">
        <v>53</v>
      </c>
      <c r="L200" s="35" t="str">
        <f>VLOOKUP(Tabla411[[#This Row],[BTL CVE]],tblPDV[#All],13,0)</f>
        <v xml:space="preserve">REYES AYBAR LILIANA </v>
      </c>
      <c r="M200" s="26" t="s">
        <v>536</v>
      </c>
      <c r="N200" s="26" t="s">
        <v>54</v>
      </c>
      <c r="O200" s="26" t="s">
        <v>66</v>
      </c>
      <c r="P200" s="26" t="s">
        <v>66</v>
      </c>
      <c r="Q200" s="26" t="s">
        <v>50</v>
      </c>
      <c r="R200" s="38">
        <v>46135</v>
      </c>
      <c r="S200" s="38">
        <v>46142</v>
      </c>
      <c r="T200" s="19"/>
      <c r="U200" s="19"/>
      <c r="V200" s="19"/>
      <c r="W200" s="19"/>
      <c r="X200" s="22"/>
      <c r="Y200" s="19"/>
      <c r="Z200" s="19"/>
      <c r="AA200" s="19"/>
      <c r="AB200" s="19"/>
      <c r="AC200" s="19"/>
      <c r="AD200" s="19"/>
      <c r="AE200" s="22"/>
      <c r="AF200" s="19"/>
      <c r="AG200" s="19"/>
      <c r="AH200" s="19"/>
      <c r="AI200" s="19"/>
      <c r="AJ200" s="19"/>
      <c r="AK200" s="19"/>
      <c r="AL200" s="22"/>
      <c r="AM200" s="19"/>
      <c r="AN200" s="19"/>
      <c r="AO200" s="19"/>
      <c r="AP200" s="19">
        <v>1</v>
      </c>
      <c r="AQ200" s="19">
        <v>1</v>
      </c>
      <c r="AR200" s="19">
        <v>1</v>
      </c>
      <c r="AS200" s="22"/>
      <c r="AT200" s="19"/>
      <c r="AU200" s="19"/>
      <c r="AV200" s="19"/>
      <c r="AW200" s="19">
        <v>1</v>
      </c>
      <c r="AX200" s="19">
        <f>SUM(T200:AW200)</f>
        <v>4</v>
      </c>
      <c r="AY200" s="20"/>
      <c r="AZ200" s="19"/>
      <c r="BA200" s="20"/>
      <c r="BB200" s="49"/>
    </row>
    <row r="201" spans="1:54" ht="13.5" customHeight="1" x14ac:dyDescent="0.2">
      <c r="A201" s="104" t="s">
        <v>705</v>
      </c>
      <c r="B201" s="86" t="s">
        <v>280</v>
      </c>
      <c r="C201" s="26">
        <v>37</v>
      </c>
      <c r="D201" s="35" t="s">
        <v>322</v>
      </c>
      <c r="E201" s="26">
        <v>63</v>
      </c>
      <c r="F201" s="26" t="s">
        <v>2149</v>
      </c>
      <c r="G201" s="35" t="s">
        <v>1511</v>
      </c>
      <c r="H201" s="37">
        <v>0.5</v>
      </c>
      <c r="I201" s="37" t="s">
        <v>53</v>
      </c>
      <c r="J201" s="37">
        <v>0.5</v>
      </c>
      <c r="K201" s="37" t="s">
        <v>53</v>
      </c>
      <c r="L201" s="35" t="str">
        <f>VLOOKUP(Tabla411[[#This Row],[BTL CVE]],tblPDV[#All],13,0)</f>
        <v>CARRILLO XOCHIHUA XOCHITL</v>
      </c>
      <c r="M201" s="26" t="s">
        <v>536</v>
      </c>
      <c r="N201" s="26" t="s">
        <v>54</v>
      </c>
      <c r="O201" s="26" t="s">
        <v>66</v>
      </c>
      <c r="P201" s="26" t="s">
        <v>66</v>
      </c>
      <c r="Q201" s="26" t="s">
        <v>50</v>
      </c>
      <c r="R201" s="38">
        <v>46113</v>
      </c>
      <c r="S201" s="38">
        <v>46142</v>
      </c>
      <c r="T201" s="19"/>
      <c r="U201" s="19">
        <v>1</v>
      </c>
      <c r="V201" s="19">
        <v>1</v>
      </c>
      <c r="W201" s="19">
        <v>1</v>
      </c>
      <c r="X201" s="22"/>
      <c r="Y201" s="19"/>
      <c r="Z201" s="19"/>
      <c r="AA201" s="19"/>
      <c r="AB201" s="19">
        <v>1</v>
      </c>
      <c r="AC201" s="19">
        <v>1</v>
      </c>
      <c r="AD201" s="19">
        <v>1</v>
      </c>
      <c r="AE201" s="22"/>
      <c r="AF201" s="19"/>
      <c r="AG201" s="19"/>
      <c r="AH201" s="19"/>
      <c r="AI201" s="19">
        <v>1</v>
      </c>
      <c r="AJ201" s="19">
        <v>1</v>
      </c>
      <c r="AK201" s="19">
        <v>1</v>
      </c>
      <c r="AL201" s="22"/>
      <c r="AM201" s="19"/>
      <c r="AN201" s="19"/>
      <c r="AO201" s="19"/>
      <c r="AP201" s="19">
        <v>1</v>
      </c>
      <c r="AQ201" s="19">
        <v>1</v>
      </c>
      <c r="AR201" s="19">
        <v>1</v>
      </c>
      <c r="AS201" s="22"/>
      <c r="AT201" s="19"/>
      <c r="AU201" s="19"/>
      <c r="AV201" s="19"/>
      <c r="AW201" s="19">
        <v>1</v>
      </c>
      <c r="AX201" s="19">
        <f>SUM(T201:AW201)</f>
        <v>13</v>
      </c>
      <c r="AY201" s="20"/>
      <c r="AZ201" s="19"/>
      <c r="BA201" s="20"/>
      <c r="BB201" s="49"/>
    </row>
    <row r="202" spans="1:54" ht="13.5" customHeight="1" x14ac:dyDescent="0.2">
      <c r="A202" s="104" t="s">
        <v>704</v>
      </c>
      <c r="B202" s="86" t="s">
        <v>280</v>
      </c>
      <c r="C202" s="26">
        <v>22</v>
      </c>
      <c r="D202" s="35" t="s">
        <v>321</v>
      </c>
      <c r="E202" s="26">
        <v>63</v>
      </c>
      <c r="F202" s="26" t="s">
        <v>2149</v>
      </c>
      <c r="G202" s="35" t="s">
        <v>1511</v>
      </c>
      <c r="H202" s="37">
        <v>0.5</v>
      </c>
      <c r="I202" s="37" t="s">
        <v>53</v>
      </c>
      <c r="J202" s="37">
        <v>0.5</v>
      </c>
      <c r="K202" s="37" t="s">
        <v>53</v>
      </c>
      <c r="L202" s="35" t="str">
        <f>VLOOKUP(Tabla411[[#This Row],[BTL CVE]],tblPDV[#All],13,0)</f>
        <v>CARRILLO XOCHIHUA XOCHITL</v>
      </c>
      <c r="M202" s="26" t="s">
        <v>536</v>
      </c>
      <c r="N202" s="26" t="s">
        <v>54</v>
      </c>
      <c r="O202" s="26" t="s">
        <v>55</v>
      </c>
      <c r="P202" s="26" t="s">
        <v>55</v>
      </c>
      <c r="Q202" s="26" t="s">
        <v>50</v>
      </c>
      <c r="R202" s="38">
        <v>46113</v>
      </c>
      <c r="S202" s="38">
        <v>46142</v>
      </c>
      <c r="T202" s="19">
        <v>1</v>
      </c>
      <c r="U202" s="19"/>
      <c r="V202" s="19"/>
      <c r="W202" s="19"/>
      <c r="X202" s="22"/>
      <c r="Y202" s="19">
        <v>1</v>
      </c>
      <c r="Z202" s="19">
        <v>1</v>
      </c>
      <c r="AA202" s="19">
        <v>1</v>
      </c>
      <c r="AB202" s="19"/>
      <c r="AC202" s="19"/>
      <c r="AD202" s="19"/>
      <c r="AE202" s="22"/>
      <c r="AF202" s="19">
        <v>1</v>
      </c>
      <c r="AG202" s="19">
        <v>1</v>
      </c>
      <c r="AH202" s="19">
        <v>1</v>
      </c>
      <c r="AI202" s="19"/>
      <c r="AJ202" s="19"/>
      <c r="AK202" s="19"/>
      <c r="AL202" s="22"/>
      <c r="AM202" s="19">
        <v>1</v>
      </c>
      <c r="AN202" s="19">
        <v>1</v>
      </c>
      <c r="AO202" s="19">
        <v>1</v>
      </c>
      <c r="AP202" s="19"/>
      <c r="AQ202" s="19"/>
      <c r="AR202" s="19"/>
      <c r="AS202" s="22"/>
      <c r="AT202" s="19">
        <v>1</v>
      </c>
      <c r="AU202" s="19">
        <v>1</v>
      </c>
      <c r="AV202" s="19">
        <v>1</v>
      </c>
      <c r="AW202" s="19"/>
      <c r="AX202" s="19">
        <f>SUM(T202:AW202)</f>
        <v>13</v>
      </c>
      <c r="AY202" s="20"/>
      <c r="AZ202" s="19"/>
      <c r="BA202" s="20"/>
      <c r="BB202" s="49"/>
    </row>
    <row r="203" spans="1:54" ht="13.5" customHeight="1" x14ac:dyDescent="0.2">
      <c r="A203" s="104" t="s">
        <v>709</v>
      </c>
      <c r="B203" s="86" t="s">
        <v>280</v>
      </c>
      <c r="C203" s="26">
        <v>35</v>
      </c>
      <c r="D203" s="35" t="s">
        <v>327</v>
      </c>
      <c r="E203" s="26">
        <v>429</v>
      </c>
      <c r="F203" s="26" t="s">
        <v>2283</v>
      </c>
      <c r="G203" s="35" t="s">
        <v>326</v>
      </c>
      <c r="H203" s="37">
        <v>0.5</v>
      </c>
      <c r="I203" s="37" t="s">
        <v>53</v>
      </c>
      <c r="J203" s="37">
        <v>0.5</v>
      </c>
      <c r="K203" s="37" t="s">
        <v>53</v>
      </c>
      <c r="L203" s="35" t="str">
        <f>VLOOKUP(Tabla411[[#This Row],[BTL CVE]],tblPDV[#All],13,0)</f>
        <v xml:space="preserve">CHAVEZ RAMOS  JONATAN RAYMUNDO </v>
      </c>
      <c r="M203" s="26" t="s">
        <v>536</v>
      </c>
      <c r="N203" s="26" t="s">
        <v>54</v>
      </c>
      <c r="O203" s="26" t="s">
        <v>66</v>
      </c>
      <c r="P203" s="26" t="s">
        <v>66</v>
      </c>
      <c r="Q203" s="26" t="s">
        <v>50</v>
      </c>
      <c r="R203" s="38">
        <v>46135</v>
      </c>
      <c r="S203" s="38">
        <v>46142</v>
      </c>
      <c r="T203" s="19"/>
      <c r="U203" s="19"/>
      <c r="V203" s="19"/>
      <c r="W203" s="19"/>
      <c r="X203" s="22"/>
      <c r="Y203" s="19"/>
      <c r="Z203" s="19"/>
      <c r="AA203" s="19"/>
      <c r="AB203" s="19"/>
      <c r="AC203" s="19"/>
      <c r="AD203" s="19"/>
      <c r="AE203" s="22"/>
      <c r="AF203" s="19"/>
      <c r="AG203" s="19"/>
      <c r="AH203" s="19"/>
      <c r="AI203" s="19"/>
      <c r="AJ203" s="19"/>
      <c r="AK203" s="19"/>
      <c r="AL203" s="22"/>
      <c r="AM203" s="19"/>
      <c r="AN203" s="19"/>
      <c r="AO203" s="19"/>
      <c r="AP203" s="19">
        <v>1</v>
      </c>
      <c r="AQ203" s="19">
        <v>1</v>
      </c>
      <c r="AR203" s="19">
        <v>1</v>
      </c>
      <c r="AS203" s="22"/>
      <c r="AT203" s="19"/>
      <c r="AU203" s="19"/>
      <c r="AV203" s="19"/>
      <c r="AW203" s="19">
        <v>1</v>
      </c>
      <c r="AX203" s="19">
        <f>SUM(T203:AW203)</f>
        <v>4</v>
      </c>
      <c r="AY203" s="20"/>
      <c r="AZ203" s="19"/>
      <c r="BA203" s="20"/>
      <c r="BB203" s="49"/>
    </row>
    <row r="204" spans="1:54" ht="13.5" customHeight="1" x14ac:dyDescent="0.2">
      <c r="A204" s="119" t="s">
        <v>708</v>
      </c>
      <c r="B204" s="110" t="s">
        <v>280</v>
      </c>
      <c r="C204" s="44">
        <v>54</v>
      </c>
      <c r="D204" s="35" t="s">
        <v>325</v>
      </c>
      <c r="E204" s="26">
        <v>429</v>
      </c>
      <c r="F204" s="26" t="s">
        <v>2283</v>
      </c>
      <c r="G204" s="35" t="s">
        <v>326</v>
      </c>
      <c r="H204" s="37">
        <v>0.5</v>
      </c>
      <c r="I204" s="37" t="s">
        <v>53</v>
      </c>
      <c r="J204" s="37">
        <v>0.5</v>
      </c>
      <c r="K204" s="37" t="s">
        <v>53</v>
      </c>
      <c r="L204" s="35" t="str">
        <f>VLOOKUP(Tabla411[[#This Row],[BTL CVE]],tblPDV[#All],13,0)</f>
        <v xml:space="preserve">CHAVEZ RAMOS  JONATAN RAYMUNDO </v>
      </c>
      <c r="M204" s="26" t="s">
        <v>536</v>
      </c>
      <c r="N204" s="26" t="s">
        <v>54</v>
      </c>
      <c r="O204" s="26" t="s">
        <v>55</v>
      </c>
      <c r="P204" s="26" t="s">
        <v>55</v>
      </c>
      <c r="Q204" s="26" t="s">
        <v>50</v>
      </c>
      <c r="R204" s="38">
        <v>46113</v>
      </c>
      <c r="S204" s="38">
        <v>46142</v>
      </c>
      <c r="T204" s="19">
        <v>1</v>
      </c>
      <c r="U204" s="19">
        <v>1</v>
      </c>
      <c r="V204" s="19">
        <v>1</v>
      </c>
      <c r="W204" s="19">
        <v>1</v>
      </c>
      <c r="X204" s="22"/>
      <c r="Y204" s="19">
        <v>1</v>
      </c>
      <c r="Z204" s="19">
        <v>1</v>
      </c>
      <c r="AA204" s="19">
        <v>1</v>
      </c>
      <c r="AB204" s="19">
        <v>1</v>
      </c>
      <c r="AC204" s="19">
        <v>1</v>
      </c>
      <c r="AD204" s="19">
        <v>1</v>
      </c>
      <c r="AE204" s="22"/>
      <c r="AF204" s="19">
        <v>1</v>
      </c>
      <c r="AG204" s="19">
        <v>1</v>
      </c>
      <c r="AH204" s="19">
        <v>1</v>
      </c>
      <c r="AI204" s="19">
        <v>1</v>
      </c>
      <c r="AJ204" s="19">
        <v>1</v>
      </c>
      <c r="AK204" s="19">
        <v>1</v>
      </c>
      <c r="AL204" s="22"/>
      <c r="AM204" s="19">
        <v>1</v>
      </c>
      <c r="AN204" s="19">
        <v>1</v>
      </c>
      <c r="AO204" s="19">
        <v>1</v>
      </c>
      <c r="AP204" s="19"/>
      <c r="AQ204" s="19"/>
      <c r="AR204" s="19"/>
      <c r="AS204" s="22"/>
      <c r="AT204" s="19">
        <v>1</v>
      </c>
      <c r="AU204" s="19">
        <v>1</v>
      </c>
      <c r="AV204" s="19">
        <v>1</v>
      </c>
      <c r="AW204" s="19"/>
      <c r="AX204" s="19">
        <f>SUM(T204:AW204)</f>
        <v>22</v>
      </c>
      <c r="AY204" s="20"/>
      <c r="AZ204" s="19"/>
      <c r="BA204" s="20"/>
      <c r="BB204" s="49" t="s">
        <v>2103</v>
      </c>
    </row>
    <row r="205" spans="1:54" ht="13.5" customHeight="1" x14ac:dyDescent="0.2">
      <c r="A205" s="104" t="s">
        <v>711</v>
      </c>
      <c r="B205" s="86" t="s">
        <v>280</v>
      </c>
      <c r="C205" s="26">
        <v>178</v>
      </c>
      <c r="D205" s="35" t="s">
        <v>329</v>
      </c>
      <c r="E205" s="26">
        <v>499</v>
      </c>
      <c r="F205" s="26" t="s">
        <v>2313</v>
      </c>
      <c r="G205" s="35" t="s">
        <v>330</v>
      </c>
      <c r="H205" s="37">
        <v>0.5</v>
      </c>
      <c r="I205" s="37" t="s">
        <v>53</v>
      </c>
      <c r="J205" s="109">
        <v>0.33333333333333298</v>
      </c>
      <c r="K205" s="37" t="s">
        <v>53</v>
      </c>
      <c r="L205" s="35" t="str">
        <f>VLOOKUP(Tabla411[[#This Row],[BTL CVE]],tblPDV[#All],13,0)</f>
        <v xml:space="preserve">GUTIERREZ ROMERO MARUJA BETTY </v>
      </c>
      <c r="M205" s="26" t="s">
        <v>502</v>
      </c>
      <c r="N205" s="26" t="s">
        <v>54</v>
      </c>
      <c r="O205" s="26" t="s">
        <v>55</v>
      </c>
      <c r="P205" s="26" t="s">
        <v>55</v>
      </c>
      <c r="Q205" s="26" t="s">
        <v>50</v>
      </c>
      <c r="R205" s="38">
        <v>46135</v>
      </c>
      <c r="S205" s="38">
        <v>46142</v>
      </c>
      <c r="T205" s="19"/>
      <c r="U205" s="19"/>
      <c r="V205" s="19"/>
      <c r="W205" s="19"/>
      <c r="X205" s="22"/>
      <c r="Y205" s="19"/>
      <c r="Z205" s="19"/>
      <c r="AA205" s="19"/>
      <c r="AB205" s="19"/>
      <c r="AC205" s="19"/>
      <c r="AD205" s="19"/>
      <c r="AE205" s="22"/>
      <c r="AF205" s="19"/>
      <c r="AG205" s="19"/>
      <c r="AH205" s="19"/>
      <c r="AI205" s="19"/>
      <c r="AJ205" s="19"/>
      <c r="AK205" s="19"/>
      <c r="AL205" s="22"/>
      <c r="AM205" s="19"/>
      <c r="AN205" s="19"/>
      <c r="AO205" s="19"/>
      <c r="AP205" s="19"/>
      <c r="AQ205" s="19"/>
      <c r="AR205" s="19"/>
      <c r="AS205" s="22"/>
      <c r="AT205" s="19">
        <v>1</v>
      </c>
      <c r="AU205" s="19">
        <v>1</v>
      </c>
      <c r="AV205" s="19">
        <v>1</v>
      </c>
      <c r="AW205" s="19"/>
      <c r="AX205" s="19">
        <f>SUM(T205:AW205)</f>
        <v>3</v>
      </c>
      <c r="AY205" s="20"/>
      <c r="AZ205" s="19"/>
      <c r="BA205" s="20"/>
      <c r="BB205" s="49"/>
    </row>
    <row r="206" spans="1:54" ht="13.5" customHeight="1" x14ac:dyDescent="0.2">
      <c r="A206" s="104" t="s">
        <v>712</v>
      </c>
      <c r="B206" s="86" t="s">
        <v>280</v>
      </c>
      <c r="C206" s="26">
        <v>192</v>
      </c>
      <c r="D206" s="35" t="s">
        <v>331</v>
      </c>
      <c r="E206" s="26">
        <v>499</v>
      </c>
      <c r="F206" s="26" t="s">
        <v>2313</v>
      </c>
      <c r="G206" s="35" t="s">
        <v>330</v>
      </c>
      <c r="H206" s="37">
        <v>0.5</v>
      </c>
      <c r="I206" s="37" t="s">
        <v>53</v>
      </c>
      <c r="J206" s="109">
        <v>0.33333333333333298</v>
      </c>
      <c r="K206" s="37" t="s">
        <v>53</v>
      </c>
      <c r="L206" s="35" t="str">
        <f>VLOOKUP(Tabla411[[#This Row],[BTL CVE]],tblPDV[#All],13,0)</f>
        <v xml:space="preserve">GUTIERREZ ROMERO MARUJA BETTY </v>
      </c>
      <c r="M206" s="26" t="s">
        <v>502</v>
      </c>
      <c r="N206" s="26" t="s">
        <v>54</v>
      </c>
      <c r="O206" s="26" t="s">
        <v>66</v>
      </c>
      <c r="P206" s="26" t="s">
        <v>66</v>
      </c>
      <c r="Q206" s="26" t="s">
        <v>50</v>
      </c>
      <c r="R206" s="38">
        <v>46135</v>
      </c>
      <c r="S206" s="38">
        <v>46142</v>
      </c>
      <c r="T206" s="19"/>
      <c r="U206" s="19"/>
      <c r="V206" s="19"/>
      <c r="W206" s="19"/>
      <c r="X206" s="22"/>
      <c r="Y206" s="19"/>
      <c r="Z206" s="19"/>
      <c r="AA206" s="19"/>
      <c r="AB206" s="19"/>
      <c r="AC206" s="19"/>
      <c r="AD206" s="19"/>
      <c r="AE206" s="22"/>
      <c r="AF206" s="19"/>
      <c r="AG206" s="19"/>
      <c r="AH206" s="19"/>
      <c r="AI206" s="19"/>
      <c r="AJ206" s="19"/>
      <c r="AK206" s="19"/>
      <c r="AL206" s="22"/>
      <c r="AM206" s="19"/>
      <c r="AN206" s="19"/>
      <c r="AO206" s="19"/>
      <c r="AP206" s="19">
        <v>1</v>
      </c>
      <c r="AQ206" s="19">
        <v>1</v>
      </c>
      <c r="AR206" s="19">
        <v>1</v>
      </c>
      <c r="AS206" s="22"/>
      <c r="AT206" s="19"/>
      <c r="AU206" s="19"/>
      <c r="AV206" s="19"/>
      <c r="AW206" s="19">
        <v>1</v>
      </c>
      <c r="AX206" s="19">
        <f>SUM(T206:AW206)</f>
        <v>4</v>
      </c>
      <c r="AY206" s="20"/>
      <c r="AZ206" s="19"/>
      <c r="BA206" s="20"/>
      <c r="BB206" s="50"/>
    </row>
    <row r="207" spans="1:54" ht="13.5" customHeight="1" x14ac:dyDescent="0.2">
      <c r="A207" s="104" t="s">
        <v>677</v>
      </c>
      <c r="B207" s="86" t="s">
        <v>280</v>
      </c>
      <c r="C207" s="26">
        <v>129</v>
      </c>
      <c r="D207" s="35" t="s">
        <v>291</v>
      </c>
      <c r="E207" s="26">
        <v>202</v>
      </c>
      <c r="F207" s="26" t="s">
        <v>2214</v>
      </c>
      <c r="G207" s="35" t="s">
        <v>2023</v>
      </c>
      <c r="H207" s="37">
        <v>0.5</v>
      </c>
      <c r="I207" s="37" t="s">
        <v>53</v>
      </c>
      <c r="J207" s="109">
        <v>0.33333333333333298</v>
      </c>
      <c r="K207" s="37" t="s">
        <v>53</v>
      </c>
      <c r="L207" s="35" t="str">
        <f>VLOOKUP(Tabla411[[#This Row],[BTL CVE]],tblPDV[#All],13,0)</f>
        <v>CARRILLO XOCHIHUA XOCHITL</v>
      </c>
      <c r="M207" s="26" t="s">
        <v>536</v>
      </c>
      <c r="N207" s="26" t="s">
        <v>54</v>
      </c>
      <c r="O207" s="26" t="s">
        <v>66</v>
      </c>
      <c r="P207" s="26" t="s">
        <v>66</v>
      </c>
      <c r="Q207" s="26" t="s">
        <v>50</v>
      </c>
      <c r="R207" s="93">
        <v>46135</v>
      </c>
      <c r="S207" s="38">
        <v>46142</v>
      </c>
      <c r="T207" s="19"/>
      <c r="U207" s="19"/>
      <c r="V207" s="19"/>
      <c r="W207" s="19"/>
      <c r="X207" s="22"/>
      <c r="Y207" s="19"/>
      <c r="Z207" s="19"/>
      <c r="AA207" s="19"/>
      <c r="AB207" s="19"/>
      <c r="AC207" s="19"/>
      <c r="AD207" s="19"/>
      <c r="AE207" s="22"/>
      <c r="AF207" s="19"/>
      <c r="AG207" s="19"/>
      <c r="AH207" s="19"/>
      <c r="AI207" s="19"/>
      <c r="AJ207" s="19"/>
      <c r="AK207" s="19"/>
      <c r="AL207" s="22"/>
      <c r="AM207" s="19"/>
      <c r="AN207" s="19"/>
      <c r="AO207" s="19"/>
      <c r="AP207" s="19">
        <v>1</v>
      </c>
      <c r="AQ207" s="19">
        <v>1</v>
      </c>
      <c r="AR207" s="19">
        <v>1</v>
      </c>
      <c r="AS207" s="22"/>
      <c r="AT207" s="19"/>
      <c r="AU207" s="19"/>
      <c r="AV207" s="19"/>
      <c r="AW207" s="19">
        <v>1</v>
      </c>
      <c r="AX207" s="19">
        <f>SUM(T207:AW207)</f>
        <v>4</v>
      </c>
      <c r="AY207" s="20"/>
      <c r="AZ207" s="19"/>
      <c r="BA207" s="20"/>
      <c r="BB207" s="49"/>
    </row>
    <row r="208" spans="1:54" ht="13.5" customHeight="1" x14ac:dyDescent="0.2">
      <c r="A208" s="104" t="s">
        <v>678</v>
      </c>
      <c r="B208" s="86" t="s">
        <v>280</v>
      </c>
      <c r="C208" s="26">
        <v>90</v>
      </c>
      <c r="D208" s="35" t="s">
        <v>292</v>
      </c>
      <c r="E208" s="26">
        <v>449</v>
      </c>
      <c r="F208" s="26" t="s">
        <v>2290</v>
      </c>
      <c r="G208" s="35" t="s">
        <v>2023</v>
      </c>
      <c r="H208" s="37">
        <v>0.5</v>
      </c>
      <c r="I208" s="37" t="s">
        <v>53</v>
      </c>
      <c r="J208" s="109">
        <v>0.33333333333333298</v>
      </c>
      <c r="K208" s="37" t="s">
        <v>53</v>
      </c>
      <c r="L208" s="35" t="str">
        <f>VLOOKUP(Tabla411[[#This Row],[BTL CVE]],tblPDV[#All],13,0)</f>
        <v>CARRILLO XOCHIHUA XOCHITL</v>
      </c>
      <c r="M208" s="26" t="s">
        <v>536</v>
      </c>
      <c r="N208" s="26" t="s">
        <v>54</v>
      </c>
      <c r="O208" s="26" t="s">
        <v>55</v>
      </c>
      <c r="P208" s="26" t="s">
        <v>55</v>
      </c>
      <c r="Q208" s="26" t="s">
        <v>50</v>
      </c>
      <c r="R208" s="93">
        <v>46135</v>
      </c>
      <c r="S208" s="38">
        <v>46142</v>
      </c>
      <c r="T208" s="19"/>
      <c r="U208" s="19"/>
      <c r="V208" s="19"/>
      <c r="W208" s="19"/>
      <c r="X208" s="22"/>
      <c r="Y208" s="19"/>
      <c r="Z208" s="19"/>
      <c r="AA208" s="19"/>
      <c r="AB208" s="19"/>
      <c r="AC208" s="19"/>
      <c r="AD208" s="19"/>
      <c r="AE208" s="22"/>
      <c r="AF208" s="19"/>
      <c r="AG208" s="19"/>
      <c r="AH208" s="19"/>
      <c r="AI208" s="19"/>
      <c r="AJ208" s="19"/>
      <c r="AK208" s="19"/>
      <c r="AL208" s="22"/>
      <c r="AM208" s="19"/>
      <c r="AN208" s="19"/>
      <c r="AO208" s="19"/>
      <c r="AP208" s="19"/>
      <c r="AQ208" s="19"/>
      <c r="AR208" s="19"/>
      <c r="AS208" s="22"/>
      <c r="AT208" s="19">
        <v>1</v>
      </c>
      <c r="AU208" s="19">
        <v>1</v>
      </c>
      <c r="AV208" s="19">
        <v>1</v>
      </c>
      <c r="AW208" s="19"/>
      <c r="AX208" s="19">
        <f>SUM(T208:AW208)</f>
        <v>3</v>
      </c>
      <c r="AY208" s="20"/>
      <c r="AZ208" s="19"/>
      <c r="BA208" s="20"/>
      <c r="BB208" s="49"/>
    </row>
    <row r="209" spans="1:54" ht="13.5" customHeight="1" x14ac:dyDescent="0.2">
      <c r="A209" s="104" t="s">
        <v>721</v>
      </c>
      <c r="B209" s="105" t="s">
        <v>280</v>
      </c>
      <c r="C209" s="26">
        <v>117</v>
      </c>
      <c r="D209" s="35" t="s">
        <v>341</v>
      </c>
      <c r="E209" s="26">
        <v>184</v>
      </c>
      <c r="F209" s="26" t="s">
        <v>2207</v>
      </c>
      <c r="G209" s="35" t="s">
        <v>2050</v>
      </c>
      <c r="H209" s="37">
        <v>0.5</v>
      </c>
      <c r="I209" s="37" t="s">
        <v>53</v>
      </c>
      <c r="J209" s="37">
        <v>0.5</v>
      </c>
      <c r="K209" s="37" t="s">
        <v>53</v>
      </c>
      <c r="L209" s="35" t="str">
        <f>VLOOKUP(Tabla411[[#This Row],[BTL CVE]],tblPDV[#All],13,0)</f>
        <v xml:space="preserve">REYES AYBAR LILIANA </v>
      </c>
      <c r="M209" s="26" t="s">
        <v>536</v>
      </c>
      <c r="N209" s="26" t="s">
        <v>54</v>
      </c>
      <c r="O209" s="26" t="s">
        <v>55</v>
      </c>
      <c r="P209" s="26" t="s">
        <v>55</v>
      </c>
      <c r="Q209" s="26" t="s">
        <v>50</v>
      </c>
      <c r="R209" s="38">
        <v>46113</v>
      </c>
      <c r="S209" s="38">
        <v>46134</v>
      </c>
      <c r="T209" s="19">
        <v>1</v>
      </c>
      <c r="U209" s="19"/>
      <c r="V209" s="19"/>
      <c r="W209" s="19"/>
      <c r="X209" s="22"/>
      <c r="Y209" s="19">
        <v>1</v>
      </c>
      <c r="Z209" s="19">
        <v>1</v>
      </c>
      <c r="AA209" s="19">
        <v>1</v>
      </c>
      <c r="AB209" s="19"/>
      <c r="AC209" s="19"/>
      <c r="AD209" s="19"/>
      <c r="AE209" s="22"/>
      <c r="AF209" s="19">
        <v>1</v>
      </c>
      <c r="AG209" s="19">
        <v>1</v>
      </c>
      <c r="AH209" s="19">
        <v>1</v>
      </c>
      <c r="AI209" s="19"/>
      <c r="AJ209" s="19"/>
      <c r="AK209" s="19"/>
      <c r="AL209" s="22"/>
      <c r="AM209" s="19">
        <v>1</v>
      </c>
      <c r="AN209" s="19">
        <v>1</v>
      </c>
      <c r="AO209" s="19">
        <v>1</v>
      </c>
      <c r="AP209" s="19"/>
      <c r="AQ209" s="19"/>
      <c r="AR209" s="19"/>
      <c r="AS209" s="22"/>
      <c r="AT209" s="19"/>
      <c r="AU209" s="19"/>
      <c r="AV209" s="19"/>
      <c r="AW209" s="19"/>
      <c r="AX209" s="19">
        <f>SUM(T209:AW209)</f>
        <v>10</v>
      </c>
      <c r="AY209" s="20"/>
      <c r="AZ209" s="19"/>
      <c r="BA209" s="20"/>
      <c r="BB209" s="49"/>
    </row>
    <row r="210" spans="1:54" ht="13.5" customHeight="1" x14ac:dyDescent="0.2">
      <c r="A210" s="122" t="s">
        <v>722</v>
      </c>
      <c r="B210" s="115" t="s">
        <v>280</v>
      </c>
      <c r="C210" s="26">
        <v>103</v>
      </c>
      <c r="D210" s="66" t="s">
        <v>96</v>
      </c>
      <c r="E210" s="26">
        <v>184</v>
      </c>
      <c r="F210" s="26" t="s">
        <v>2207</v>
      </c>
      <c r="G210" s="35" t="s">
        <v>2050</v>
      </c>
      <c r="H210" s="37">
        <v>0.5</v>
      </c>
      <c r="I210" s="37" t="s">
        <v>53</v>
      </c>
      <c r="J210" s="37">
        <v>0.5</v>
      </c>
      <c r="K210" s="37" t="s">
        <v>53</v>
      </c>
      <c r="L210" s="35" t="str">
        <f>VLOOKUP(Tabla411[[#This Row],[BTL CVE]],tblPDV[#All],13,0)</f>
        <v xml:space="preserve">REYES AYBAR LILIANA </v>
      </c>
      <c r="M210" s="26" t="s">
        <v>536</v>
      </c>
      <c r="N210" s="26" t="s">
        <v>54</v>
      </c>
      <c r="O210" s="26" t="s">
        <v>66</v>
      </c>
      <c r="P210" s="26" t="s">
        <v>49</v>
      </c>
      <c r="Q210" s="26" t="s">
        <v>50</v>
      </c>
      <c r="R210" s="38">
        <v>46113</v>
      </c>
      <c r="S210" s="38">
        <v>46142</v>
      </c>
      <c r="T210" s="19"/>
      <c r="U210" s="19">
        <v>1</v>
      </c>
      <c r="V210" s="19">
        <v>1</v>
      </c>
      <c r="W210" s="19">
        <v>1</v>
      </c>
      <c r="X210" s="22"/>
      <c r="Y210" s="19"/>
      <c r="Z210" s="19"/>
      <c r="AA210" s="19"/>
      <c r="AB210" s="19">
        <v>1</v>
      </c>
      <c r="AC210" s="19">
        <v>1</v>
      </c>
      <c r="AD210" s="19">
        <v>1</v>
      </c>
      <c r="AE210" s="22"/>
      <c r="AF210" s="19"/>
      <c r="AG210" s="19"/>
      <c r="AH210" s="19"/>
      <c r="AI210" s="19">
        <v>1</v>
      </c>
      <c r="AJ210" s="19">
        <v>1</v>
      </c>
      <c r="AK210" s="19">
        <v>1</v>
      </c>
      <c r="AL210" s="22"/>
      <c r="AM210" s="19"/>
      <c r="AN210" s="19"/>
      <c r="AO210" s="19"/>
      <c r="AP210" s="19">
        <v>1</v>
      </c>
      <c r="AQ210" s="19">
        <v>1</v>
      </c>
      <c r="AR210" s="19">
        <v>1</v>
      </c>
      <c r="AS210" s="22"/>
      <c r="AT210" s="19">
        <v>1</v>
      </c>
      <c r="AU210" s="19">
        <v>1</v>
      </c>
      <c r="AV210" s="19">
        <v>1</v>
      </c>
      <c r="AW210" s="19">
        <v>1</v>
      </c>
      <c r="AX210" s="19">
        <f>SUM(T210:AW210)</f>
        <v>16</v>
      </c>
      <c r="AY210" s="20"/>
      <c r="AZ210" s="19"/>
      <c r="BA210" s="20"/>
      <c r="BB210" s="49" t="s">
        <v>2358</v>
      </c>
    </row>
    <row r="211" spans="1:54" ht="13.5" customHeight="1" x14ac:dyDescent="0.2">
      <c r="A211" s="104" t="s">
        <v>738</v>
      </c>
      <c r="B211" s="86" t="s">
        <v>280</v>
      </c>
      <c r="C211" s="26">
        <v>144</v>
      </c>
      <c r="D211" s="35" t="s">
        <v>353</v>
      </c>
      <c r="E211" s="26">
        <v>278</v>
      </c>
      <c r="F211" s="26" t="s">
        <v>2237</v>
      </c>
      <c r="G211" s="35" t="s">
        <v>1544</v>
      </c>
      <c r="H211" s="37">
        <v>0.5</v>
      </c>
      <c r="I211" s="37" t="s">
        <v>53</v>
      </c>
      <c r="J211" s="37">
        <v>0.5</v>
      </c>
      <c r="K211" s="37" t="s">
        <v>53</v>
      </c>
      <c r="L211" s="35" t="str">
        <f>VLOOKUP(Tabla411[[#This Row],[BTL CVE]],tblPDV[#All],13,0)</f>
        <v>LOPEZ RUIZ JACQUELINE</v>
      </c>
      <c r="M211" s="26" t="s">
        <v>536</v>
      </c>
      <c r="N211" s="26" t="s">
        <v>54</v>
      </c>
      <c r="O211" s="26" t="s">
        <v>55</v>
      </c>
      <c r="P211" s="26" t="s">
        <v>55</v>
      </c>
      <c r="Q211" s="26" t="s">
        <v>50</v>
      </c>
      <c r="R211" s="38">
        <v>46113</v>
      </c>
      <c r="S211" s="38">
        <v>46142</v>
      </c>
      <c r="T211" s="19">
        <v>1</v>
      </c>
      <c r="U211" s="19"/>
      <c r="V211" s="19"/>
      <c r="W211" s="19"/>
      <c r="X211" s="22"/>
      <c r="Y211" s="19">
        <v>1</v>
      </c>
      <c r="Z211" s="19">
        <v>1</v>
      </c>
      <c r="AA211" s="19">
        <v>1</v>
      </c>
      <c r="AB211" s="19"/>
      <c r="AC211" s="19"/>
      <c r="AD211" s="19"/>
      <c r="AE211" s="22"/>
      <c r="AF211" s="19">
        <v>1</v>
      </c>
      <c r="AG211" s="19">
        <v>1</v>
      </c>
      <c r="AH211" s="19">
        <v>1</v>
      </c>
      <c r="AI211" s="19"/>
      <c r="AJ211" s="19"/>
      <c r="AK211" s="19"/>
      <c r="AL211" s="22"/>
      <c r="AM211" s="19">
        <v>1</v>
      </c>
      <c r="AN211" s="19">
        <v>1</v>
      </c>
      <c r="AO211" s="19">
        <v>1</v>
      </c>
      <c r="AP211" s="19"/>
      <c r="AQ211" s="19"/>
      <c r="AR211" s="19"/>
      <c r="AS211" s="22"/>
      <c r="AT211" s="19">
        <v>1</v>
      </c>
      <c r="AU211" s="19">
        <v>1</v>
      </c>
      <c r="AV211" s="19">
        <v>1</v>
      </c>
      <c r="AW211" s="19"/>
      <c r="AX211" s="19">
        <f>SUM(T211:AW211)</f>
        <v>13</v>
      </c>
      <c r="AY211" s="20"/>
      <c r="AZ211" s="19"/>
      <c r="BA211" s="20"/>
      <c r="BB211" s="49"/>
    </row>
    <row r="212" spans="1:54" ht="13.5" customHeight="1" x14ac:dyDescent="0.2">
      <c r="A212" s="104" t="s">
        <v>739</v>
      </c>
      <c r="B212" s="86" t="s">
        <v>280</v>
      </c>
      <c r="C212" s="26">
        <v>119</v>
      </c>
      <c r="D212" s="35" t="s">
        <v>354</v>
      </c>
      <c r="E212" s="26">
        <v>278</v>
      </c>
      <c r="F212" s="26" t="s">
        <v>2237</v>
      </c>
      <c r="G212" s="35" t="s">
        <v>1544</v>
      </c>
      <c r="H212" s="37">
        <v>0.5</v>
      </c>
      <c r="I212" s="37" t="s">
        <v>53</v>
      </c>
      <c r="J212" s="37">
        <v>0.5</v>
      </c>
      <c r="K212" s="37" t="s">
        <v>53</v>
      </c>
      <c r="L212" s="35" t="str">
        <f>VLOOKUP(Tabla411[[#This Row],[BTL CVE]],tblPDV[#All],13,0)</f>
        <v>LOPEZ RUIZ JACQUELINE</v>
      </c>
      <c r="M212" s="26" t="s">
        <v>536</v>
      </c>
      <c r="N212" s="26" t="s">
        <v>54</v>
      </c>
      <c r="O212" s="26" t="s">
        <v>66</v>
      </c>
      <c r="P212" s="26" t="s">
        <v>66</v>
      </c>
      <c r="Q212" s="26" t="s">
        <v>50</v>
      </c>
      <c r="R212" s="38">
        <v>46113</v>
      </c>
      <c r="S212" s="38">
        <v>46142</v>
      </c>
      <c r="T212" s="19"/>
      <c r="U212" s="19">
        <v>1</v>
      </c>
      <c r="V212" s="19">
        <v>1</v>
      </c>
      <c r="W212" s="19">
        <v>1</v>
      </c>
      <c r="X212" s="22"/>
      <c r="Y212" s="19"/>
      <c r="Z212" s="19"/>
      <c r="AA212" s="19"/>
      <c r="AB212" s="19">
        <v>1</v>
      </c>
      <c r="AC212" s="19">
        <v>1</v>
      </c>
      <c r="AD212" s="19">
        <v>1</v>
      </c>
      <c r="AE212" s="22"/>
      <c r="AF212" s="19"/>
      <c r="AG212" s="19"/>
      <c r="AH212" s="19"/>
      <c r="AI212" s="19">
        <v>1</v>
      </c>
      <c r="AJ212" s="19">
        <v>1</v>
      </c>
      <c r="AK212" s="19">
        <v>1</v>
      </c>
      <c r="AL212" s="22"/>
      <c r="AM212" s="19"/>
      <c r="AN212" s="19"/>
      <c r="AO212" s="19"/>
      <c r="AP212" s="19">
        <v>1</v>
      </c>
      <c r="AQ212" s="19">
        <v>1</v>
      </c>
      <c r="AR212" s="19">
        <v>1</v>
      </c>
      <c r="AS212" s="22"/>
      <c r="AT212" s="19"/>
      <c r="AU212" s="19"/>
      <c r="AV212" s="19"/>
      <c r="AW212" s="19">
        <v>1</v>
      </c>
      <c r="AX212" s="19">
        <f>SUM(T212:AW212)</f>
        <v>13</v>
      </c>
      <c r="AY212" s="20"/>
      <c r="AZ212" s="19"/>
      <c r="BA212" s="20"/>
      <c r="BB212" s="49"/>
    </row>
    <row r="213" spans="1:54" ht="13.5" customHeight="1" x14ac:dyDescent="0.2">
      <c r="A213" s="104" t="s">
        <v>733</v>
      </c>
      <c r="B213" s="86" t="s">
        <v>280</v>
      </c>
      <c r="C213" s="26">
        <v>87</v>
      </c>
      <c r="D213" s="35" t="s">
        <v>356</v>
      </c>
      <c r="E213" s="26">
        <v>215</v>
      </c>
      <c r="F213" s="26" t="s">
        <v>2218</v>
      </c>
      <c r="G213" s="35" t="s">
        <v>2053</v>
      </c>
      <c r="H213" s="37">
        <v>0.5</v>
      </c>
      <c r="I213" s="37" t="s">
        <v>53</v>
      </c>
      <c r="J213" s="37">
        <v>0.5</v>
      </c>
      <c r="K213" s="37" t="s">
        <v>53</v>
      </c>
      <c r="L213" s="35" t="str">
        <f>VLOOKUP(Tabla411[[#This Row],[BTL CVE]],tblPDV[#All],13,0)</f>
        <v xml:space="preserve">REYES AYBAR LILIANA </v>
      </c>
      <c r="M213" s="26" t="s">
        <v>536</v>
      </c>
      <c r="N213" s="26" t="s">
        <v>54</v>
      </c>
      <c r="O213" s="26" t="s">
        <v>55</v>
      </c>
      <c r="P213" s="26" t="s">
        <v>55</v>
      </c>
      <c r="Q213" s="26" t="s">
        <v>50</v>
      </c>
      <c r="R213" s="38">
        <v>46113</v>
      </c>
      <c r="S213" s="38">
        <v>46142</v>
      </c>
      <c r="T213" s="19">
        <v>1</v>
      </c>
      <c r="U213" s="19"/>
      <c r="V213" s="19"/>
      <c r="W213" s="19"/>
      <c r="X213" s="22"/>
      <c r="Y213" s="19">
        <v>1</v>
      </c>
      <c r="Z213" s="19">
        <v>1</v>
      </c>
      <c r="AA213" s="19">
        <v>1</v>
      </c>
      <c r="AB213" s="19"/>
      <c r="AC213" s="19"/>
      <c r="AD213" s="19"/>
      <c r="AE213" s="22"/>
      <c r="AF213" s="19">
        <v>1</v>
      </c>
      <c r="AG213" s="19">
        <v>1</v>
      </c>
      <c r="AH213" s="19">
        <v>1</v>
      </c>
      <c r="AI213" s="19"/>
      <c r="AJ213" s="19"/>
      <c r="AK213" s="19"/>
      <c r="AL213" s="22"/>
      <c r="AM213" s="19">
        <v>1</v>
      </c>
      <c r="AN213" s="19">
        <v>1</v>
      </c>
      <c r="AO213" s="19">
        <v>1</v>
      </c>
      <c r="AP213" s="19"/>
      <c r="AQ213" s="19"/>
      <c r="AR213" s="19"/>
      <c r="AS213" s="22"/>
      <c r="AT213" s="19">
        <v>1</v>
      </c>
      <c r="AU213" s="19">
        <v>1</v>
      </c>
      <c r="AV213" s="19">
        <v>1</v>
      </c>
      <c r="AW213" s="19"/>
      <c r="AX213" s="19">
        <f>SUM(T213:AW213)</f>
        <v>13</v>
      </c>
      <c r="AY213" s="20"/>
      <c r="AZ213" s="19"/>
      <c r="BA213" s="20"/>
      <c r="BB213" s="49"/>
    </row>
    <row r="214" spans="1:54" ht="13.5" customHeight="1" x14ac:dyDescent="0.2">
      <c r="A214" s="104" t="s">
        <v>732</v>
      </c>
      <c r="B214" s="105" t="s">
        <v>280</v>
      </c>
      <c r="C214" s="26">
        <v>75</v>
      </c>
      <c r="D214" s="35" t="s">
        <v>355</v>
      </c>
      <c r="E214" s="26">
        <v>215</v>
      </c>
      <c r="F214" s="26" t="s">
        <v>2218</v>
      </c>
      <c r="G214" s="35" t="s">
        <v>2053</v>
      </c>
      <c r="H214" s="37">
        <v>0.5</v>
      </c>
      <c r="I214" s="37" t="s">
        <v>53</v>
      </c>
      <c r="J214" s="37">
        <v>0.5</v>
      </c>
      <c r="K214" s="37" t="s">
        <v>53</v>
      </c>
      <c r="L214" s="35" t="str">
        <f>VLOOKUP(Tabla411[[#This Row],[BTL CVE]],tblPDV[#All],13,0)</f>
        <v xml:space="preserve">REYES AYBAR LILIANA </v>
      </c>
      <c r="M214" s="26" t="s">
        <v>536</v>
      </c>
      <c r="N214" s="26" t="s">
        <v>54</v>
      </c>
      <c r="O214" s="26" t="s">
        <v>66</v>
      </c>
      <c r="P214" s="26" t="s">
        <v>66</v>
      </c>
      <c r="Q214" s="26" t="s">
        <v>50</v>
      </c>
      <c r="R214" s="38">
        <v>46113</v>
      </c>
      <c r="S214" s="38">
        <v>46142</v>
      </c>
      <c r="T214" s="19"/>
      <c r="U214" s="19">
        <v>1</v>
      </c>
      <c r="V214" s="19">
        <v>1</v>
      </c>
      <c r="W214" s="19">
        <v>1</v>
      </c>
      <c r="X214" s="22"/>
      <c r="Y214" s="19"/>
      <c r="Z214" s="19"/>
      <c r="AA214" s="19"/>
      <c r="AB214" s="19">
        <v>1</v>
      </c>
      <c r="AC214" s="19">
        <v>1</v>
      </c>
      <c r="AD214" s="19">
        <v>1</v>
      </c>
      <c r="AE214" s="22"/>
      <c r="AF214" s="19"/>
      <c r="AG214" s="19"/>
      <c r="AH214" s="19"/>
      <c r="AI214" s="19">
        <v>1</v>
      </c>
      <c r="AJ214" s="19">
        <v>1</v>
      </c>
      <c r="AK214" s="19">
        <v>1</v>
      </c>
      <c r="AL214" s="22"/>
      <c r="AM214" s="19"/>
      <c r="AN214" s="19"/>
      <c r="AO214" s="19"/>
      <c r="AP214" s="19">
        <v>1</v>
      </c>
      <c r="AQ214" s="19">
        <v>1</v>
      </c>
      <c r="AR214" s="19">
        <v>1</v>
      </c>
      <c r="AS214" s="22"/>
      <c r="AT214" s="19"/>
      <c r="AU214" s="19"/>
      <c r="AV214" s="19"/>
      <c r="AW214" s="19">
        <v>1</v>
      </c>
      <c r="AX214" s="19">
        <f>SUM(T214:AW214)</f>
        <v>13</v>
      </c>
      <c r="AY214" s="20"/>
      <c r="AZ214" s="19"/>
      <c r="BA214" s="20"/>
      <c r="BB214" s="49"/>
    </row>
    <row r="215" spans="1:54" ht="13.5" customHeight="1" x14ac:dyDescent="0.2">
      <c r="A215" s="104" t="s">
        <v>734</v>
      </c>
      <c r="B215" s="86" t="s">
        <v>280</v>
      </c>
      <c r="C215" s="26">
        <v>122</v>
      </c>
      <c r="D215" s="35" t="s">
        <v>357</v>
      </c>
      <c r="E215" s="26">
        <v>77</v>
      </c>
      <c r="F215" s="26" t="s">
        <v>2159</v>
      </c>
      <c r="G215" s="35" t="s">
        <v>1500</v>
      </c>
      <c r="H215" s="37">
        <v>0.5</v>
      </c>
      <c r="I215" s="37" t="s">
        <v>53</v>
      </c>
      <c r="J215" s="37">
        <v>0.5</v>
      </c>
      <c r="K215" s="37" t="s">
        <v>53</v>
      </c>
      <c r="L215" s="35" t="str">
        <f>VLOOKUP(Tabla411[[#This Row],[BTL CVE]],tblPDV[#All],13,0)</f>
        <v xml:space="preserve">ESTRADA NAVA MIRIAM ROCIO </v>
      </c>
      <c r="M215" s="26" t="s">
        <v>536</v>
      </c>
      <c r="N215" s="26" t="s">
        <v>54</v>
      </c>
      <c r="O215" s="26" t="s">
        <v>55</v>
      </c>
      <c r="P215" s="26" t="s">
        <v>55</v>
      </c>
      <c r="Q215" s="26" t="s">
        <v>50</v>
      </c>
      <c r="R215" s="38">
        <v>46113</v>
      </c>
      <c r="S215" s="38">
        <v>46142</v>
      </c>
      <c r="T215" s="19">
        <v>1</v>
      </c>
      <c r="U215" s="19"/>
      <c r="V215" s="19"/>
      <c r="W215" s="19"/>
      <c r="X215" s="22"/>
      <c r="Y215" s="19">
        <v>1</v>
      </c>
      <c r="Z215" s="19">
        <v>1</v>
      </c>
      <c r="AA215" s="19">
        <v>1</v>
      </c>
      <c r="AB215" s="19"/>
      <c r="AC215" s="19"/>
      <c r="AD215" s="19"/>
      <c r="AE215" s="22"/>
      <c r="AF215" s="19">
        <v>1</v>
      </c>
      <c r="AG215" s="19">
        <v>1</v>
      </c>
      <c r="AH215" s="19">
        <v>1</v>
      </c>
      <c r="AI215" s="19"/>
      <c r="AJ215" s="19"/>
      <c r="AK215" s="19"/>
      <c r="AL215" s="22"/>
      <c r="AM215" s="19">
        <v>1</v>
      </c>
      <c r="AN215" s="19">
        <v>1</v>
      </c>
      <c r="AO215" s="19">
        <v>1</v>
      </c>
      <c r="AP215" s="19"/>
      <c r="AQ215" s="19"/>
      <c r="AR215" s="19"/>
      <c r="AS215" s="22"/>
      <c r="AT215" s="19">
        <v>1</v>
      </c>
      <c r="AU215" s="19">
        <v>1</v>
      </c>
      <c r="AV215" s="19">
        <v>1</v>
      </c>
      <c r="AW215" s="19"/>
      <c r="AX215" s="19">
        <f>SUM(T215:AW215)</f>
        <v>13</v>
      </c>
      <c r="AY215" s="20"/>
      <c r="AZ215" s="19"/>
      <c r="BA215" s="20"/>
      <c r="BB215" s="49"/>
    </row>
    <row r="216" spans="1:54" ht="13.5" customHeight="1" x14ac:dyDescent="0.2">
      <c r="A216" s="104" t="s">
        <v>735</v>
      </c>
      <c r="B216" s="86" t="s">
        <v>280</v>
      </c>
      <c r="C216" s="26">
        <v>72</v>
      </c>
      <c r="D216" s="35" t="s">
        <v>358</v>
      </c>
      <c r="E216" s="26">
        <v>77</v>
      </c>
      <c r="F216" s="26" t="s">
        <v>2159</v>
      </c>
      <c r="G216" s="35" t="s">
        <v>1500</v>
      </c>
      <c r="H216" s="37">
        <v>0.5</v>
      </c>
      <c r="I216" s="37" t="s">
        <v>53</v>
      </c>
      <c r="J216" s="37">
        <v>0.5</v>
      </c>
      <c r="K216" s="37" t="s">
        <v>53</v>
      </c>
      <c r="L216" s="35" t="str">
        <f>VLOOKUP(Tabla411[[#This Row],[BTL CVE]],tblPDV[#All],13,0)</f>
        <v xml:space="preserve">ESTRADA NAVA MIRIAM ROCIO </v>
      </c>
      <c r="M216" s="26" t="s">
        <v>536</v>
      </c>
      <c r="N216" s="26" t="s">
        <v>54</v>
      </c>
      <c r="O216" s="26" t="s">
        <v>66</v>
      </c>
      <c r="P216" s="26" t="s">
        <v>66</v>
      </c>
      <c r="Q216" s="26" t="s">
        <v>50</v>
      </c>
      <c r="R216" s="38">
        <v>46113</v>
      </c>
      <c r="S216" s="38">
        <v>46142</v>
      </c>
      <c r="T216" s="19"/>
      <c r="U216" s="19">
        <v>1</v>
      </c>
      <c r="V216" s="19">
        <v>1</v>
      </c>
      <c r="W216" s="19">
        <v>1</v>
      </c>
      <c r="X216" s="22"/>
      <c r="Y216" s="19"/>
      <c r="Z216" s="19"/>
      <c r="AA216" s="19"/>
      <c r="AB216" s="19">
        <v>1</v>
      </c>
      <c r="AC216" s="19">
        <v>1</v>
      </c>
      <c r="AD216" s="19">
        <v>1</v>
      </c>
      <c r="AE216" s="22"/>
      <c r="AF216" s="19"/>
      <c r="AG216" s="19"/>
      <c r="AH216" s="19"/>
      <c r="AI216" s="19">
        <v>1</v>
      </c>
      <c r="AJ216" s="19">
        <v>1</v>
      </c>
      <c r="AK216" s="19">
        <v>1</v>
      </c>
      <c r="AL216" s="22"/>
      <c r="AM216" s="19"/>
      <c r="AN216" s="19"/>
      <c r="AO216" s="19"/>
      <c r="AP216" s="19">
        <v>1</v>
      </c>
      <c r="AQ216" s="19">
        <v>1</v>
      </c>
      <c r="AR216" s="19">
        <v>1</v>
      </c>
      <c r="AS216" s="22"/>
      <c r="AT216" s="19"/>
      <c r="AU216" s="19"/>
      <c r="AV216" s="19"/>
      <c r="AW216" s="19">
        <v>1</v>
      </c>
      <c r="AX216" s="19">
        <f>SUM(T216:AW216)</f>
        <v>13</v>
      </c>
      <c r="AY216" s="20"/>
      <c r="AZ216" s="19"/>
      <c r="BA216" s="20"/>
      <c r="BB216" s="49"/>
    </row>
    <row r="217" spans="1:54" ht="13.5" customHeight="1" x14ac:dyDescent="0.2">
      <c r="A217" s="104" t="s">
        <v>742</v>
      </c>
      <c r="B217" s="105" t="s">
        <v>280</v>
      </c>
      <c r="C217" s="26">
        <v>34</v>
      </c>
      <c r="D217" s="86" t="s">
        <v>363</v>
      </c>
      <c r="E217" s="26">
        <v>327</v>
      </c>
      <c r="F217" s="26" t="s">
        <v>2253</v>
      </c>
      <c r="G217" s="35" t="s">
        <v>1506</v>
      </c>
      <c r="H217" s="26">
        <v>0.5</v>
      </c>
      <c r="I217" s="37" t="s">
        <v>53</v>
      </c>
      <c r="J217" s="37">
        <v>0.5</v>
      </c>
      <c r="K217" s="37" t="s">
        <v>53</v>
      </c>
      <c r="L217" s="35" t="str">
        <f>VLOOKUP(Tabla411[[#This Row],[BTL CVE]],tblPDV[#All],13,0)</f>
        <v xml:space="preserve">ESTRADA NAVA MIRIAM ROCIO </v>
      </c>
      <c r="M217" s="26" t="s">
        <v>536</v>
      </c>
      <c r="N217" s="26" t="s">
        <v>54</v>
      </c>
      <c r="O217" s="26" t="s">
        <v>66</v>
      </c>
      <c r="P217" s="88" t="s">
        <v>66</v>
      </c>
      <c r="Q217" s="26" t="s">
        <v>50</v>
      </c>
      <c r="R217" s="38">
        <v>46113</v>
      </c>
      <c r="S217" s="38">
        <v>46142</v>
      </c>
      <c r="T217" s="19"/>
      <c r="U217" s="19">
        <v>1</v>
      </c>
      <c r="V217" s="19">
        <v>1</v>
      </c>
      <c r="W217" s="19">
        <v>1</v>
      </c>
      <c r="X217" s="22"/>
      <c r="Y217" s="19"/>
      <c r="Z217" s="19"/>
      <c r="AA217" s="19"/>
      <c r="AB217" s="19">
        <v>1</v>
      </c>
      <c r="AC217" s="19">
        <v>1</v>
      </c>
      <c r="AD217" s="19">
        <v>1</v>
      </c>
      <c r="AE217" s="22"/>
      <c r="AF217" s="19"/>
      <c r="AG217" s="19"/>
      <c r="AH217" s="19"/>
      <c r="AI217" s="19">
        <v>1</v>
      </c>
      <c r="AJ217" s="19">
        <v>1</v>
      </c>
      <c r="AK217" s="19">
        <v>1</v>
      </c>
      <c r="AL217" s="22"/>
      <c r="AM217" s="19"/>
      <c r="AN217" s="19"/>
      <c r="AO217" s="19"/>
      <c r="AP217" s="19">
        <v>1</v>
      </c>
      <c r="AQ217" s="19">
        <v>1</v>
      </c>
      <c r="AR217" s="19">
        <v>1</v>
      </c>
      <c r="AS217" s="22"/>
      <c r="AT217" s="19"/>
      <c r="AU217" s="19"/>
      <c r="AV217" s="19"/>
      <c r="AW217" s="19">
        <v>1</v>
      </c>
      <c r="AX217" s="19">
        <f>SUM(T217:AW217)</f>
        <v>13</v>
      </c>
      <c r="AY217" s="20"/>
      <c r="AZ217" s="19"/>
      <c r="BA217" s="20"/>
      <c r="BB217" s="49"/>
    </row>
    <row r="218" spans="1:54" ht="13.5" customHeight="1" x14ac:dyDescent="0.2">
      <c r="A218" s="104" t="s">
        <v>741</v>
      </c>
      <c r="B218" s="105" t="s">
        <v>280</v>
      </c>
      <c r="C218" s="26">
        <v>43</v>
      </c>
      <c r="D218" s="35" t="s">
        <v>362</v>
      </c>
      <c r="E218" s="26">
        <v>327</v>
      </c>
      <c r="F218" s="26" t="s">
        <v>2253</v>
      </c>
      <c r="G218" s="35" t="s">
        <v>1506</v>
      </c>
      <c r="H218" s="37">
        <v>0.5</v>
      </c>
      <c r="I218" s="37" t="s">
        <v>53</v>
      </c>
      <c r="J218" s="37">
        <v>0.5</v>
      </c>
      <c r="K218" s="37" t="s">
        <v>53</v>
      </c>
      <c r="L218" s="35" t="str">
        <f>VLOOKUP(Tabla411[[#This Row],[BTL CVE]],tblPDV[#All],13,0)</f>
        <v xml:space="preserve">ESTRADA NAVA MIRIAM ROCIO </v>
      </c>
      <c r="M218" s="26" t="s">
        <v>536</v>
      </c>
      <c r="N218" s="26" t="s">
        <v>54</v>
      </c>
      <c r="O218" s="26" t="s">
        <v>55</v>
      </c>
      <c r="P218" s="88" t="s">
        <v>55</v>
      </c>
      <c r="Q218" s="26" t="s">
        <v>50</v>
      </c>
      <c r="R218" s="38">
        <v>46113</v>
      </c>
      <c r="S218" s="38">
        <v>46142</v>
      </c>
      <c r="T218" s="19">
        <v>1</v>
      </c>
      <c r="U218" s="19"/>
      <c r="V218" s="19"/>
      <c r="W218" s="19"/>
      <c r="X218" s="22"/>
      <c r="Y218" s="19">
        <v>1</v>
      </c>
      <c r="Z218" s="19">
        <v>1</v>
      </c>
      <c r="AA218" s="19">
        <v>1</v>
      </c>
      <c r="AB218" s="19"/>
      <c r="AC218" s="19"/>
      <c r="AD218" s="19"/>
      <c r="AE218" s="22"/>
      <c r="AF218" s="19">
        <v>1</v>
      </c>
      <c r="AG218" s="19">
        <v>1</v>
      </c>
      <c r="AH218" s="19">
        <v>1</v>
      </c>
      <c r="AI218" s="19"/>
      <c r="AJ218" s="19"/>
      <c r="AK218" s="19"/>
      <c r="AL218" s="22"/>
      <c r="AM218" s="19">
        <v>1</v>
      </c>
      <c r="AN218" s="19">
        <v>1</v>
      </c>
      <c r="AO218" s="19">
        <v>1</v>
      </c>
      <c r="AP218" s="19"/>
      <c r="AQ218" s="19"/>
      <c r="AR218" s="19"/>
      <c r="AS218" s="22"/>
      <c r="AT218" s="19">
        <v>1</v>
      </c>
      <c r="AU218" s="19">
        <v>1</v>
      </c>
      <c r="AV218" s="19">
        <v>1</v>
      </c>
      <c r="AW218" s="19"/>
      <c r="AX218" s="19">
        <f>SUM(T218:AW218)</f>
        <v>13</v>
      </c>
      <c r="AY218" s="20"/>
      <c r="AZ218" s="19"/>
      <c r="BA218" s="20"/>
      <c r="BB218" s="49"/>
    </row>
    <row r="219" spans="1:54" ht="13.5" customHeight="1" x14ac:dyDescent="0.2">
      <c r="A219" s="104" t="s">
        <v>672</v>
      </c>
      <c r="B219" s="86" t="s">
        <v>280</v>
      </c>
      <c r="C219" s="26">
        <v>156</v>
      </c>
      <c r="D219" s="35" t="s">
        <v>286</v>
      </c>
      <c r="E219" s="26"/>
      <c r="F219" s="26"/>
      <c r="G219" s="35" t="s">
        <v>2098</v>
      </c>
      <c r="H219" s="37">
        <v>1</v>
      </c>
      <c r="I219" s="37" t="s">
        <v>47</v>
      </c>
      <c r="J219" s="37">
        <v>1</v>
      </c>
      <c r="K219" s="37" t="s">
        <v>47</v>
      </c>
      <c r="L219" s="35" t="str">
        <f>VLOOKUP(Tabla411[[#This Row],[BTL CVE]],tblPDV[#All],13,0)</f>
        <v xml:space="preserve">AGUIRRE CAMACHO ATZIN SUSANA </v>
      </c>
      <c r="M219" s="26" t="s">
        <v>536</v>
      </c>
      <c r="N219" s="26" t="s">
        <v>54</v>
      </c>
      <c r="O219" s="26" t="s">
        <v>49</v>
      </c>
      <c r="P219" s="88" t="s">
        <v>49</v>
      </c>
      <c r="Q219" s="26" t="s">
        <v>50</v>
      </c>
      <c r="R219" s="38">
        <v>46113</v>
      </c>
      <c r="S219" s="38">
        <v>46142</v>
      </c>
      <c r="T219" s="19">
        <v>1</v>
      </c>
      <c r="U219" s="19">
        <v>1</v>
      </c>
      <c r="V219" s="19">
        <v>1</v>
      </c>
      <c r="W219" s="19">
        <v>1</v>
      </c>
      <c r="X219" s="22"/>
      <c r="Y219" s="19">
        <v>1</v>
      </c>
      <c r="Z219" s="19">
        <v>1</v>
      </c>
      <c r="AA219" s="19">
        <v>1</v>
      </c>
      <c r="AB219" s="19">
        <v>1</v>
      </c>
      <c r="AC219" s="19">
        <v>1</v>
      </c>
      <c r="AD219" s="19">
        <v>1</v>
      </c>
      <c r="AE219" s="22"/>
      <c r="AF219" s="19">
        <v>1</v>
      </c>
      <c r="AG219" s="19">
        <v>1</v>
      </c>
      <c r="AH219" s="19">
        <v>1</v>
      </c>
      <c r="AI219" s="19">
        <v>1</v>
      </c>
      <c r="AJ219" s="19">
        <v>1</v>
      </c>
      <c r="AK219" s="19">
        <v>1</v>
      </c>
      <c r="AL219" s="22"/>
      <c r="AM219" s="19">
        <v>1</v>
      </c>
      <c r="AN219" s="19">
        <v>1</v>
      </c>
      <c r="AO219" s="19">
        <v>1</v>
      </c>
      <c r="AP219" s="19">
        <v>1</v>
      </c>
      <c r="AQ219" s="19">
        <v>1</v>
      </c>
      <c r="AR219" s="19">
        <v>1</v>
      </c>
      <c r="AS219" s="22"/>
      <c r="AT219" s="19">
        <v>1</v>
      </c>
      <c r="AU219" s="19">
        <v>1</v>
      </c>
      <c r="AV219" s="19">
        <v>1</v>
      </c>
      <c r="AW219" s="19">
        <v>1</v>
      </c>
      <c r="AX219" s="19">
        <f>SUM(T219:AW219)</f>
        <v>26</v>
      </c>
      <c r="AY219" s="20"/>
      <c r="AZ219" s="19"/>
      <c r="BA219" s="20"/>
      <c r="BB219" s="49"/>
    </row>
    <row r="220" spans="1:54" ht="13.5" customHeight="1" x14ac:dyDescent="0.2">
      <c r="A220" s="119" t="s">
        <v>736</v>
      </c>
      <c r="B220" s="110" t="s">
        <v>280</v>
      </c>
      <c r="C220" s="44">
        <v>24</v>
      </c>
      <c r="D220" s="35" t="s">
        <v>359</v>
      </c>
      <c r="E220" s="26">
        <v>124</v>
      </c>
      <c r="F220" s="26" t="s">
        <v>2180</v>
      </c>
      <c r="G220" s="35" t="s">
        <v>2027</v>
      </c>
      <c r="H220" s="37">
        <v>1</v>
      </c>
      <c r="I220" s="37" t="s">
        <v>47</v>
      </c>
      <c r="J220" s="37">
        <v>1</v>
      </c>
      <c r="K220" s="37" t="s">
        <v>47</v>
      </c>
      <c r="L220" s="35" t="str">
        <f>VLOOKUP(Tabla411[[#This Row],[BTL CVE]],tblPDV[#All],13,0)</f>
        <v>MONTAGNER OLIVARES MIGUEL ANGEL</v>
      </c>
      <c r="M220" s="26" t="s">
        <v>536</v>
      </c>
      <c r="N220" s="26" t="s">
        <v>54</v>
      </c>
      <c r="O220" s="26" t="s">
        <v>49</v>
      </c>
      <c r="P220" s="26" t="s">
        <v>49</v>
      </c>
      <c r="Q220" s="26" t="s">
        <v>50</v>
      </c>
      <c r="R220" s="38">
        <v>46113</v>
      </c>
      <c r="S220" s="38">
        <v>46142</v>
      </c>
      <c r="T220" s="19">
        <v>1</v>
      </c>
      <c r="U220" s="19">
        <v>1</v>
      </c>
      <c r="V220" s="19">
        <v>1</v>
      </c>
      <c r="W220" s="19">
        <v>1</v>
      </c>
      <c r="X220" s="22"/>
      <c r="Y220" s="19">
        <v>1</v>
      </c>
      <c r="Z220" s="19">
        <v>1</v>
      </c>
      <c r="AA220" s="19">
        <v>1</v>
      </c>
      <c r="AB220" s="19">
        <v>1</v>
      </c>
      <c r="AC220" s="19">
        <v>1</v>
      </c>
      <c r="AD220" s="19">
        <v>1</v>
      </c>
      <c r="AE220" s="22"/>
      <c r="AF220" s="19">
        <v>1</v>
      </c>
      <c r="AG220" s="19">
        <v>1</v>
      </c>
      <c r="AH220" s="19">
        <v>1</v>
      </c>
      <c r="AI220" s="19">
        <v>1</v>
      </c>
      <c r="AJ220" s="19">
        <v>1</v>
      </c>
      <c r="AK220" s="19">
        <v>1</v>
      </c>
      <c r="AL220" s="22"/>
      <c r="AM220" s="19">
        <v>1</v>
      </c>
      <c r="AN220" s="19">
        <v>1</v>
      </c>
      <c r="AO220" s="19">
        <v>1</v>
      </c>
      <c r="AP220" s="19">
        <v>1</v>
      </c>
      <c r="AQ220" s="19">
        <v>1</v>
      </c>
      <c r="AR220" s="19">
        <v>1</v>
      </c>
      <c r="AS220" s="22"/>
      <c r="AT220" s="19">
        <v>1</v>
      </c>
      <c r="AU220" s="19">
        <v>1</v>
      </c>
      <c r="AV220" s="19">
        <v>1</v>
      </c>
      <c r="AW220" s="19">
        <v>1</v>
      </c>
      <c r="AX220" s="19">
        <f>SUM(T220:AW220)</f>
        <v>26</v>
      </c>
      <c r="AY220" s="20"/>
      <c r="AZ220" s="19"/>
      <c r="BA220" s="20"/>
      <c r="BB220" s="49" t="s">
        <v>2103</v>
      </c>
    </row>
    <row r="221" spans="1:54" ht="13.5" customHeight="1" x14ac:dyDescent="0.2">
      <c r="A221" s="104" t="s">
        <v>726</v>
      </c>
      <c r="B221" s="86" t="s">
        <v>280</v>
      </c>
      <c r="C221" s="26">
        <v>33</v>
      </c>
      <c r="D221" s="35" t="s">
        <v>348</v>
      </c>
      <c r="E221" s="26">
        <v>33</v>
      </c>
      <c r="F221" s="26" t="s">
        <v>2139</v>
      </c>
      <c r="G221" s="35" t="s">
        <v>2028</v>
      </c>
      <c r="H221" s="37">
        <v>1</v>
      </c>
      <c r="I221" s="37" t="s">
        <v>47</v>
      </c>
      <c r="J221" s="37">
        <v>1</v>
      </c>
      <c r="K221" s="37" t="s">
        <v>47</v>
      </c>
      <c r="L221" s="35" t="str">
        <f>VLOOKUP(Tabla411[[#This Row],[BTL CVE]],tblPDV[#All],13,0)</f>
        <v xml:space="preserve">MONROY GONZALEZ MARIA ZENAIDA </v>
      </c>
      <c r="M221" s="26" t="s">
        <v>536</v>
      </c>
      <c r="N221" s="26" t="s">
        <v>54</v>
      </c>
      <c r="O221" s="26" t="s">
        <v>49</v>
      </c>
      <c r="P221" s="26" t="s">
        <v>49</v>
      </c>
      <c r="Q221" s="26" t="s">
        <v>50</v>
      </c>
      <c r="R221" s="38">
        <v>46113</v>
      </c>
      <c r="S221" s="38">
        <v>46142</v>
      </c>
      <c r="T221" s="19">
        <v>1</v>
      </c>
      <c r="U221" s="19">
        <v>1</v>
      </c>
      <c r="V221" s="19">
        <v>1</v>
      </c>
      <c r="W221" s="19">
        <v>1</v>
      </c>
      <c r="X221" s="22"/>
      <c r="Y221" s="19">
        <v>1</v>
      </c>
      <c r="Z221" s="19">
        <v>1</v>
      </c>
      <c r="AA221" s="19">
        <v>1</v>
      </c>
      <c r="AB221" s="19">
        <v>1</v>
      </c>
      <c r="AC221" s="19">
        <v>1</v>
      </c>
      <c r="AD221" s="19">
        <v>1</v>
      </c>
      <c r="AE221" s="22"/>
      <c r="AF221" s="19">
        <v>1</v>
      </c>
      <c r="AG221" s="19">
        <v>1</v>
      </c>
      <c r="AH221" s="19">
        <v>1</v>
      </c>
      <c r="AI221" s="19">
        <v>1</v>
      </c>
      <c r="AJ221" s="19">
        <v>1</v>
      </c>
      <c r="AK221" s="19">
        <v>1</v>
      </c>
      <c r="AL221" s="22"/>
      <c r="AM221" s="19">
        <v>1</v>
      </c>
      <c r="AN221" s="19">
        <v>1</v>
      </c>
      <c r="AO221" s="19">
        <v>1</v>
      </c>
      <c r="AP221" s="19">
        <v>1</v>
      </c>
      <c r="AQ221" s="19">
        <v>1</v>
      </c>
      <c r="AR221" s="19">
        <v>1</v>
      </c>
      <c r="AS221" s="22"/>
      <c r="AT221" s="19">
        <v>1</v>
      </c>
      <c r="AU221" s="19">
        <v>1</v>
      </c>
      <c r="AV221" s="19">
        <v>1</v>
      </c>
      <c r="AW221" s="19">
        <v>1</v>
      </c>
      <c r="AX221" s="19">
        <f>SUM(T221:AW221)</f>
        <v>26</v>
      </c>
      <c r="AY221" s="20"/>
      <c r="AZ221" s="19"/>
      <c r="BA221" s="20"/>
      <c r="BB221" s="49"/>
    </row>
    <row r="222" spans="1:54" ht="13.5" customHeight="1" x14ac:dyDescent="0.2">
      <c r="A222" s="104" t="s">
        <v>727</v>
      </c>
      <c r="B222" s="86" t="s">
        <v>280</v>
      </c>
      <c r="C222" s="26">
        <v>71</v>
      </c>
      <c r="D222" s="35" t="s">
        <v>349</v>
      </c>
      <c r="E222" s="26">
        <v>197</v>
      </c>
      <c r="F222" s="26" t="s">
        <v>2212</v>
      </c>
      <c r="G222" s="35" t="s">
        <v>2029</v>
      </c>
      <c r="H222" s="37">
        <v>1</v>
      </c>
      <c r="I222" s="37" t="s">
        <v>47</v>
      </c>
      <c r="J222" s="37">
        <v>1</v>
      </c>
      <c r="K222" s="37" t="s">
        <v>47</v>
      </c>
      <c r="L222" s="35" t="str">
        <f>VLOOKUP(Tabla411[[#This Row],[BTL CVE]],tblPDV[#All],13,0)</f>
        <v xml:space="preserve">AGUIRRE CAMACHO ATZIN SUSANA </v>
      </c>
      <c r="M222" s="26" t="s">
        <v>536</v>
      </c>
      <c r="N222" s="26" t="s">
        <v>54</v>
      </c>
      <c r="O222" s="26" t="s">
        <v>49</v>
      </c>
      <c r="P222" s="26" t="s">
        <v>49</v>
      </c>
      <c r="Q222" s="26" t="s">
        <v>50</v>
      </c>
      <c r="R222" s="38">
        <v>46113</v>
      </c>
      <c r="S222" s="38">
        <v>46142</v>
      </c>
      <c r="T222" s="19">
        <v>1</v>
      </c>
      <c r="U222" s="19">
        <v>1</v>
      </c>
      <c r="V222" s="19">
        <v>1</v>
      </c>
      <c r="W222" s="19">
        <v>1</v>
      </c>
      <c r="X222" s="22"/>
      <c r="Y222" s="19">
        <v>1</v>
      </c>
      <c r="Z222" s="19">
        <v>1</v>
      </c>
      <c r="AA222" s="19">
        <v>1</v>
      </c>
      <c r="AB222" s="19">
        <v>1</v>
      </c>
      <c r="AC222" s="19">
        <v>1</v>
      </c>
      <c r="AD222" s="19">
        <v>1</v>
      </c>
      <c r="AE222" s="22"/>
      <c r="AF222" s="19">
        <v>1</v>
      </c>
      <c r="AG222" s="19">
        <v>1</v>
      </c>
      <c r="AH222" s="19">
        <v>1</v>
      </c>
      <c r="AI222" s="19">
        <v>1</v>
      </c>
      <c r="AJ222" s="19">
        <v>1</v>
      </c>
      <c r="AK222" s="19">
        <v>1</v>
      </c>
      <c r="AL222" s="22"/>
      <c r="AM222" s="19">
        <v>1</v>
      </c>
      <c r="AN222" s="19">
        <v>1</v>
      </c>
      <c r="AO222" s="19">
        <v>1</v>
      </c>
      <c r="AP222" s="19">
        <v>1</v>
      </c>
      <c r="AQ222" s="19">
        <v>1</v>
      </c>
      <c r="AR222" s="19">
        <v>1</v>
      </c>
      <c r="AS222" s="22"/>
      <c r="AT222" s="19">
        <v>1</v>
      </c>
      <c r="AU222" s="19">
        <v>1</v>
      </c>
      <c r="AV222" s="19">
        <v>1</v>
      </c>
      <c r="AW222" s="19">
        <v>1</v>
      </c>
      <c r="AX222" s="19">
        <f>SUM(T222:AW222)</f>
        <v>26</v>
      </c>
      <c r="AY222" s="20"/>
      <c r="AZ222" s="19"/>
      <c r="BA222" s="20"/>
      <c r="BB222" s="49"/>
    </row>
    <row r="223" spans="1:54" ht="13.5" customHeight="1" x14ac:dyDescent="0.2">
      <c r="A223" s="119" t="s">
        <v>1584</v>
      </c>
      <c r="B223" s="110" t="s">
        <v>280</v>
      </c>
      <c r="C223" s="44">
        <v>206</v>
      </c>
      <c r="D223" s="35" t="s">
        <v>1598</v>
      </c>
      <c r="E223" s="26">
        <v>433</v>
      </c>
      <c r="F223" s="26" t="s">
        <v>2284</v>
      </c>
      <c r="G223" s="35" t="s">
        <v>1516</v>
      </c>
      <c r="H223" s="37"/>
      <c r="I223" s="37"/>
      <c r="J223" s="109">
        <v>0.33333333333333298</v>
      </c>
      <c r="K223" s="37" t="s">
        <v>53</v>
      </c>
      <c r="L223" s="35" t="str">
        <f>VLOOKUP(Tabla411[[#This Row],[BTL CVE]],tblPDV[#All],13,0)</f>
        <v xml:space="preserve">GUTIERREZ ROMERO MARUJA BETTY </v>
      </c>
      <c r="M223" s="26" t="s">
        <v>502</v>
      </c>
      <c r="N223" s="26" t="s">
        <v>54</v>
      </c>
      <c r="O223" s="26" t="s">
        <v>49</v>
      </c>
      <c r="P223" s="26" t="s">
        <v>49</v>
      </c>
      <c r="Q223" s="26" t="s">
        <v>50</v>
      </c>
      <c r="R223" s="38">
        <v>46113</v>
      </c>
      <c r="S223" s="38">
        <v>46134</v>
      </c>
      <c r="T223" s="19">
        <v>1</v>
      </c>
      <c r="U223" s="19">
        <v>1</v>
      </c>
      <c r="V223" s="19">
        <v>1</v>
      </c>
      <c r="W223" s="19">
        <v>1</v>
      </c>
      <c r="X223" s="22"/>
      <c r="Y223" s="19">
        <v>1</v>
      </c>
      <c r="Z223" s="19">
        <v>1</v>
      </c>
      <c r="AA223" s="19">
        <v>1</v>
      </c>
      <c r="AB223" s="19">
        <v>1</v>
      </c>
      <c r="AC223" s="19">
        <v>1</v>
      </c>
      <c r="AD223" s="19">
        <v>1</v>
      </c>
      <c r="AE223" s="22"/>
      <c r="AF223" s="19">
        <v>1</v>
      </c>
      <c r="AG223" s="19">
        <v>1</v>
      </c>
      <c r="AH223" s="19">
        <v>1</v>
      </c>
      <c r="AI223" s="19">
        <v>1</v>
      </c>
      <c r="AJ223" s="19">
        <v>1</v>
      </c>
      <c r="AK223" s="19">
        <v>1</v>
      </c>
      <c r="AL223" s="22"/>
      <c r="AM223" s="19">
        <v>1</v>
      </c>
      <c r="AN223" s="19">
        <v>1</v>
      </c>
      <c r="AO223" s="19">
        <v>1</v>
      </c>
      <c r="AP223" s="19"/>
      <c r="AQ223" s="19"/>
      <c r="AR223" s="19"/>
      <c r="AS223" s="22"/>
      <c r="AT223" s="19"/>
      <c r="AU223" s="19"/>
      <c r="AV223" s="19"/>
      <c r="AW223" s="19"/>
      <c r="AX223" s="19">
        <f>SUM(T223:AW223)</f>
        <v>19</v>
      </c>
      <c r="AY223" s="20"/>
      <c r="AZ223" s="19"/>
      <c r="BA223" s="20"/>
      <c r="BB223" s="100" t="s">
        <v>2104</v>
      </c>
    </row>
    <row r="224" spans="1:54" ht="13.5" customHeight="1" x14ac:dyDescent="0.2">
      <c r="A224" s="122" t="s">
        <v>671</v>
      </c>
      <c r="B224" s="114" t="s">
        <v>280</v>
      </c>
      <c r="C224" s="26">
        <v>112</v>
      </c>
      <c r="D224" s="66" t="s">
        <v>284</v>
      </c>
      <c r="E224" s="26">
        <v>83</v>
      </c>
      <c r="F224" s="26" t="s">
        <v>2162</v>
      </c>
      <c r="G224" s="35" t="s">
        <v>1570</v>
      </c>
      <c r="H224" s="37">
        <v>1</v>
      </c>
      <c r="I224" s="37" t="s">
        <v>47</v>
      </c>
      <c r="J224" s="37">
        <v>1</v>
      </c>
      <c r="K224" s="26" t="s">
        <v>47</v>
      </c>
      <c r="L224" s="35" t="str">
        <f>VLOOKUP(Tabla411[[#This Row],[BTL CVE]],tblPDV[#All],13,0)</f>
        <v xml:space="preserve">MONROY GONZALEZ MARIA ZENAIDA </v>
      </c>
      <c r="M224" s="26" t="s">
        <v>536</v>
      </c>
      <c r="N224" s="26" t="s">
        <v>54</v>
      </c>
      <c r="O224" s="26" t="s">
        <v>49</v>
      </c>
      <c r="P224" s="26" t="s">
        <v>49</v>
      </c>
      <c r="Q224" s="26" t="s">
        <v>50</v>
      </c>
      <c r="R224" s="38">
        <v>46113</v>
      </c>
      <c r="S224" s="38">
        <v>46142</v>
      </c>
      <c r="T224" s="19">
        <v>1</v>
      </c>
      <c r="U224" s="19">
        <v>1</v>
      </c>
      <c r="V224" s="19">
        <v>1</v>
      </c>
      <c r="W224" s="19">
        <v>1</v>
      </c>
      <c r="X224" s="22"/>
      <c r="Y224" s="19">
        <v>1</v>
      </c>
      <c r="Z224" s="19">
        <v>1</v>
      </c>
      <c r="AA224" s="19">
        <v>1</v>
      </c>
      <c r="AB224" s="19">
        <v>1</v>
      </c>
      <c r="AC224" s="19">
        <v>1</v>
      </c>
      <c r="AD224" s="19">
        <v>1</v>
      </c>
      <c r="AE224" s="22"/>
      <c r="AF224" s="19">
        <v>1</v>
      </c>
      <c r="AG224" s="19">
        <v>1</v>
      </c>
      <c r="AH224" s="19">
        <v>1</v>
      </c>
      <c r="AI224" s="19">
        <v>1</v>
      </c>
      <c r="AJ224" s="19">
        <v>1</v>
      </c>
      <c r="AK224" s="19">
        <v>1</v>
      </c>
      <c r="AL224" s="22"/>
      <c r="AM224" s="19">
        <v>1</v>
      </c>
      <c r="AN224" s="19">
        <v>1</v>
      </c>
      <c r="AO224" s="19">
        <v>1</v>
      </c>
      <c r="AP224" s="19">
        <v>1</v>
      </c>
      <c r="AQ224" s="19">
        <v>1</v>
      </c>
      <c r="AR224" s="19">
        <v>1</v>
      </c>
      <c r="AS224" s="22"/>
      <c r="AT224" s="19">
        <v>1</v>
      </c>
      <c r="AU224" s="19">
        <v>1</v>
      </c>
      <c r="AV224" s="19">
        <v>1</v>
      </c>
      <c r="AW224" s="19">
        <v>1</v>
      </c>
      <c r="AX224" s="19">
        <f>SUM(T224:AW224)</f>
        <v>26</v>
      </c>
      <c r="AY224" s="20"/>
      <c r="AZ224" s="19"/>
      <c r="BA224" s="20"/>
      <c r="BB224" s="49" t="s">
        <v>2358</v>
      </c>
    </row>
    <row r="225" spans="1:54" ht="13.5" customHeight="1" x14ac:dyDescent="0.2">
      <c r="A225" s="119" t="s">
        <v>673</v>
      </c>
      <c r="B225" s="110" t="s">
        <v>280</v>
      </c>
      <c r="C225" s="44">
        <v>41</v>
      </c>
      <c r="D225" s="35" t="s">
        <v>287</v>
      </c>
      <c r="E225" s="26">
        <v>227</v>
      </c>
      <c r="F225" s="26" t="s">
        <v>2222</v>
      </c>
      <c r="G225" s="35" t="s">
        <v>2030</v>
      </c>
      <c r="H225" s="37">
        <v>1</v>
      </c>
      <c r="I225" s="37" t="s">
        <v>47</v>
      </c>
      <c r="J225" s="37">
        <v>1</v>
      </c>
      <c r="K225" s="37" t="s">
        <v>47</v>
      </c>
      <c r="L225" s="35" t="str">
        <f>VLOOKUP(Tabla411[[#This Row],[BTL CVE]],tblPDV[#All],13,0)</f>
        <v xml:space="preserve">MONROY GONZALEZ MARIA ZENAIDA </v>
      </c>
      <c r="M225" s="26" t="s">
        <v>536</v>
      </c>
      <c r="N225" s="26" t="s">
        <v>54</v>
      </c>
      <c r="O225" s="26" t="s">
        <v>49</v>
      </c>
      <c r="P225" s="26" t="s">
        <v>49</v>
      </c>
      <c r="Q225" s="26" t="s">
        <v>50</v>
      </c>
      <c r="R225" s="38">
        <v>46113</v>
      </c>
      <c r="S225" s="38">
        <v>46142</v>
      </c>
      <c r="T225" s="19">
        <v>1</v>
      </c>
      <c r="U225" s="19">
        <v>1</v>
      </c>
      <c r="V225" s="19">
        <v>1</v>
      </c>
      <c r="W225" s="19">
        <v>1</v>
      </c>
      <c r="X225" s="22"/>
      <c r="Y225" s="19">
        <v>1</v>
      </c>
      <c r="Z225" s="19">
        <v>1</v>
      </c>
      <c r="AA225" s="19">
        <v>1</v>
      </c>
      <c r="AB225" s="19">
        <v>1</v>
      </c>
      <c r="AC225" s="19">
        <v>1</v>
      </c>
      <c r="AD225" s="19">
        <v>1</v>
      </c>
      <c r="AE225" s="22"/>
      <c r="AF225" s="19">
        <v>1</v>
      </c>
      <c r="AG225" s="19">
        <v>1</v>
      </c>
      <c r="AH225" s="19">
        <v>1</v>
      </c>
      <c r="AI225" s="19">
        <v>1</v>
      </c>
      <c r="AJ225" s="19">
        <v>1</v>
      </c>
      <c r="AK225" s="19">
        <v>1</v>
      </c>
      <c r="AL225" s="22"/>
      <c r="AM225" s="19">
        <v>1</v>
      </c>
      <c r="AN225" s="19">
        <v>1</v>
      </c>
      <c r="AO225" s="19">
        <v>1</v>
      </c>
      <c r="AP225" s="19">
        <v>1</v>
      </c>
      <c r="AQ225" s="19">
        <v>1</v>
      </c>
      <c r="AR225" s="19">
        <v>1</v>
      </c>
      <c r="AS225" s="22"/>
      <c r="AT225" s="19">
        <v>1</v>
      </c>
      <c r="AU225" s="19">
        <v>1</v>
      </c>
      <c r="AV225" s="19">
        <v>1</v>
      </c>
      <c r="AW225" s="19">
        <v>1</v>
      </c>
      <c r="AX225" s="19">
        <f>SUM(T225:AW225)</f>
        <v>26</v>
      </c>
      <c r="AY225" s="20"/>
      <c r="AZ225" s="19"/>
      <c r="BA225" s="20"/>
      <c r="BB225" s="49" t="s">
        <v>2104</v>
      </c>
    </row>
    <row r="226" spans="1:54" ht="13.5" customHeight="1" x14ac:dyDescent="0.2">
      <c r="A226" s="120" t="s">
        <v>2111</v>
      </c>
      <c r="B226" s="110" t="s">
        <v>280</v>
      </c>
      <c r="C226" s="44"/>
      <c r="D226" s="54" t="s">
        <v>2100</v>
      </c>
      <c r="E226" s="26">
        <v>499</v>
      </c>
      <c r="F226" s="26" t="s">
        <v>2313</v>
      </c>
      <c r="G226" s="35" t="s">
        <v>330</v>
      </c>
      <c r="H226" s="37"/>
      <c r="I226" s="37"/>
      <c r="J226" s="109">
        <v>0.33333333333333298</v>
      </c>
      <c r="K226" s="37" t="s">
        <v>53</v>
      </c>
      <c r="L226" s="35" t="str">
        <f>VLOOKUP(Tabla411[[#This Row],[BTL CVE]],tblPDV[#All],13,0)</f>
        <v xml:space="preserve">LOPEZ ESTRADA SILVIA BERENICE </v>
      </c>
      <c r="M226" s="26" t="s">
        <v>502</v>
      </c>
      <c r="N226" s="26" t="s">
        <v>54</v>
      </c>
      <c r="O226" s="26" t="s">
        <v>49</v>
      </c>
      <c r="P226" s="26" t="s">
        <v>49</v>
      </c>
      <c r="Q226" s="26" t="s">
        <v>50</v>
      </c>
      <c r="R226" s="38">
        <v>46113</v>
      </c>
      <c r="S226" s="38">
        <v>46134</v>
      </c>
      <c r="T226" s="19">
        <v>1</v>
      </c>
      <c r="U226" s="19">
        <v>1</v>
      </c>
      <c r="V226" s="19">
        <v>1</v>
      </c>
      <c r="W226" s="19">
        <v>1</v>
      </c>
      <c r="X226" s="22"/>
      <c r="Y226" s="19">
        <v>1</v>
      </c>
      <c r="Z226" s="19">
        <v>1</v>
      </c>
      <c r="AA226" s="19">
        <v>1</v>
      </c>
      <c r="AB226" s="19">
        <v>1</v>
      </c>
      <c r="AC226" s="19">
        <v>1</v>
      </c>
      <c r="AD226" s="19">
        <v>1</v>
      </c>
      <c r="AE226" s="22"/>
      <c r="AF226" s="19">
        <v>1</v>
      </c>
      <c r="AG226" s="19">
        <v>1</v>
      </c>
      <c r="AH226" s="19">
        <v>1</v>
      </c>
      <c r="AI226" s="19">
        <v>1</v>
      </c>
      <c r="AJ226" s="19">
        <v>1</v>
      </c>
      <c r="AK226" s="19">
        <v>1</v>
      </c>
      <c r="AL226" s="22"/>
      <c r="AM226" s="19">
        <v>1</v>
      </c>
      <c r="AN226" s="19">
        <v>1</v>
      </c>
      <c r="AO226" s="19">
        <v>1</v>
      </c>
      <c r="AP226" s="19"/>
      <c r="AQ226" s="19"/>
      <c r="AR226" s="19"/>
      <c r="AS226" s="22"/>
      <c r="AT226" s="19"/>
      <c r="AU226" s="19"/>
      <c r="AV226" s="19"/>
      <c r="AW226" s="19"/>
      <c r="AX226" s="19">
        <f>SUM(T226:AW226)</f>
        <v>19</v>
      </c>
      <c r="AY226" s="20"/>
      <c r="AZ226" s="19"/>
      <c r="BA226" s="20"/>
      <c r="BB226" s="100" t="s">
        <v>2103</v>
      </c>
    </row>
    <row r="227" spans="1:54" ht="13.5" customHeight="1" x14ac:dyDescent="0.2">
      <c r="A227" s="104" t="s">
        <v>1422</v>
      </c>
      <c r="B227" s="86" t="s">
        <v>280</v>
      </c>
      <c r="C227" s="26">
        <v>179</v>
      </c>
      <c r="D227" s="35" t="s">
        <v>530</v>
      </c>
      <c r="E227" s="26">
        <v>162</v>
      </c>
      <c r="F227" s="26" t="s">
        <v>2199</v>
      </c>
      <c r="G227" s="35" t="s">
        <v>1553</v>
      </c>
      <c r="H227" s="37">
        <v>1</v>
      </c>
      <c r="I227" s="37" t="s">
        <v>47</v>
      </c>
      <c r="J227" s="37">
        <v>1</v>
      </c>
      <c r="K227" s="37" t="s">
        <v>47</v>
      </c>
      <c r="L227" s="35" t="str">
        <f>VLOOKUP(Tabla411[[#This Row],[BTL CVE]],tblPDV[#All],13,0)</f>
        <v>FLORES SALDAÑA JAVIER</v>
      </c>
      <c r="M227" s="26" t="s">
        <v>536</v>
      </c>
      <c r="N227" s="26" t="s">
        <v>54</v>
      </c>
      <c r="O227" s="26" t="s">
        <v>49</v>
      </c>
      <c r="P227" s="26" t="s">
        <v>49</v>
      </c>
      <c r="Q227" s="26" t="s">
        <v>50</v>
      </c>
      <c r="R227" s="38">
        <v>46113</v>
      </c>
      <c r="S227" s="38">
        <v>46142</v>
      </c>
      <c r="T227" s="19">
        <v>1</v>
      </c>
      <c r="U227" s="19">
        <v>1</v>
      </c>
      <c r="V227" s="19">
        <v>1</v>
      </c>
      <c r="W227" s="19">
        <v>1</v>
      </c>
      <c r="X227" s="22"/>
      <c r="Y227" s="19">
        <v>1</v>
      </c>
      <c r="Z227" s="19">
        <v>1</v>
      </c>
      <c r="AA227" s="19">
        <v>1</v>
      </c>
      <c r="AB227" s="19">
        <v>1</v>
      </c>
      <c r="AC227" s="19">
        <v>1</v>
      </c>
      <c r="AD227" s="19">
        <v>1</v>
      </c>
      <c r="AE227" s="22"/>
      <c r="AF227" s="19">
        <v>1</v>
      </c>
      <c r="AG227" s="19">
        <v>1</v>
      </c>
      <c r="AH227" s="19">
        <v>1</v>
      </c>
      <c r="AI227" s="19">
        <v>1</v>
      </c>
      <c r="AJ227" s="19">
        <v>1</v>
      </c>
      <c r="AK227" s="19">
        <v>1</v>
      </c>
      <c r="AL227" s="22"/>
      <c r="AM227" s="19">
        <v>1</v>
      </c>
      <c r="AN227" s="19">
        <v>1</v>
      </c>
      <c r="AO227" s="19">
        <v>1</v>
      </c>
      <c r="AP227" s="19">
        <v>1</v>
      </c>
      <c r="AQ227" s="19">
        <v>1</v>
      </c>
      <c r="AR227" s="19">
        <v>1</v>
      </c>
      <c r="AS227" s="22"/>
      <c r="AT227" s="19">
        <v>1</v>
      </c>
      <c r="AU227" s="19">
        <v>1</v>
      </c>
      <c r="AV227" s="19">
        <v>1</v>
      </c>
      <c r="AW227" s="19">
        <v>1</v>
      </c>
      <c r="AX227" s="19">
        <f>SUM(T227:AW227)</f>
        <v>26</v>
      </c>
      <c r="AY227" s="20"/>
      <c r="AZ227" s="19"/>
      <c r="BA227" s="20"/>
      <c r="BB227" s="49"/>
    </row>
    <row r="228" spans="1:54" ht="13.5" customHeight="1" x14ac:dyDescent="0.2">
      <c r="A228" s="119" t="s">
        <v>679</v>
      </c>
      <c r="B228" s="110" t="s">
        <v>280</v>
      </c>
      <c r="C228" s="44">
        <v>45</v>
      </c>
      <c r="D228" s="35" t="s">
        <v>293</v>
      </c>
      <c r="E228" s="26">
        <v>478</v>
      </c>
      <c r="F228" s="26" t="s">
        <v>2302</v>
      </c>
      <c r="G228" s="35" t="s">
        <v>1508</v>
      </c>
      <c r="H228" s="37">
        <v>1</v>
      </c>
      <c r="I228" s="37" t="s">
        <v>47</v>
      </c>
      <c r="J228" s="37">
        <v>1</v>
      </c>
      <c r="K228" s="37" t="s">
        <v>47</v>
      </c>
      <c r="L228" s="35" t="str">
        <f>VLOOKUP(Tabla411[[#This Row],[BTL CVE]],tblPDV[#All],13,0)</f>
        <v xml:space="preserve">AGUIRRE CAMACHO ATZIN SUSANA </v>
      </c>
      <c r="M228" s="26" t="s">
        <v>536</v>
      </c>
      <c r="N228" s="26" t="s">
        <v>54</v>
      </c>
      <c r="O228" s="26" t="s">
        <v>49</v>
      </c>
      <c r="P228" s="26" t="s">
        <v>49</v>
      </c>
      <c r="Q228" s="26" t="s">
        <v>50</v>
      </c>
      <c r="R228" s="38">
        <v>46113</v>
      </c>
      <c r="S228" s="38">
        <v>46142</v>
      </c>
      <c r="T228" s="19">
        <v>1</v>
      </c>
      <c r="U228" s="19">
        <v>1</v>
      </c>
      <c r="V228" s="19">
        <v>1</v>
      </c>
      <c r="W228" s="19">
        <v>1</v>
      </c>
      <c r="X228" s="22"/>
      <c r="Y228" s="19">
        <v>1</v>
      </c>
      <c r="Z228" s="19">
        <v>1</v>
      </c>
      <c r="AA228" s="19">
        <v>1</v>
      </c>
      <c r="AB228" s="19">
        <v>1</v>
      </c>
      <c r="AC228" s="19">
        <v>1</v>
      </c>
      <c r="AD228" s="19">
        <v>1</v>
      </c>
      <c r="AE228" s="22"/>
      <c r="AF228" s="19">
        <v>1</v>
      </c>
      <c r="AG228" s="19">
        <v>1</v>
      </c>
      <c r="AH228" s="19">
        <v>1</v>
      </c>
      <c r="AI228" s="19">
        <v>1</v>
      </c>
      <c r="AJ228" s="19">
        <v>1</v>
      </c>
      <c r="AK228" s="19">
        <v>1</v>
      </c>
      <c r="AL228" s="22"/>
      <c r="AM228" s="19">
        <v>1</v>
      </c>
      <c r="AN228" s="19">
        <v>1</v>
      </c>
      <c r="AO228" s="19">
        <v>1</v>
      </c>
      <c r="AP228" s="19">
        <v>1</v>
      </c>
      <c r="AQ228" s="19">
        <v>1</v>
      </c>
      <c r="AR228" s="19">
        <v>1</v>
      </c>
      <c r="AS228" s="22"/>
      <c r="AT228" s="19">
        <v>1</v>
      </c>
      <c r="AU228" s="19">
        <v>1</v>
      </c>
      <c r="AV228" s="19">
        <v>1</v>
      </c>
      <c r="AW228" s="19">
        <v>1</v>
      </c>
      <c r="AX228" s="19">
        <f>SUM(T228:AW228)</f>
        <v>26</v>
      </c>
      <c r="AY228" s="20"/>
      <c r="AZ228" s="19"/>
      <c r="BA228" s="20"/>
      <c r="BB228" s="49" t="s">
        <v>2104</v>
      </c>
    </row>
    <row r="229" spans="1:54" ht="13.5" customHeight="1" x14ac:dyDescent="0.2">
      <c r="A229" s="104" t="s">
        <v>681</v>
      </c>
      <c r="B229" s="86" t="s">
        <v>280</v>
      </c>
      <c r="C229" s="26">
        <v>50</v>
      </c>
      <c r="D229" s="35" t="s">
        <v>295</v>
      </c>
      <c r="E229" s="26">
        <v>60</v>
      </c>
      <c r="F229" s="26" t="s">
        <v>2147</v>
      </c>
      <c r="G229" s="35" t="s">
        <v>2031</v>
      </c>
      <c r="H229" s="37">
        <v>1</v>
      </c>
      <c r="I229" s="37" t="s">
        <v>47</v>
      </c>
      <c r="J229" s="37">
        <v>1</v>
      </c>
      <c r="K229" s="37" t="s">
        <v>47</v>
      </c>
      <c r="L229" s="35" t="str">
        <f>VLOOKUP(Tabla411[[#This Row],[BTL CVE]],tblPDV[#All],13,0)</f>
        <v xml:space="preserve">AGUIRRE CAMACHO ATZIN SUSANA </v>
      </c>
      <c r="M229" s="26" t="s">
        <v>536</v>
      </c>
      <c r="N229" s="26" t="s">
        <v>54</v>
      </c>
      <c r="O229" s="26" t="s">
        <v>49</v>
      </c>
      <c r="P229" s="26" t="s">
        <v>49</v>
      </c>
      <c r="Q229" s="26" t="s">
        <v>50</v>
      </c>
      <c r="R229" s="38">
        <v>46113</v>
      </c>
      <c r="S229" s="38">
        <v>46142</v>
      </c>
      <c r="T229" s="19">
        <v>1</v>
      </c>
      <c r="U229" s="19">
        <v>1</v>
      </c>
      <c r="V229" s="19">
        <v>1</v>
      </c>
      <c r="W229" s="19">
        <v>1</v>
      </c>
      <c r="X229" s="22"/>
      <c r="Y229" s="19">
        <v>1</v>
      </c>
      <c r="Z229" s="19">
        <v>1</v>
      </c>
      <c r="AA229" s="19">
        <v>1</v>
      </c>
      <c r="AB229" s="19">
        <v>1</v>
      </c>
      <c r="AC229" s="19">
        <v>1</v>
      </c>
      <c r="AD229" s="19">
        <v>1</v>
      </c>
      <c r="AE229" s="22"/>
      <c r="AF229" s="19">
        <v>1</v>
      </c>
      <c r="AG229" s="19">
        <v>1</v>
      </c>
      <c r="AH229" s="19">
        <v>1</v>
      </c>
      <c r="AI229" s="19">
        <v>1</v>
      </c>
      <c r="AJ229" s="19">
        <v>1</v>
      </c>
      <c r="AK229" s="19">
        <v>1</v>
      </c>
      <c r="AL229" s="22"/>
      <c r="AM229" s="19">
        <v>1</v>
      </c>
      <c r="AN229" s="19">
        <v>1</v>
      </c>
      <c r="AO229" s="19">
        <v>1</v>
      </c>
      <c r="AP229" s="19">
        <v>1</v>
      </c>
      <c r="AQ229" s="19">
        <v>1</v>
      </c>
      <c r="AR229" s="19">
        <v>1</v>
      </c>
      <c r="AS229" s="22"/>
      <c r="AT229" s="19">
        <v>1</v>
      </c>
      <c r="AU229" s="19">
        <v>1</v>
      </c>
      <c r="AV229" s="19">
        <v>1</v>
      </c>
      <c r="AW229" s="19">
        <v>1</v>
      </c>
      <c r="AX229" s="19">
        <f>SUM(T229:AW229)</f>
        <v>26</v>
      </c>
      <c r="AY229" s="20"/>
      <c r="AZ229" s="19"/>
      <c r="BA229" s="20"/>
      <c r="BB229" s="49"/>
    </row>
    <row r="230" spans="1:54" ht="13.5" customHeight="1" x14ac:dyDescent="0.2">
      <c r="A230" s="119" t="s">
        <v>688</v>
      </c>
      <c r="B230" s="110" t="s">
        <v>280</v>
      </c>
      <c r="C230" s="44">
        <v>114</v>
      </c>
      <c r="D230" s="35" t="s">
        <v>301</v>
      </c>
      <c r="E230" s="26">
        <v>388</v>
      </c>
      <c r="F230" s="26" t="s">
        <v>2271</v>
      </c>
      <c r="G230" s="35" t="s">
        <v>302</v>
      </c>
      <c r="H230" s="37">
        <v>1</v>
      </c>
      <c r="I230" s="37" t="s">
        <v>47</v>
      </c>
      <c r="J230" s="37">
        <v>1</v>
      </c>
      <c r="K230" s="37" t="s">
        <v>47</v>
      </c>
      <c r="L230" s="35" t="str">
        <f>VLOOKUP(Tabla411[[#This Row],[BTL CVE]],tblPDV[#All],13,0)</f>
        <v>MONTAGNER OLIVARES MIGUEL ANGEL</v>
      </c>
      <c r="M230" s="26" t="s">
        <v>536</v>
      </c>
      <c r="N230" s="26" t="s">
        <v>54</v>
      </c>
      <c r="O230" s="26" t="s">
        <v>49</v>
      </c>
      <c r="P230" s="26" t="s">
        <v>49</v>
      </c>
      <c r="Q230" s="26" t="s">
        <v>50</v>
      </c>
      <c r="R230" s="38">
        <v>46113</v>
      </c>
      <c r="S230" s="38">
        <v>46142</v>
      </c>
      <c r="T230" s="19">
        <v>1</v>
      </c>
      <c r="U230" s="19">
        <v>1</v>
      </c>
      <c r="V230" s="19">
        <v>1</v>
      </c>
      <c r="W230" s="19">
        <v>1</v>
      </c>
      <c r="X230" s="22"/>
      <c r="Y230" s="19">
        <v>1</v>
      </c>
      <c r="Z230" s="19">
        <v>1</v>
      </c>
      <c r="AA230" s="19">
        <v>1</v>
      </c>
      <c r="AB230" s="19">
        <v>1</v>
      </c>
      <c r="AC230" s="19">
        <v>1</v>
      </c>
      <c r="AD230" s="19">
        <v>1</v>
      </c>
      <c r="AE230" s="22"/>
      <c r="AF230" s="19">
        <v>1</v>
      </c>
      <c r="AG230" s="19">
        <v>1</v>
      </c>
      <c r="AH230" s="19">
        <v>1</v>
      </c>
      <c r="AI230" s="19">
        <v>1</v>
      </c>
      <c r="AJ230" s="19">
        <v>1</v>
      </c>
      <c r="AK230" s="19">
        <v>1</v>
      </c>
      <c r="AL230" s="22"/>
      <c r="AM230" s="19">
        <v>1</v>
      </c>
      <c r="AN230" s="19">
        <v>1</v>
      </c>
      <c r="AO230" s="19">
        <v>1</v>
      </c>
      <c r="AP230" s="19">
        <v>1</v>
      </c>
      <c r="AQ230" s="19">
        <v>1</v>
      </c>
      <c r="AR230" s="19">
        <v>1</v>
      </c>
      <c r="AS230" s="22"/>
      <c r="AT230" s="19">
        <v>1</v>
      </c>
      <c r="AU230" s="19">
        <v>1</v>
      </c>
      <c r="AV230" s="19">
        <v>1</v>
      </c>
      <c r="AW230" s="19">
        <v>1</v>
      </c>
      <c r="AX230" s="19">
        <f>SUM(T230:AW230)</f>
        <v>26</v>
      </c>
      <c r="AY230" s="20"/>
      <c r="AZ230" s="19"/>
      <c r="BA230" s="20"/>
      <c r="BB230" s="49" t="s">
        <v>2104</v>
      </c>
    </row>
    <row r="231" spans="1:54" ht="13.5" customHeight="1" x14ac:dyDescent="0.2">
      <c r="A231" s="119" t="s">
        <v>707</v>
      </c>
      <c r="B231" s="110" t="s">
        <v>280</v>
      </c>
      <c r="C231" s="44">
        <v>184</v>
      </c>
      <c r="D231" s="35" t="s">
        <v>324</v>
      </c>
      <c r="E231" s="26">
        <v>573</v>
      </c>
      <c r="F231" s="26" t="s">
        <v>2347</v>
      </c>
      <c r="G231" s="35" t="s">
        <v>1572</v>
      </c>
      <c r="H231" s="37"/>
      <c r="I231" s="37"/>
      <c r="J231" s="37">
        <v>0.5</v>
      </c>
      <c r="K231" s="37" t="s">
        <v>53</v>
      </c>
      <c r="L231" s="35" t="str">
        <f>VLOOKUP(Tabla411[[#This Row],[BTL CVE]],tblPDV[#All],13,0)</f>
        <v xml:space="preserve">GUTIERREZ ROMERO MARUJA BETTY </v>
      </c>
      <c r="M231" s="26" t="s">
        <v>502</v>
      </c>
      <c r="N231" s="26" t="s">
        <v>54</v>
      </c>
      <c r="O231" s="26" t="s">
        <v>49</v>
      </c>
      <c r="P231" s="26" t="s">
        <v>49</v>
      </c>
      <c r="Q231" s="26" t="s">
        <v>50</v>
      </c>
      <c r="R231" s="93">
        <v>46113</v>
      </c>
      <c r="S231" s="93">
        <v>46142</v>
      </c>
      <c r="T231" s="19">
        <v>1</v>
      </c>
      <c r="U231" s="19">
        <v>1</v>
      </c>
      <c r="V231" s="19">
        <v>1</v>
      </c>
      <c r="W231" s="19">
        <v>1</v>
      </c>
      <c r="X231" s="22"/>
      <c r="Y231" s="19">
        <v>1</v>
      </c>
      <c r="Z231" s="19">
        <v>1</v>
      </c>
      <c r="AA231" s="19">
        <v>1</v>
      </c>
      <c r="AB231" s="19">
        <v>1</v>
      </c>
      <c r="AC231" s="19">
        <v>1</v>
      </c>
      <c r="AD231" s="19">
        <v>1</v>
      </c>
      <c r="AE231" s="22"/>
      <c r="AF231" s="19">
        <v>1</v>
      </c>
      <c r="AG231" s="19">
        <v>1</v>
      </c>
      <c r="AH231" s="19">
        <v>1</v>
      </c>
      <c r="AI231" s="19">
        <v>1</v>
      </c>
      <c r="AJ231" s="19">
        <v>1</v>
      </c>
      <c r="AK231" s="19">
        <v>1</v>
      </c>
      <c r="AL231" s="22"/>
      <c r="AM231" s="19">
        <v>1</v>
      </c>
      <c r="AN231" s="19">
        <v>1</v>
      </c>
      <c r="AO231" s="19">
        <v>1</v>
      </c>
      <c r="AP231" s="94"/>
      <c r="AQ231" s="94"/>
      <c r="AR231" s="94"/>
      <c r="AS231" s="22"/>
      <c r="AT231" s="94"/>
      <c r="AU231" s="94"/>
      <c r="AV231" s="94"/>
      <c r="AW231" s="94"/>
      <c r="AX231" s="19">
        <f>SUM(T231:AW231)</f>
        <v>19</v>
      </c>
      <c r="AY231" s="20"/>
      <c r="AZ231" s="19"/>
      <c r="BA231" s="20"/>
      <c r="BB231" s="49" t="s">
        <v>2104</v>
      </c>
    </row>
    <row r="232" spans="1:54" ht="13.5" customHeight="1" x14ac:dyDescent="0.2">
      <c r="A232" s="122" t="s">
        <v>683</v>
      </c>
      <c r="B232" s="115" t="s">
        <v>280</v>
      </c>
      <c r="C232" s="26">
        <v>6</v>
      </c>
      <c r="D232" s="66" t="s">
        <v>296</v>
      </c>
      <c r="E232" s="26">
        <v>435</v>
      </c>
      <c r="F232" s="26" t="s">
        <v>2286</v>
      </c>
      <c r="G232" s="35" t="s">
        <v>1510</v>
      </c>
      <c r="H232" s="37">
        <v>1</v>
      </c>
      <c r="I232" s="37" t="s">
        <v>47</v>
      </c>
      <c r="J232" s="37">
        <v>1</v>
      </c>
      <c r="K232" s="37" t="s">
        <v>53</v>
      </c>
      <c r="L232" s="35" t="str">
        <f>VLOOKUP(Tabla411[[#This Row],[BTL CVE]],tblPDV[#All],13,0)</f>
        <v>MONTAGNER OLIVARES MIGUEL ANGEL</v>
      </c>
      <c r="M232" s="26" t="s">
        <v>536</v>
      </c>
      <c r="N232" s="26" t="s">
        <v>54</v>
      </c>
      <c r="O232" s="26" t="s">
        <v>49</v>
      </c>
      <c r="P232" s="26" t="s">
        <v>49</v>
      </c>
      <c r="Q232" s="26" t="s">
        <v>50</v>
      </c>
      <c r="R232" s="38">
        <v>46113</v>
      </c>
      <c r="S232" s="38">
        <v>46142</v>
      </c>
      <c r="T232" s="19">
        <v>1</v>
      </c>
      <c r="U232" s="19">
        <v>1</v>
      </c>
      <c r="V232" s="19">
        <v>1</v>
      </c>
      <c r="W232" s="19">
        <v>1</v>
      </c>
      <c r="X232" s="22"/>
      <c r="Y232" s="19">
        <v>1</v>
      </c>
      <c r="Z232" s="19">
        <v>1</v>
      </c>
      <c r="AA232" s="19">
        <v>1</v>
      </c>
      <c r="AB232" s="19">
        <v>1</v>
      </c>
      <c r="AC232" s="19">
        <v>1</v>
      </c>
      <c r="AD232" s="19">
        <v>1</v>
      </c>
      <c r="AE232" s="22"/>
      <c r="AF232" s="19">
        <v>1</v>
      </c>
      <c r="AG232" s="19">
        <v>1</v>
      </c>
      <c r="AH232" s="19">
        <v>1</v>
      </c>
      <c r="AI232" s="19">
        <v>1</v>
      </c>
      <c r="AJ232" s="19">
        <v>1</v>
      </c>
      <c r="AK232" s="19">
        <v>1</v>
      </c>
      <c r="AL232" s="22"/>
      <c r="AM232" s="19">
        <v>1</v>
      </c>
      <c r="AN232" s="19">
        <v>1</v>
      </c>
      <c r="AO232" s="19">
        <v>1</v>
      </c>
      <c r="AP232" s="19">
        <v>1</v>
      </c>
      <c r="AQ232" s="19">
        <v>1</v>
      </c>
      <c r="AR232" s="19">
        <v>1</v>
      </c>
      <c r="AS232" s="22"/>
      <c r="AT232" s="19">
        <v>1</v>
      </c>
      <c r="AU232" s="19">
        <v>1</v>
      </c>
      <c r="AV232" s="19">
        <v>1</v>
      </c>
      <c r="AW232" s="19">
        <v>1</v>
      </c>
      <c r="AX232" s="19">
        <f>SUM(T232:AW232)</f>
        <v>26</v>
      </c>
      <c r="AY232" s="20"/>
      <c r="AZ232" s="19"/>
      <c r="BA232" s="20"/>
      <c r="BB232" s="49" t="s">
        <v>2358</v>
      </c>
    </row>
    <row r="233" spans="1:54" ht="13.5" customHeight="1" x14ac:dyDescent="0.2">
      <c r="A233" s="104" t="s">
        <v>684</v>
      </c>
      <c r="B233" s="86" t="s">
        <v>280</v>
      </c>
      <c r="C233" s="26">
        <v>15</v>
      </c>
      <c r="D233" s="35" t="s">
        <v>297</v>
      </c>
      <c r="E233" s="26">
        <v>32</v>
      </c>
      <c r="F233" s="26" t="s">
        <v>2138</v>
      </c>
      <c r="G233" s="35" t="s">
        <v>1513</v>
      </c>
      <c r="H233" s="37">
        <v>1</v>
      </c>
      <c r="I233" s="37" t="s">
        <v>47</v>
      </c>
      <c r="J233" s="37">
        <v>1</v>
      </c>
      <c r="K233" s="37" t="s">
        <v>47</v>
      </c>
      <c r="L233" s="35" t="str">
        <f>VLOOKUP(Tabla411[[#This Row],[BTL CVE]],tblPDV[#All],13,0)</f>
        <v xml:space="preserve">MONROY GONZALEZ MARIA ZENAIDA </v>
      </c>
      <c r="M233" s="26" t="s">
        <v>536</v>
      </c>
      <c r="N233" s="26" t="s">
        <v>54</v>
      </c>
      <c r="O233" s="26" t="s">
        <v>49</v>
      </c>
      <c r="P233" s="26" t="s">
        <v>49</v>
      </c>
      <c r="Q233" s="26" t="s">
        <v>50</v>
      </c>
      <c r="R233" s="38">
        <v>46113</v>
      </c>
      <c r="S233" s="38">
        <v>46142</v>
      </c>
      <c r="T233" s="19">
        <v>1</v>
      </c>
      <c r="U233" s="19">
        <v>1</v>
      </c>
      <c r="V233" s="19">
        <v>1</v>
      </c>
      <c r="W233" s="19">
        <v>1</v>
      </c>
      <c r="X233" s="22"/>
      <c r="Y233" s="19">
        <v>1</v>
      </c>
      <c r="Z233" s="19">
        <v>1</v>
      </c>
      <c r="AA233" s="19">
        <v>1</v>
      </c>
      <c r="AB233" s="19">
        <v>1</v>
      </c>
      <c r="AC233" s="19">
        <v>1</v>
      </c>
      <c r="AD233" s="19">
        <v>1</v>
      </c>
      <c r="AE233" s="22"/>
      <c r="AF233" s="19">
        <v>1</v>
      </c>
      <c r="AG233" s="19">
        <v>1</v>
      </c>
      <c r="AH233" s="19">
        <v>1</v>
      </c>
      <c r="AI233" s="19">
        <v>1</v>
      </c>
      <c r="AJ233" s="19">
        <v>1</v>
      </c>
      <c r="AK233" s="19">
        <v>1</v>
      </c>
      <c r="AL233" s="22"/>
      <c r="AM233" s="19">
        <v>1</v>
      </c>
      <c r="AN233" s="19">
        <v>1</v>
      </c>
      <c r="AO233" s="19">
        <v>1</v>
      </c>
      <c r="AP233" s="19">
        <v>1</v>
      </c>
      <c r="AQ233" s="19">
        <v>1</v>
      </c>
      <c r="AR233" s="19">
        <v>1</v>
      </c>
      <c r="AS233" s="22"/>
      <c r="AT233" s="19">
        <v>1</v>
      </c>
      <c r="AU233" s="19">
        <v>1</v>
      </c>
      <c r="AV233" s="19">
        <v>1</v>
      </c>
      <c r="AW233" s="19">
        <v>1</v>
      </c>
      <c r="AX233" s="19">
        <f>SUM(T233:AW233)</f>
        <v>26</v>
      </c>
      <c r="AY233" s="20"/>
      <c r="AZ233" s="19"/>
      <c r="BA233" s="20"/>
      <c r="BB233" s="49"/>
    </row>
    <row r="234" spans="1:54" ht="13.5" customHeight="1" x14ac:dyDescent="0.2">
      <c r="A234" s="104" t="s">
        <v>693</v>
      </c>
      <c r="B234" s="105" t="s">
        <v>280</v>
      </c>
      <c r="C234" s="26">
        <v>11</v>
      </c>
      <c r="D234" s="35" t="s">
        <v>308</v>
      </c>
      <c r="E234" s="26">
        <v>471</v>
      </c>
      <c r="F234" s="26" t="s">
        <v>2301</v>
      </c>
      <c r="G234" s="35" t="s">
        <v>1502</v>
      </c>
      <c r="H234" s="37">
        <v>1</v>
      </c>
      <c r="I234" s="37" t="s">
        <v>47</v>
      </c>
      <c r="J234" s="37">
        <v>1</v>
      </c>
      <c r="K234" s="26" t="s">
        <v>47</v>
      </c>
      <c r="L234" s="35" t="str">
        <f>VLOOKUP(Tabla411[[#This Row],[BTL CVE]],tblPDV[#All],13,0)</f>
        <v xml:space="preserve">MONROY GONZALEZ MARIA ZENAIDA </v>
      </c>
      <c r="M234" s="26" t="s">
        <v>536</v>
      </c>
      <c r="N234" s="26" t="s">
        <v>54</v>
      </c>
      <c r="O234" s="26" t="s">
        <v>49</v>
      </c>
      <c r="P234" s="26" t="s">
        <v>49</v>
      </c>
      <c r="Q234" s="26" t="s">
        <v>50</v>
      </c>
      <c r="R234" s="38">
        <v>46113</v>
      </c>
      <c r="S234" s="38">
        <v>46142</v>
      </c>
      <c r="T234" s="19">
        <v>1</v>
      </c>
      <c r="U234" s="19">
        <v>1</v>
      </c>
      <c r="V234" s="19">
        <v>1</v>
      </c>
      <c r="W234" s="19">
        <v>1</v>
      </c>
      <c r="X234" s="22"/>
      <c r="Y234" s="19">
        <v>1</v>
      </c>
      <c r="Z234" s="19">
        <v>1</v>
      </c>
      <c r="AA234" s="19">
        <v>1</v>
      </c>
      <c r="AB234" s="19">
        <v>1</v>
      </c>
      <c r="AC234" s="19">
        <v>1</v>
      </c>
      <c r="AD234" s="19">
        <v>1</v>
      </c>
      <c r="AE234" s="22"/>
      <c r="AF234" s="19">
        <v>1</v>
      </c>
      <c r="AG234" s="19">
        <v>1</v>
      </c>
      <c r="AH234" s="19">
        <v>1</v>
      </c>
      <c r="AI234" s="19">
        <v>1</v>
      </c>
      <c r="AJ234" s="19">
        <v>1</v>
      </c>
      <c r="AK234" s="19">
        <v>1</v>
      </c>
      <c r="AL234" s="22"/>
      <c r="AM234" s="19">
        <v>1</v>
      </c>
      <c r="AN234" s="19">
        <v>1</v>
      </c>
      <c r="AO234" s="19">
        <v>1</v>
      </c>
      <c r="AP234" s="19">
        <v>1</v>
      </c>
      <c r="AQ234" s="19">
        <v>1</v>
      </c>
      <c r="AR234" s="19">
        <v>1</v>
      </c>
      <c r="AS234" s="22"/>
      <c r="AT234" s="19">
        <v>1</v>
      </c>
      <c r="AU234" s="19">
        <v>1</v>
      </c>
      <c r="AV234" s="19">
        <v>1</v>
      </c>
      <c r="AW234" s="19">
        <v>1</v>
      </c>
      <c r="AX234" s="19">
        <f>SUM(T234:AW234)</f>
        <v>26</v>
      </c>
      <c r="AY234" s="20"/>
      <c r="AZ234" s="19"/>
      <c r="BA234" s="20"/>
      <c r="BB234" s="49"/>
    </row>
    <row r="235" spans="1:54" ht="13.5" customHeight="1" x14ac:dyDescent="0.2">
      <c r="A235" s="119" t="s">
        <v>687</v>
      </c>
      <c r="B235" s="113" t="s">
        <v>280</v>
      </c>
      <c r="C235" s="44">
        <v>19</v>
      </c>
      <c r="D235" s="35" t="s">
        <v>300</v>
      </c>
      <c r="E235" s="26">
        <v>58</v>
      </c>
      <c r="F235" s="26" t="s">
        <v>2145</v>
      </c>
      <c r="G235" s="35" t="s">
        <v>2033</v>
      </c>
      <c r="H235" s="37">
        <v>1</v>
      </c>
      <c r="I235" s="37" t="s">
        <v>47</v>
      </c>
      <c r="J235" s="37">
        <v>1</v>
      </c>
      <c r="K235" s="26" t="s">
        <v>47</v>
      </c>
      <c r="L235" s="35" t="str">
        <f>VLOOKUP(Tabla411[[#This Row],[BTL CVE]],tblPDV[#All],13,0)</f>
        <v>LOPEZ RUIZ JACQUELINE</v>
      </c>
      <c r="M235" s="26" t="s">
        <v>536</v>
      </c>
      <c r="N235" s="26" t="s">
        <v>54</v>
      </c>
      <c r="O235" s="26" t="s">
        <v>49</v>
      </c>
      <c r="P235" s="26" t="s">
        <v>49</v>
      </c>
      <c r="Q235" s="26" t="s">
        <v>50</v>
      </c>
      <c r="R235" s="38">
        <v>46113</v>
      </c>
      <c r="S235" s="38">
        <v>46142</v>
      </c>
      <c r="T235" s="19">
        <v>1</v>
      </c>
      <c r="U235" s="19">
        <v>1</v>
      </c>
      <c r="V235" s="19">
        <v>1</v>
      </c>
      <c r="W235" s="19">
        <v>1</v>
      </c>
      <c r="X235" s="22"/>
      <c r="Y235" s="19">
        <v>1</v>
      </c>
      <c r="Z235" s="19">
        <v>1</v>
      </c>
      <c r="AA235" s="19">
        <v>1</v>
      </c>
      <c r="AB235" s="19">
        <v>1</v>
      </c>
      <c r="AC235" s="19">
        <v>1</v>
      </c>
      <c r="AD235" s="19">
        <v>1</v>
      </c>
      <c r="AE235" s="22"/>
      <c r="AF235" s="19">
        <v>1</v>
      </c>
      <c r="AG235" s="19">
        <v>1</v>
      </c>
      <c r="AH235" s="19">
        <v>1</v>
      </c>
      <c r="AI235" s="19">
        <v>1</v>
      </c>
      <c r="AJ235" s="19">
        <v>1</v>
      </c>
      <c r="AK235" s="19">
        <v>1</v>
      </c>
      <c r="AL235" s="22"/>
      <c r="AM235" s="19">
        <v>1</v>
      </c>
      <c r="AN235" s="19">
        <v>1</v>
      </c>
      <c r="AO235" s="19">
        <v>1</v>
      </c>
      <c r="AP235" s="19">
        <v>1</v>
      </c>
      <c r="AQ235" s="19">
        <v>1</v>
      </c>
      <c r="AR235" s="19">
        <v>1</v>
      </c>
      <c r="AS235" s="22"/>
      <c r="AT235" s="19">
        <v>1</v>
      </c>
      <c r="AU235" s="19">
        <v>1</v>
      </c>
      <c r="AV235" s="19">
        <v>1</v>
      </c>
      <c r="AW235" s="19">
        <v>1</v>
      </c>
      <c r="AX235" s="19">
        <f>SUM(T235:AW235)</f>
        <v>26</v>
      </c>
      <c r="AY235" s="20"/>
      <c r="AZ235" s="19"/>
      <c r="BA235" s="20"/>
      <c r="BB235" s="49" t="s">
        <v>2104</v>
      </c>
    </row>
    <row r="236" spans="1:54" ht="13.5" customHeight="1" x14ac:dyDescent="0.2">
      <c r="A236" s="119" t="s">
        <v>677</v>
      </c>
      <c r="B236" s="110" t="s">
        <v>280</v>
      </c>
      <c r="C236" s="44">
        <v>129</v>
      </c>
      <c r="D236" s="35" t="s">
        <v>291</v>
      </c>
      <c r="E236" s="26">
        <v>202</v>
      </c>
      <c r="F236" s="26" t="s">
        <v>2214</v>
      </c>
      <c r="G236" s="35" t="s">
        <v>2023</v>
      </c>
      <c r="H236" s="37"/>
      <c r="I236" s="37"/>
      <c r="J236" s="109">
        <v>0.33333333333333298</v>
      </c>
      <c r="K236" s="37" t="s">
        <v>53</v>
      </c>
      <c r="L236" s="35" t="str">
        <f>VLOOKUP(Tabla411[[#This Row],[BTL CVE]],tblPDV[#All],13,0)</f>
        <v>CARRILLO XOCHIHUA XOCHITL</v>
      </c>
      <c r="M236" s="26" t="s">
        <v>536</v>
      </c>
      <c r="N236" s="26" t="s">
        <v>54</v>
      </c>
      <c r="O236" s="26" t="s">
        <v>49</v>
      </c>
      <c r="P236" s="26" t="s">
        <v>49</v>
      </c>
      <c r="Q236" s="26" t="s">
        <v>50</v>
      </c>
      <c r="R236" s="38">
        <v>46113</v>
      </c>
      <c r="S236" s="38">
        <v>46142</v>
      </c>
      <c r="T236" s="19">
        <v>1</v>
      </c>
      <c r="U236" s="19">
        <v>1</v>
      </c>
      <c r="V236" s="19">
        <v>1</v>
      </c>
      <c r="W236" s="19">
        <v>1</v>
      </c>
      <c r="X236" s="22"/>
      <c r="Y236" s="19">
        <v>1</v>
      </c>
      <c r="Z236" s="19">
        <v>1</v>
      </c>
      <c r="AA236" s="19">
        <v>1</v>
      </c>
      <c r="AB236" s="19">
        <v>1</v>
      </c>
      <c r="AC236" s="19">
        <v>1</v>
      </c>
      <c r="AD236" s="19">
        <v>1</v>
      </c>
      <c r="AE236" s="22"/>
      <c r="AF236" s="19">
        <v>1</v>
      </c>
      <c r="AG236" s="19">
        <v>1</v>
      </c>
      <c r="AH236" s="19">
        <v>1</v>
      </c>
      <c r="AI236" s="19">
        <v>1</v>
      </c>
      <c r="AJ236" s="19">
        <v>1</v>
      </c>
      <c r="AK236" s="19">
        <v>1</v>
      </c>
      <c r="AL236" s="22"/>
      <c r="AM236" s="19">
        <v>1</v>
      </c>
      <c r="AN236" s="19">
        <v>1</v>
      </c>
      <c r="AO236" s="19">
        <v>1</v>
      </c>
      <c r="AP236" s="19"/>
      <c r="AQ236" s="19"/>
      <c r="AR236" s="19"/>
      <c r="AS236" s="22"/>
      <c r="AT236" s="19"/>
      <c r="AU236" s="19"/>
      <c r="AV236" s="19"/>
      <c r="AW236" s="19"/>
      <c r="AX236" s="19">
        <f>SUM(T236:AW236)</f>
        <v>19</v>
      </c>
      <c r="AY236" s="20"/>
      <c r="AZ236" s="19"/>
      <c r="BA236" s="20"/>
      <c r="BB236" s="49" t="s">
        <v>2104</v>
      </c>
    </row>
    <row r="237" spans="1:54" ht="13.5" customHeight="1" x14ac:dyDescent="0.2">
      <c r="A237" s="122" t="s">
        <v>689</v>
      </c>
      <c r="B237" s="115" t="s">
        <v>280</v>
      </c>
      <c r="C237" s="26">
        <v>100</v>
      </c>
      <c r="D237" s="66" t="s">
        <v>303</v>
      </c>
      <c r="E237" s="26">
        <v>402</v>
      </c>
      <c r="F237" s="26" t="s">
        <v>2275</v>
      </c>
      <c r="G237" s="35" t="s">
        <v>304</v>
      </c>
      <c r="H237" s="37">
        <v>1</v>
      </c>
      <c r="I237" s="37" t="s">
        <v>47</v>
      </c>
      <c r="J237" s="37">
        <v>1</v>
      </c>
      <c r="K237" s="37" t="s">
        <v>47</v>
      </c>
      <c r="L237" s="35" t="str">
        <f>VLOOKUP(Tabla411[[#This Row],[BTL CVE]],tblPDV[#All],13,0)</f>
        <v xml:space="preserve">CHAVEZ RAMOS  JONATAN RAYMUNDO </v>
      </c>
      <c r="M237" s="26" t="s">
        <v>536</v>
      </c>
      <c r="N237" s="26" t="s">
        <v>54</v>
      </c>
      <c r="O237" s="26" t="s">
        <v>49</v>
      </c>
      <c r="P237" s="26" t="s">
        <v>49</v>
      </c>
      <c r="Q237" s="26" t="s">
        <v>50</v>
      </c>
      <c r="R237" s="38">
        <v>46113</v>
      </c>
      <c r="S237" s="38">
        <v>46142</v>
      </c>
      <c r="T237" s="19">
        <v>1</v>
      </c>
      <c r="U237" s="19">
        <v>1</v>
      </c>
      <c r="V237" s="19">
        <v>1</v>
      </c>
      <c r="W237" s="19">
        <v>1</v>
      </c>
      <c r="X237" s="22"/>
      <c r="Y237" s="19">
        <v>1</v>
      </c>
      <c r="Z237" s="19">
        <v>1</v>
      </c>
      <c r="AA237" s="19">
        <v>1</v>
      </c>
      <c r="AB237" s="19">
        <v>1</v>
      </c>
      <c r="AC237" s="19">
        <v>1</v>
      </c>
      <c r="AD237" s="19">
        <v>1</v>
      </c>
      <c r="AE237" s="22"/>
      <c r="AF237" s="19">
        <v>1</v>
      </c>
      <c r="AG237" s="19">
        <v>1</v>
      </c>
      <c r="AH237" s="19">
        <v>1</v>
      </c>
      <c r="AI237" s="19">
        <v>1</v>
      </c>
      <c r="AJ237" s="19">
        <v>1</v>
      </c>
      <c r="AK237" s="19">
        <v>1</v>
      </c>
      <c r="AL237" s="22"/>
      <c r="AM237" s="19">
        <v>1</v>
      </c>
      <c r="AN237" s="19">
        <v>1</v>
      </c>
      <c r="AO237" s="19">
        <v>1</v>
      </c>
      <c r="AP237" s="19">
        <v>1</v>
      </c>
      <c r="AQ237" s="19">
        <v>1</v>
      </c>
      <c r="AR237" s="19">
        <v>1</v>
      </c>
      <c r="AS237" s="22"/>
      <c r="AT237" s="19">
        <v>1</v>
      </c>
      <c r="AU237" s="19">
        <v>1</v>
      </c>
      <c r="AV237" s="19">
        <v>1</v>
      </c>
      <c r="AW237" s="19">
        <v>1</v>
      </c>
      <c r="AX237" s="19">
        <f>SUM(T237:AW237)</f>
        <v>26</v>
      </c>
      <c r="AY237" s="20"/>
      <c r="AZ237" s="19"/>
      <c r="BA237" s="20"/>
      <c r="BB237" s="49" t="s">
        <v>2358</v>
      </c>
    </row>
    <row r="238" spans="1:54" ht="13.5" customHeight="1" x14ac:dyDescent="0.2">
      <c r="A238" s="119" t="s">
        <v>690</v>
      </c>
      <c r="B238" s="113" t="s">
        <v>280</v>
      </c>
      <c r="C238" s="44">
        <v>20</v>
      </c>
      <c r="D238" s="35" t="s">
        <v>305</v>
      </c>
      <c r="E238" s="26">
        <v>172</v>
      </c>
      <c r="F238" s="26" t="s">
        <v>2202</v>
      </c>
      <c r="G238" s="35" t="s">
        <v>2035</v>
      </c>
      <c r="H238" s="37">
        <v>1</v>
      </c>
      <c r="I238" s="37" t="s">
        <v>47</v>
      </c>
      <c r="J238" s="37">
        <v>1</v>
      </c>
      <c r="K238" s="37" t="s">
        <v>47</v>
      </c>
      <c r="L238" s="35" t="str">
        <f>VLOOKUP(Tabla411[[#This Row],[BTL CVE]],tblPDV[#All],13,0)</f>
        <v xml:space="preserve">REYES AYBAR LILIANA </v>
      </c>
      <c r="M238" s="26" t="s">
        <v>536</v>
      </c>
      <c r="N238" s="26" t="s">
        <v>54</v>
      </c>
      <c r="O238" s="26" t="s">
        <v>49</v>
      </c>
      <c r="P238" s="26" t="s">
        <v>49</v>
      </c>
      <c r="Q238" s="26" t="s">
        <v>50</v>
      </c>
      <c r="R238" s="38">
        <v>46113</v>
      </c>
      <c r="S238" s="38">
        <v>46142</v>
      </c>
      <c r="T238" s="19">
        <v>1</v>
      </c>
      <c r="U238" s="19">
        <v>1</v>
      </c>
      <c r="V238" s="19">
        <v>1</v>
      </c>
      <c r="W238" s="19">
        <v>1</v>
      </c>
      <c r="X238" s="22"/>
      <c r="Y238" s="19">
        <v>1</v>
      </c>
      <c r="Z238" s="19">
        <v>1</v>
      </c>
      <c r="AA238" s="19">
        <v>1</v>
      </c>
      <c r="AB238" s="19">
        <v>1</v>
      </c>
      <c r="AC238" s="19">
        <v>1</v>
      </c>
      <c r="AD238" s="19">
        <v>1</v>
      </c>
      <c r="AE238" s="22"/>
      <c r="AF238" s="19">
        <v>1</v>
      </c>
      <c r="AG238" s="19">
        <v>1</v>
      </c>
      <c r="AH238" s="19">
        <v>1</v>
      </c>
      <c r="AI238" s="19">
        <v>1</v>
      </c>
      <c r="AJ238" s="19">
        <v>1</v>
      </c>
      <c r="AK238" s="19">
        <v>1</v>
      </c>
      <c r="AL238" s="22"/>
      <c r="AM238" s="19">
        <v>1</v>
      </c>
      <c r="AN238" s="19">
        <v>1</v>
      </c>
      <c r="AO238" s="19">
        <v>1</v>
      </c>
      <c r="AP238" s="19">
        <v>1</v>
      </c>
      <c r="AQ238" s="19">
        <v>1</v>
      </c>
      <c r="AR238" s="19">
        <v>1</v>
      </c>
      <c r="AS238" s="22"/>
      <c r="AT238" s="19">
        <v>1</v>
      </c>
      <c r="AU238" s="19">
        <v>1</v>
      </c>
      <c r="AV238" s="19">
        <v>1</v>
      </c>
      <c r="AW238" s="19">
        <v>1</v>
      </c>
      <c r="AX238" s="19">
        <f>SUM(T238:AW238)</f>
        <v>26</v>
      </c>
      <c r="AY238" s="20"/>
      <c r="AZ238" s="19"/>
      <c r="BA238" s="20"/>
      <c r="BB238" s="49" t="s">
        <v>2103</v>
      </c>
    </row>
    <row r="239" spans="1:54" ht="13.5" customHeight="1" x14ac:dyDescent="0.2">
      <c r="A239" s="104" t="s">
        <v>691</v>
      </c>
      <c r="B239" s="86" t="s">
        <v>280</v>
      </c>
      <c r="C239" s="26">
        <v>52</v>
      </c>
      <c r="D239" s="35" t="s">
        <v>306</v>
      </c>
      <c r="E239" s="26">
        <v>29</v>
      </c>
      <c r="F239" s="26" t="s">
        <v>2135</v>
      </c>
      <c r="G239" s="35" t="s">
        <v>2036</v>
      </c>
      <c r="H239" s="37">
        <v>1</v>
      </c>
      <c r="I239" s="37" t="s">
        <v>47</v>
      </c>
      <c r="J239" s="37">
        <v>1</v>
      </c>
      <c r="K239" s="37" t="s">
        <v>47</v>
      </c>
      <c r="L239" s="35" t="str">
        <f>VLOOKUP(Tabla411[[#This Row],[BTL CVE]],tblPDV[#All],13,0)</f>
        <v xml:space="preserve">REYES AYBAR LILIANA </v>
      </c>
      <c r="M239" s="26" t="s">
        <v>536</v>
      </c>
      <c r="N239" s="26" t="s">
        <v>54</v>
      </c>
      <c r="O239" s="26" t="s">
        <v>49</v>
      </c>
      <c r="P239" s="26" t="s">
        <v>49</v>
      </c>
      <c r="Q239" s="26" t="s">
        <v>50</v>
      </c>
      <c r="R239" s="38">
        <v>46113</v>
      </c>
      <c r="S239" s="38">
        <v>46142</v>
      </c>
      <c r="T239" s="19">
        <v>1</v>
      </c>
      <c r="U239" s="19">
        <v>1</v>
      </c>
      <c r="V239" s="19">
        <v>1</v>
      </c>
      <c r="W239" s="19">
        <v>1</v>
      </c>
      <c r="X239" s="22"/>
      <c r="Y239" s="19">
        <v>1</v>
      </c>
      <c r="Z239" s="19">
        <v>1</v>
      </c>
      <c r="AA239" s="19">
        <v>1</v>
      </c>
      <c r="AB239" s="19">
        <v>1</v>
      </c>
      <c r="AC239" s="19">
        <v>1</v>
      </c>
      <c r="AD239" s="19">
        <v>1</v>
      </c>
      <c r="AE239" s="22"/>
      <c r="AF239" s="19">
        <v>1</v>
      </c>
      <c r="AG239" s="19">
        <v>1</v>
      </c>
      <c r="AH239" s="19">
        <v>1</v>
      </c>
      <c r="AI239" s="19">
        <v>1</v>
      </c>
      <c r="AJ239" s="19">
        <v>1</v>
      </c>
      <c r="AK239" s="19">
        <v>1</v>
      </c>
      <c r="AL239" s="22"/>
      <c r="AM239" s="19">
        <v>1</v>
      </c>
      <c r="AN239" s="19">
        <v>1</v>
      </c>
      <c r="AO239" s="19">
        <v>1</v>
      </c>
      <c r="AP239" s="19">
        <v>1</v>
      </c>
      <c r="AQ239" s="19">
        <v>1</v>
      </c>
      <c r="AR239" s="19">
        <v>1</v>
      </c>
      <c r="AS239" s="22"/>
      <c r="AT239" s="19">
        <v>1</v>
      </c>
      <c r="AU239" s="19">
        <v>1</v>
      </c>
      <c r="AV239" s="19">
        <v>1</v>
      </c>
      <c r="AW239" s="19">
        <v>1</v>
      </c>
      <c r="AX239" s="19">
        <f>SUM(T239:AW239)</f>
        <v>26</v>
      </c>
      <c r="AY239" s="20"/>
      <c r="AZ239" s="19"/>
      <c r="BA239" s="20"/>
      <c r="BB239" s="49"/>
    </row>
    <row r="240" spans="1:54" ht="13.5" customHeight="1" x14ac:dyDescent="0.2">
      <c r="A240" s="104" t="s">
        <v>692</v>
      </c>
      <c r="B240" s="86" t="s">
        <v>280</v>
      </c>
      <c r="C240" s="26">
        <v>176</v>
      </c>
      <c r="D240" s="35" t="s">
        <v>307</v>
      </c>
      <c r="E240" s="26">
        <v>105</v>
      </c>
      <c r="F240" s="26" t="s">
        <v>2171</v>
      </c>
      <c r="G240" s="35" t="s">
        <v>2037</v>
      </c>
      <c r="H240" s="37">
        <v>1</v>
      </c>
      <c r="I240" s="37" t="s">
        <v>47</v>
      </c>
      <c r="J240" s="37">
        <v>1</v>
      </c>
      <c r="K240" s="37" t="s">
        <v>47</v>
      </c>
      <c r="L240" s="35" t="str">
        <f>VLOOKUP(Tabla411[[#This Row],[BTL CVE]],tblPDV[#All],13,0)</f>
        <v xml:space="preserve">REYES AYBAR LILIANA </v>
      </c>
      <c r="M240" s="26" t="s">
        <v>536</v>
      </c>
      <c r="N240" s="26" t="s">
        <v>54</v>
      </c>
      <c r="O240" s="26" t="s">
        <v>49</v>
      </c>
      <c r="P240" s="26" t="s">
        <v>49</v>
      </c>
      <c r="Q240" s="26" t="s">
        <v>50</v>
      </c>
      <c r="R240" s="38">
        <v>46113</v>
      </c>
      <c r="S240" s="38">
        <v>46142</v>
      </c>
      <c r="T240" s="19">
        <v>1</v>
      </c>
      <c r="U240" s="19">
        <v>1</v>
      </c>
      <c r="V240" s="19">
        <v>1</v>
      </c>
      <c r="W240" s="19">
        <v>1</v>
      </c>
      <c r="X240" s="22"/>
      <c r="Y240" s="19">
        <v>1</v>
      </c>
      <c r="Z240" s="19">
        <v>1</v>
      </c>
      <c r="AA240" s="19">
        <v>1</v>
      </c>
      <c r="AB240" s="19">
        <v>1</v>
      </c>
      <c r="AC240" s="19">
        <v>1</v>
      </c>
      <c r="AD240" s="19">
        <v>1</v>
      </c>
      <c r="AE240" s="22"/>
      <c r="AF240" s="19">
        <v>1</v>
      </c>
      <c r="AG240" s="19">
        <v>1</v>
      </c>
      <c r="AH240" s="19">
        <v>1</v>
      </c>
      <c r="AI240" s="19">
        <v>1</v>
      </c>
      <c r="AJ240" s="19">
        <v>1</v>
      </c>
      <c r="AK240" s="19">
        <v>1</v>
      </c>
      <c r="AL240" s="22"/>
      <c r="AM240" s="19">
        <v>1</v>
      </c>
      <c r="AN240" s="19">
        <v>1</v>
      </c>
      <c r="AO240" s="19">
        <v>1</v>
      </c>
      <c r="AP240" s="19">
        <v>1</v>
      </c>
      <c r="AQ240" s="19">
        <v>1</v>
      </c>
      <c r="AR240" s="19">
        <v>1</v>
      </c>
      <c r="AS240" s="22"/>
      <c r="AT240" s="19">
        <v>1</v>
      </c>
      <c r="AU240" s="19">
        <v>1</v>
      </c>
      <c r="AV240" s="19">
        <v>1</v>
      </c>
      <c r="AW240" s="19">
        <v>1</v>
      </c>
      <c r="AX240" s="19">
        <f>SUM(T240:AW240)</f>
        <v>26</v>
      </c>
      <c r="AY240" s="20"/>
      <c r="AZ240" s="19"/>
      <c r="BA240" s="20"/>
      <c r="BB240" s="49"/>
    </row>
    <row r="241" spans="1:54" ht="13.5" customHeight="1" x14ac:dyDescent="0.2">
      <c r="A241" s="104" t="s">
        <v>682</v>
      </c>
      <c r="B241" s="86" t="s">
        <v>280</v>
      </c>
      <c r="C241" s="26">
        <v>1</v>
      </c>
      <c r="D241" s="35" t="s">
        <v>285</v>
      </c>
      <c r="E241" s="26">
        <v>46</v>
      </c>
      <c r="F241" s="26" t="s">
        <v>2142</v>
      </c>
      <c r="G241" s="35" t="s">
        <v>2021</v>
      </c>
      <c r="H241" s="37">
        <v>1</v>
      </c>
      <c r="I241" s="37" t="s">
        <v>47</v>
      </c>
      <c r="J241" s="37">
        <v>1</v>
      </c>
      <c r="K241" s="37" t="s">
        <v>47</v>
      </c>
      <c r="L241" s="35" t="str">
        <f>VLOOKUP(Tabla411[[#This Row],[BTL CVE]],tblPDV[#All],13,0)</f>
        <v>MONTAGNER OLIVARES MIGUEL ANGEL</v>
      </c>
      <c r="M241" s="26" t="s">
        <v>536</v>
      </c>
      <c r="N241" s="26" t="s">
        <v>54</v>
      </c>
      <c r="O241" s="26" t="s">
        <v>49</v>
      </c>
      <c r="P241" s="26" t="s">
        <v>49</v>
      </c>
      <c r="Q241" s="26" t="s">
        <v>50</v>
      </c>
      <c r="R241" s="38">
        <v>46113</v>
      </c>
      <c r="S241" s="38">
        <v>46142</v>
      </c>
      <c r="T241" s="19">
        <v>1</v>
      </c>
      <c r="U241" s="19">
        <v>1</v>
      </c>
      <c r="V241" s="19">
        <v>1</v>
      </c>
      <c r="W241" s="19">
        <v>1</v>
      </c>
      <c r="X241" s="22"/>
      <c r="Y241" s="19">
        <v>1</v>
      </c>
      <c r="Z241" s="19">
        <v>1</v>
      </c>
      <c r="AA241" s="19">
        <v>1</v>
      </c>
      <c r="AB241" s="19">
        <v>1</v>
      </c>
      <c r="AC241" s="19">
        <v>1</v>
      </c>
      <c r="AD241" s="19">
        <v>1</v>
      </c>
      <c r="AE241" s="22"/>
      <c r="AF241" s="19">
        <v>1</v>
      </c>
      <c r="AG241" s="19">
        <v>1</v>
      </c>
      <c r="AH241" s="19">
        <v>1</v>
      </c>
      <c r="AI241" s="19">
        <v>1</v>
      </c>
      <c r="AJ241" s="19">
        <v>1</v>
      </c>
      <c r="AK241" s="19">
        <v>1</v>
      </c>
      <c r="AL241" s="22"/>
      <c r="AM241" s="19">
        <v>1</v>
      </c>
      <c r="AN241" s="19">
        <v>1</v>
      </c>
      <c r="AO241" s="19">
        <v>1</v>
      </c>
      <c r="AP241" s="19">
        <v>1</v>
      </c>
      <c r="AQ241" s="19">
        <v>1</v>
      </c>
      <c r="AR241" s="19">
        <v>1</v>
      </c>
      <c r="AS241" s="22"/>
      <c r="AT241" s="19">
        <v>1</v>
      </c>
      <c r="AU241" s="19">
        <v>1</v>
      </c>
      <c r="AV241" s="19">
        <v>1</v>
      </c>
      <c r="AW241" s="19">
        <v>1</v>
      </c>
      <c r="AX241" s="19">
        <f>SUM(T241:AW241)</f>
        <v>26</v>
      </c>
      <c r="AY241" s="20"/>
      <c r="AZ241" s="19"/>
      <c r="BA241" s="20"/>
      <c r="BB241" s="49"/>
    </row>
    <row r="242" spans="1:54" ht="12" x14ac:dyDescent="0.2">
      <c r="A242" s="104" t="s">
        <v>706</v>
      </c>
      <c r="B242" s="105" t="s">
        <v>280</v>
      </c>
      <c r="C242" s="26">
        <v>70</v>
      </c>
      <c r="D242" s="35" t="s">
        <v>323</v>
      </c>
      <c r="E242" s="26">
        <v>508</v>
      </c>
      <c r="F242" s="26" t="s">
        <v>2321</v>
      </c>
      <c r="G242" s="35" t="s">
        <v>2038</v>
      </c>
      <c r="H242" s="37">
        <v>1</v>
      </c>
      <c r="I242" s="37" t="s">
        <v>47</v>
      </c>
      <c r="J242" s="37">
        <v>1</v>
      </c>
      <c r="K242" s="37" t="s">
        <v>47</v>
      </c>
      <c r="L242" s="35" t="str">
        <f>VLOOKUP(Tabla411[[#This Row],[BTL CVE]],tblPDV[#All],13,0)</f>
        <v xml:space="preserve">AGUIRRE CAMACHO ATZIN SUSANA </v>
      </c>
      <c r="M242" s="26" t="s">
        <v>536</v>
      </c>
      <c r="N242" s="26" t="s">
        <v>54</v>
      </c>
      <c r="O242" s="26" t="s">
        <v>49</v>
      </c>
      <c r="P242" s="26" t="s">
        <v>49</v>
      </c>
      <c r="Q242" s="26" t="s">
        <v>50</v>
      </c>
      <c r="R242" s="38">
        <v>46113</v>
      </c>
      <c r="S242" s="38">
        <v>46142</v>
      </c>
      <c r="T242" s="19">
        <v>1</v>
      </c>
      <c r="U242" s="19">
        <v>1</v>
      </c>
      <c r="V242" s="19">
        <v>1</v>
      </c>
      <c r="W242" s="19">
        <v>1</v>
      </c>
      <c r="X242" s="22"/>
      <c r="Y242" s="19">
        <v>1</v>
      </c>
      <c r="Z242" s="19">
        <v>1</v>
      </c>
      <c r="AA242" s="19">
        <v>1</v>
      </c>
      <c r="AB242" s="19">
        <v>1</v>
      </c>
      <c r="AC242" s="19">
        <v>1</v>
      </c>
      <c r="AD242" s="19">
        <v>1</v>
      </c>
      <c r="AE242" s="22"/>
      <c r="AF242" s="19">
        <v>1</v>
      </c>
      <c r="AG242" s="19">
        <v>1</v>
      </c>
      <c r="AH242" s="19">
        <v>1</v>
      </c>
      <c r="AI242" s="19">
        <v>1</v>
      </c>
      <c r="AJ242" s="19">
        <v>1</v>
      </c>
      <c r="AK242" s="19">
        <v>1</v>
      </c>
      <c r="AL242" s="22"/>
      <c r="AM242" s="19">
        <v>1</v>
      </c>
      <c r="AN242" s="19">
        <v>1</v>
      </c>
      <c r="AO242" s="19">
        <v>1</v>
      </c>
      <c r="AP242" s="19">
        <v>1</v>
      </c>
      <c r="AQ242" s="19">
        <v>1</v>
      </c>
      <c r="AR242" s="19">
        <v>1</v>
      </c>
      <c r="AS242" s="22"/>
      <c r="AT242" s="19">
        <v>1</v>
      </c>
      <c r="AU242" s="19">
        <v>1</v>
      </c>
      <c r="AV242" s="19">
        <v>1</v>
      </c>
      <c r="AW242" s="19">
        <v>1</v>
      </c>
      <c r="AX242" s="19">
        <f>SUM(T242:AW242)</f>
        <v>26</v>
      </c>
      <c r="AY242" s="20"/>
      <c r="AZ242" s="19"/>
      <c r="BA242" s="20"/>
      <c r="BB242" s="49"/>
    </row>
    <row r="243" spans="1:54" ht="12" x14ac:dyDescent="0.2">
      <c r="A243" s="119" t="s">
        <v>814</v>
      </c>
      <c r="B243" s="110" t="s">
        <v>280</v>
      </c>
      <c r="C243" s="44">
        <v>133</v>
      </c>
      <c r="D243" s="35" t="s">
        <v>311</v>
      </c>
      <c r="E243" s="26">
        <v>30</v>
      </c>
      <c r="F243" s="26" t="s">
        <v>2136</v>
      </c>
      <c r="G243" s="35" t="s">
        <v>312</v>
      </c>
      <c r="H243" s="37">
        <v>1</v>
      </c>
      <c r="I243" s="37" t="s">
        <v>47</v>
      </c>
      <c r="J243" s="37">
        <v>1</v>
      </c>
      <c r="K243" s="26" t="s">
        <v>47</v>
      </c>
      <c r="L243" s="35" t="str">
        <f>VLOOKUP(Tabla411[[#This Row],[BTL CVE]],tblPDV[#All],13,0)</f>
        <v xml:space="preserve">FERNANDEZ SANCHEZ MIGUEL ANGEL </v>
      </c>
      <c r="M243" s="26" t="s">
        <v>122</v>
      </c>
      <c r="N243" s="26" t="s">
        <v>54</v>
      </c>
      <c r="O243" s="26" t="s">
        <v>49</v>
      </c>
      <c r="P243" s="26" t="s">
        <v>49</v>
      </c>
      <c r="Q243" s="26" t="s">
        <v>50</v>
      </c>
      <c r="R243" s="38">
        <v>46113</v>
      </c>
      <c r="S243" s="38">
        <v>46142</v>
      </c>
      <c r="T243" s="19">
        <v>1</v>
      </c>
      <c r="U243" s="19">
        <v>1</v>
      </c>
      <c r="V243" s="19">
        <v>1</v>
      </c>
      <c r="W243" s="19">
        <v>1</v>
      </c>
      <c r="X243" s="22"/>
      <c r="Y243" s="19">
        <v>1</v>
      </c>
      <c r="Z243" s="19">
        <v>1</v>
      </c>
      <c r="AA243" s="19">
        <v>1</v>
      </c>
      <c r="AB243" s="19">
        <v>1</v>
      </c>
      <c r="AC243" s="19">
        <v>1</v>
      </c>
      <c r="AD243" s="19">
        <v>1</v>
      </c>
      <c r="AE243" s="22"/>
      <c r="AF243" s="19">
        <v>1</v>
      </c>
      <c r="AG243" s="19">
        <v>1</v>
      </c>
      <c r="AH243" s="19">
        <v>1</v>
      </c>
      <c r="AI243" s="19">
        <v>1</v>
      </c>
      <c r="AJ243" s="19">
        <v>1</v>
      </c>
      <c r="AK243" s="19">
        <v>1</v>
      </c>
      <c r="AL243" s="22"/>
      <c r="AM243" s="19">
        <v>1</v>
      </c>
      <c r="AN243" s="19">
        <v>1</v>
      </c>
      <c r="AO243" s="19">
        <v>1</v>
      </c>
      <c r="AP243" s="19">
        <v>1</v>
      </c>
      <c r="AQ243" s="19">
        <v>1</v>
      </c>
      <c r="AR243" s="19">
        <v>1</v>
      </c>
      <c r="AS243" s="22"/>
      <c r="AT243" s="19">
        <v>1</v>
      </c>
      <c r="AU243" s="19">
        <v>1</v>
      </c>
      <c r="AV243" s="19">
        <v>1</v>
      </c>
      <c r="AW243" s="19">
        <v>1</v>
      </c>
      <c r="AX243" s="19">
        <f>SUM(T243:AW243)</f>
        <v>26</v>
      </c>
      <c r="AY243" s="20"/>
      <c r="AZ243" s="19"/>
      <c r="BA243" s="20"/>
      <c r="BB243" s="49" t="s">
        <v>2103</v>
      </c>
    </row>
    <row r="244" spans="1:54" ht="13.5" customHeight="1" x14ac:dyDescent="0.2">
      <c r="A244" s="104" t="s">
        <v>696</v>
      </c>
      <c r="B244" s="86" t="s">
        <v>280</v>
      </c>
      <c r="C244" s="26">
        <v>104</v>
      </c>
      <c r="D244" s="35" t="s">
        <v>313</v>
      </c>
      <c r="E244" s="26">
        <v>142</v>
      </c>
      <c r="F244" s="26" t="s">
        <v>2188</v>
      </c>
      <c r="G244" s="35" t="s">
        <v>2039</v>
      </c>
      <c r="H244" s="37">
        <v>1</v>
      </c>
      <c r="I244" s="37" t="s">
        <v>47</v>
      </c>
      <c r="J244" s="37">
        <v>1</v>
      </c>
      <c r="K244" s="26" t="s">
        <v>47</v>
      </c>
      <c r="L244" s="35" t="str">
        <f>VLOOKUP(Tabla411[[#This Row],[BTL CVE]],tblPDV[#All],13,0)</f>
        <v xml:space="preserve">FERNANDEZ SANCHEZ MIGUEL ANGEL </v>
      </c>
      <c r="M244" s="26" t="s">
        <v>122</v>
      </c>
      <c r="N244" s="26" t="s">
        <v>54</v>
      </c>
      <c r="O244" s="26" t="s">
        <v>49</v>
      </c>
      <c r="P244" s="26" t="s">
        <v>49</v>
      </c>
      <c r="Q244" s="26" t="s">
        <v>50</v>
      </c>
      <c r="R244" s="38">
        <v>46113</v>
      </c>
      <c r="S244" s="38">
        <v>46142</v>
      </c>
      <c r="T244" s="19">
        <v>1</v>
      </c>
      <c r="U244" s="19">
        <v>1</v>
      </c>
      <c r="V244" s="19">
        <v>1</v>
      </c>
      <c r="W244" s="19">
        <v>1</v>
      </c>
      <c r="X244" s="22"/>
      <c r="Y244" s="19">
        <v>1</v>
      </c>
      <c r="Z244" s="19">
        <v>1</v>
      </c>
      <c r="AA244" s="19">
        <v>1</v>
      </c>
      <c r="AB244" s="19">
        <v>1</v>
      </c>
      <c r="AC244" s="19">
        <v>1</v>
      </c>
      <c r="AD244" s="19">
        <v>1</v>
      </c>
      <c r="AE244" s="22"/>
      <c r="AF244" s="19">
        <v>1</v>
      </c>
      <c r="AG244" s="19">
        <v>1</v>
      </c>
      <c r="AH244" s="19">
        <v>1</v>
      </c>
      <c r="AI244" s="19">
        <v>1</v>
      </c>
      <c r="AJ244" s="19">
        <v>1</v>
      </c>
      <c r="AK244" s="19">
        <v>1</v>
      </c>
      <c r="AL244" s="22"/>
      <c r="AM244" s="19">
        <v>1</v>
      </c>
      <c r="AN244" s="19">
        <v>1</v>
      </c>
      <c r="AO244" s="19">
        <v>1</v>
      </c>
      <c r="AP244" s="19">
        <v>1</v>
      </c>
      <c r="AQ244" s="19">
        <v>1</v>
      </c>
      <c r="AR244" s="19">
        <v>1</v>
      </c>
      <c r="AS244" s="22"/>
      <c r="AT244" s="19">
        <v>1</v>
      </c>
      <c r="AU244" s="19">
        <v>1</v>
      </c>
      <c r="AV244" s="19">
        <v>1</v>
      </c>
      <c r="AW244" s="19">
        <v>1</v>
      </c>
      <c r="AX244" s="19">
        <f>SUM(T244:AW244)</f>
        <v>26</v>
      </c>
      <c r="AY244" s="20"/>
      <c r="AZ244" s="19"/>
      <c r="BA244" s="20"/>
      <c r="BB244" s="49"/>
    </row>
    <row r="245" spans="1:54" ht="13.5" customHeight="1" x14ac:dyDescent="0.2">
      <c r="A245" s="122" t="s">
        <v>699</v>
      </c>
      <c r="B245" s="115" t="s">
        <v>280</v>
      </c>
      <c r="C245" s="26">
        <v>116</v>
      </c>
      <c r="D245" s="66" t="s">
        <v>316</v>
      </c>
      <c r="E245" s="26">
        <v>346</v>
      </c>
      <c r="F245" s="26" t="s">
        <v>2260</v>
      </c>
      <c r="G245" s="35" t="s">
        <v>1515</v>
      </c>
      <c r="H245" s="37">
        <v>1</v>
      </c>
      <c r="I245" s="37" t="s">
        <v>47</v>
      </c>
      <c r="J245" s="37">
        <v>1</v>
      </c>
      <c r="K245" s="37" t="s">
        <v>47</v>
      </c>
      <c r="L245" s="35" t="str">
        <f>VLOOKUP(Tabla411[[#This Row],[BTL CVE]],tblPDV[#All],13,0)</f>
        <v>CARRILLO XOCHIHUA XOCHITL</v>
      </c>
      <c r="M245" s="26" t="s">
        <v>536</v>
      </c>
      <c r="N245" s="26" t="s">
        <v>54</v>
      </c>
      <c r="O245" s="26" t="s">
        <v>49</v>
      </c>
      <c r="P245" s="26" t="s">
        <v>49</v>
      </c>
      <c r="Q245" s="26" t="s">
        <v>50</v>
      </c>
      <c r="R245" s="38">
        <v>46113</v>
      </c>
      <c r="S245" s="38">
        <v>46142</v>
      </c>
      <c r="T245" s="19">
        <v>1</v>
      </c>
      <c r="U245" s="19">
        <v>1</v>
      </c>
      <c r="V245" s="19">
        <v>1</v>
      </c>
      <c r="W245" s="19">
        <v>1</v>
      </c>
      <c r="X245" s="22"/>
      <c r="Y245" s="19">
        <v>1</v>
      </c>
      <c r="Z245" s="19">
        <v>1</v>
      </c>
      <c r="AA245" s="19">
        <v>1</v>
      </c>
      <c r="AB245" s="19">
        <v>1</v>
      </c>
      <c r="AC245" s="19">
        <v>1</v>
      </c>
      <c r="AD245" s="19">
        <v>1</v>
      </c>
      <c r="AE245" s="22"/>
      <c r="AF245" s="19">
        <v>1</v>
      </c>
      <c r="AG245" s="19">
        <v>1</v>
      </c>
      <c r="AH245" s="19">
        <v>1</v>
      </c>
      <c r="AI245" s="19">
        <v>1</v>
      </c>
      <c r="AJ245" s="19">
        <v>1</v>
      </c>
      <c r="AK245" s="19">
        <v>1</v>
      </c>
      <c r="AL245" s="22"/>
      <c r="AM245" s="19">
        <v>1</v>
      </c>
      <c r="AN245" s="19">
        <v>1</v>
      </c>
      <c r="AO245" s="19">
        <v>1</v>
      </c>
      <c r="AP245" s="19">
        <v>1</v>
      </c>
      <c r="AQ245" s="19">
        <v>1</v>
      </c>
      <c r="AR245" s="19">
        <v>1</v>
      </c>
      <c r="AS245" s="22"/>
      <c r="AT245" s="19">
        <v>1</v>
      </c>
      <c r="AU245" s="19">
        <v>1</v>
      </c>
      <c r="AV245" s="19">
        <v>1</v>
      </c>
      <c r="AW245" s="19">
        <v>1</v>
      </c>
      <c r="AX245" s="19">
        <f>SUM(T245:AW245)</f>
        <v>26</v>
      </c>
      <c r="AY245" s="20"/>
      <c r="AZ245" s="19"/>
      <c r="BA245" s="20"/>
      <c r="BB245" s="49" t="s">
        <v>2358</v>
      </c>
    </row>
    <row r="246" spans="1:54" ht="13.5" customHeight="1" x14ac:dyDescent="0.2">
      <c r="A246" s="104" t="s">
        <v>702</v>
      </c>
      <c r="B246" s="86" t="s">
        <v>280</v>
      </c>
      <c r="C246" s="26">
        <v>60</v>
      </c>
      <c r="D246" s="35" t="s">
        <v>319</v>
      </c>
      <c r="E246" s="26">
        <v>504</v>
      </c>
      <c r="F246" s="26" t="s">
        <v>2318</v>
      </c>
      <c r="G246" s="35" t="s">
        <v>2041</v>
      </c>
      <c r="H246" s="37">
        <v>1</v>
      </c>
      <c r="I246" s="37" t="s">
        <v>47</v>
      </c>
      <c r="J246" s="37">
        <v>1</v>
      </c>
      <c r="K246" s="37" t="s">
        <v>47</v>
      </c>
      <c r="L246" s="35" t="str">
        <f>VLOOKUP(Tabla411[[#This Row],[BTL CVE]],tblPDV[#All],13,0)</f>
        <v xml:space="preserve">MONROY GONZALEZ MARIA ZENAIDA </v>
      </c>
      <c r="M246" s="26" t="s">
        <v>536</v>
      </c>
      <c r="N246" s="26" t="s">
        <v>54</v>
      </c>
      <c r="O246" s="26" t="s">
        <v>49</v>
      </c>
      <c r="P246" s="26" t="s">
        <v>49</v>
      </c>
      <c r="Q246" s="26" t="s">
        <v>50</v>
      </c>
      <c r="R246" s="38">
        <v>46113</v>
      </c>
      <c r="S246" s="38">
        <v>46142</v>
      </c>
      <c r="T246" s="19">
        <v>1</v>
      </c>
      <c r="U246" s="19">
        <v>1</v>
      </c>
      <c r="V246" s="19">
        <v>1</v>
      </c>
      <c r="W246" s="19">
        <v>1</v>
      </c>
      <c r="X246" s="22"/>
      <c r="Y246" s="19">
        <v>1</v>
      </c>
      <c r="Z246" s="19">
        <v>1</v>
      </c>
      <c r="AA246" s="19">
        <v>1</v>
      </c>
      <c r="AB246" s="19">
        <v>1</v>
      </c>
      <c r="AC246" s="19">
        <v>1</v>
      </c>
      <c r="AD246" s="19">
        <v>1</v>
      </c>
      <c r="AE246" s="22"/>
      <c r="AF246" s="19">
        <v>1</v>
      </c>
      <c r="AG246" s="19">
        <v>1</v>
      </c>
      <c r="AH246" s="19">
        <v>1</v>
      </c>
      <c r="AI246" s="19">
        <v>1</v>
      </c>
      <c r="AJ246" s="19">
        <v>1</v>
      </c>
      <c r="AK246" s="19">
        <v>1</v>
      </c>
      <c r="AL246" s="22"/>
      <c r="AM246" s="19">
        <v>1</v>
      </c>
      <c r="AN246" s="19">
        <v>1</v>
      </c>
      <c r="AO246" s="19">
        <v>1</v>
      </c>
      <c r="AP246" s="19">
        <v>1</v>
      </c>
      <c r="AQ246" s="19">
        <v>1</v>
      </c>
      <c r="AR246" s="19">
        <v>1</v>
      </c>
      <c r="AS246" s="22"/>
      <c r="AT246" s="19">
        <v>1</v>
      </c>
      <c r="AU246" s="19">
        <v>1</v>
      </c>
      <c r="AV246" s="19">
        <v>1</v>
      </c>
      <c r="AW246" s="19">
        <v>1</v>
      </c>
      <c r="AX246" s="19">
        <f>SUM(T246:AW246)</f>
        <v>26</v>
      </c>
      <c r="AY246" s="20"/>
      <c r="AZ246" s="19"/>
      <c r="BA246" s="20"/>
      <c r="BB246" s="49"/>
    </row>
    <row r="247" spans="1:54" ht="13.5" customHeight="1" x14ac:dyDescent="0.2">
      <c r="A247" s="119" t="s">
        <v>703</v>
      </c>
      <c r="B247" s="110" t="s">
        <v>280</v>
      </c>
      <c r="C247" s="44">
        <v>30</v>
      </c>
      <c r="D247" s="35" t="s">
        <v>320</v>
      </c>
      <c r="E247" s="26">
        <v>360</v>
      </c>
      <c r="F247" s="26" t="s">
        <v>2265</v>
      </c>
      <c r="G247" s="35" t="s">
        <v>1509</v>
      </c>
      <c r="H247" s="37">
        <v>1</v>
      </c>
      <c r="I247" s="37" t="s">
        <v>47</v>
      </c>
      <c r="J247" s="37">
        <v>1</v>
      </c>
      <c r="K247" s="37" t="s">
        <v>47</v>
      </c>
      <c r="L247" s="35" t="str">
        <f>VLOOKUP(Tabla411[[#This Row],[BTL CVE]],tblPDV[#All],13,0)</f>
        <v xml:space="preserve">CHAVEZ RAMOS  JONATAN RAYMUNDO </v>
      </c>
      <c r="M247" s="26" t="s">
        <v>536</v>
      </c>
      <c r="N247" s="26" t="s">
        <v>54</v>
      </c>
      <c r="O247" s="26" t="s">
        <v>49</v>
      </c>
      <c r="P247" s="26" t="s">
        <v>49</v>
      </c>
      <c r="Q247" s="26" t="s">
        <v>50</v>
      </c>
      <c r="R247" s="38">
        <v>46113</v>
      </c>
      <c r="S247" s="38">
        <v>46142</v>
      </c>
      <c r="T247" s="19">
        <v>1</v>
      </c>
      <c r="U247" s="19">
        <v>1</v>
      </c>
      <c r="V247" s="19">
        <v>1</v>
      </c>
      <c r="W247" s="19">
        <v>1</v>
      </c>
      <c r="X247" s="22"/>
      <c r="Y247" s="19">
        <v>1</v>
      </c>
      <c r="Z247" s="19">
        <v>1</v>
      </c>
      <c r="AA247" s="19">
        <v>1</v>
      </c>
      <c r="AB247" s="19">
        <v>1</v>
      </c>
      <c r="AC247" s="19">
        <v>1</v>
      </c>
      <c r="AD247" s="19">
        <v>1</v>
      </c>
      <c r="AE247" s="22"/>
      <c r="AF247" s="19">
        <v>1</v>
      </c>
      <c r="AG247" s="19">
        <v>1</v>
      </c>
      <c r="AH247" s="19">
        <v>1</v>
      </c>
      <c r="AI247" s="19">
        <v>1</v>
      </c>
      <c r="AJ247" s="19">
        <v>1</v>
      </c>
      <c r="AK247" s="19">
        <v>1</v>
      </c>
      <c r="AL247" s="22"/>
      <c r="AM247" s="19">
        <v>1</v>
      </c>
      <c r="AN247" s="19">
        <v>1</v>
      </c>
      <c r="AO247" s="19">
        <v>1</v>
      </c>
      <c r="AP247" s="19">
        <v>1</v>
      </c>
      <c r="AQ247" s="19">
        <v>1</v>
      </c>
      <c r="AR247" s="19">
        <v>1</v>
      </c>
      <c r="AS247" s="22"/>
      <c r="AT247" s="19">
        <v>1</v>
      </c>
      <c r="AU247" s="19">
        <v>1</v>
      </c>
      <c r="AV247" s="19">
        <v>1</v>
      </c>
      <c r="AW247" s="19">
        <v>1</v>
      </c>
      <c r="AX247" s="19">
        <f>SUM(T247:AW247)</f>
        <v>26</v>
      </c>
      <c r="AY247" s="20"/>
      <c r="AZ247" s="19"/>
      <c r="BA247" s="20"/>
      <c r="BB247" s="49" t="s">
        <v>2104</v>
      </c>
    </row>
    <row r="248" spans="1:54" ht="13.5" customHeight="1" x14ac:dyDescent="0.2">
      <c r="A248" s="120" t="s">
        <v>2110</v>
      </c>
      <c r="B248" s="110" t="s">
        <v>280</v>
      </c>
      <c r="C248" s="44"/>
      <c r="D248" s="54" t="s">
        <v>2102</v>
      </c>
      <c r="E248" s="26">
        <v>114</v>
      </c>
      <c r="F248" s="26" t="s">
        <v>2353</v>
      </c>
      <c r="G248" s="35" t="s">
        <v>2096</v>
      </c>
      <c r="H248" s="37"/>
      <c r="I248" s="37"/>
      <c r="J248" s="37">
        <v>0.5</v>
      </c>
      <c r="K248" s="37" t="s">
        <v>53</v>
      </c>
      <c r="L248" s="35" t="str">
        <f>VLOOKUP(Tabla411[[#This Row],[BTL CVE]],tblPDV[#All],13,0)</f>
        <v>LOPEZ RUIZ JACQUELINE</v>
      </c>
      <c r="M248" s="26" t="s">
        <v>536</v>
      </c>
      <c r="N248" s="26" t="s">
        <v>54</v>
      </c>
      <c r="O248" s="26" t="s">
        <v>49</v>
      </c>
      <c r="P248" s="26" t="s">
        <v>49</v>
      </c>
      <c r="Q248" s="26" t="s">
        <v>50</v>
      </c>
      <c r="R248" s="38">
        <v>46113</v>
      </c>
      <c r="S248" s="38">
        <v>46134</v>
      </c>
      <c r="T248" s="19">
        <v>1</v>
      </c>
      <c r="U248" s="19">
        <v>1</v>
      </c>
      <c r="V248" s="19">
        <v>1</v>
      </c>
      <c r="W248" s="19">
        <v>1</v>
      </c>
      <c r="X248" s="22"/>
      <c r="Y248" s="19">
        <v>1</v>
      </c>
      <c r="Z248" s="19">
        <v>1</v>
      </c>
      <c r="AA248" s="19">
        <v>1</v>
      </c>
      <c r="AB248" s="19">
        <v>1</v>
      </c>
      <c r="AC248" s="19">
        <v>1</v>
      </c>
      <c r="AD248" s="19">
        <v>1</v>
      </c>
      <c r="AE248" s="22"/>
      <c r="AF248" s="19">
        <v>1</v>
      </c>
      <c r="AG248" s="19">
        <v>1</v>
      </c>
      <c r="AH248" s="19">
        <v>1</v>
      </c>
      <c r="AI248" s="19">
        <v>1</v>
      </c>
      <c r="AJ248" s="19">
        <v>1</v>
      </c>
      <c r="AK248" s="19">
        <v>1</v>
      </c>
      <c r="AL248" s="22"/>
      <c r="AM248" s="19">
        <v>1</v>
      </c>
      <c r="AN248" s="19">
        <v>1</v>
      </c>
      <c r="AO248" s="19">
        <v>1</v>
      </c>
      <c r="AP248" s="19"/>
      <c r="AQ248" s="19"/>
      <c r="AR248" s="19"/>
      <c r="AS248" s="22"/>
      <c r="AT248" s="19"/>
      <c r="AU248" s="19"/>
      <c r="AV248" s="19"/>
      <c r="AW248" s="19"/>
      <c r="AX248" s="19">
        <f>SUM(T248:AW248)</f>
        <v>19</v>
      </c>
      <c r="AY248" s="20"/>
      <c r="AZ248" s="19"/>
      <c r="BA248" s="20"/>
      <c r="BB248" s="49" t="s">
        <v>2103</v>
      </c>
    </row>
    <row r="249" spans="1:54" ht="13.5" customHeight="1" x14ac:dyDescent="0.2">
      <c r="A249" s="119" t="s">
        <v>685</v>
      </c>
      <c r="B249" s="110" t="s">
        <v>280</v>
      </c>
      <c r="C249" s="44">
        <v>137</v>
      </c>
      <c r="D249" s="35" t="s">
        <v>298</v>
      </c>
      <c r="E249" s="26">
        <v>273</v>
      </c>
      <c r="F249" s="26" t="s">
        <v>2236</v>
      </c>
      <c r="G249" s="35" t="s">
        <v>1989</v>
      </c>
      <c r="H249" s="37">
        <v>1</v>
      </c>
      <c r="I249" s="37" t="s">
        <v>47</v>
      </c>
      <c r="J249" s="37">
        <v>1</v>
      </c>
      <c r="K249" s="37" t="s">
        <v>47</v>
      </c>
      <c r="L249" s="35" t="str">
        <f>VLOOKUP(Tabla411[[#This Row],[BTL CVE]],tblPDV[#All],13,0)</f>
        <v>MONTAGNER OLIVARES MIGUEL ANGEL</v>
      </c>
      <c r="M249" s="26" t="s">
        <v>536</v>
      </c>
      <c r="N249" s="26" t="s">
        <v>54</v>
      </c>
      <c r="O249" s="26" t="s">
        <v>49</v>
      </c>
      <c r="P249" s="26" t="s">
        <v>49</v>
      </c>
      <c r="Q249" s="26" t="s">
        <v>50</v>
      </c>
      <c r="R249" s="38">
        <v>46113</v>
      </c>
      <c r="S249" s="38">
        <v>46142</v>
      </c>
      <c r="T249" s="19">
        <v>1</v>
      </c>
      <c r="U249" s="19">
        <v>1</v>
      </c>
      <c r="V249" s="19">
        <v>1</v>
      </c>
      <c r="W249" s="19">
        <v>1</v>
      </c>
      <c r="X249" s="22"/>
      <c r="Y249" s="19">
        <v>1</v>
      </c>
      <c r="Z249" s="19">
        <v>1</v>
      </c>
      <c r="AA249" s="19">
        <v>1</v>
      </c>
      <c r="AB249" s="19">
        <v>1</v>
      </c>
      <c r="AC249" s="19">
        <v>1</v>
      </c>
      <c r="AD249" s="19">
        <v>1</v>
      </c>
      <c r="AE249" s="22"/>
      <c r="AF249" s="19">
        <v>1</v>
      </c>
      <c r="AG249" s="19">
        <v>1</v>
      </c>
      <c r="AH249" s="19">
        <v>1</v>
      </c>
      <c r="AI249" s="19">
        <v>1</v>
      </c>
      <c r="AJ249" s="19">
        <v>1</v>
      </c>
      <c r="AK249" s="19">
        <v>1</v>
      </c>
      <c r="AL249" s="22"/>
      <c r="AM249" s="19">
        <v>1</v>
      </c>
      <c r="AN249" s="19">
        <v>1</v>
      </c>
      <c r="AO249" s="19">
        <v>1</v>
      </c>
      <c r="AP249" s="19">
        <v>1</v>
      </c>
      <c r="AQ249" s="19">
        <v>1</v>
      </c>
      <c r="AR249" s="19">
        <v>1</v>
      </c>
      <c r="AS249" s="22"/>
      <c r="AT249" s="19">
        <v>1</v>
      </c>
      <c r="AU249" s="19">
        <v>1</v>
      </c>
      <c r="AV249" s="19">
        <v>1</v>
      </c>
      <c r="AW249" s="19">
        <v>1</v>
      </c>
      <c r="AX249" s="19">
        <f>SUM(T249:AW249)</f>
        <v>26</v>
      </c>
      <c r="AY249" s="20"/>
      <c r="AZ249" s="19"/>
      <c r="BA249" s="20"/>
      <c r="BB249" s="49" t="s">
        <v>2103</v>
      </c>
    </row>
    <row r="250" spans="1:54" ht="13.5" customHeight="1" x14ac:dyDescent="0.2">
      <c r="A250" s="104" t="s">
        <v>710</v>
      </c>
      <c r="B250" s="86" t="s">
        <v>280</v>
      </c>
      <c r="C250" s="26">
        <v>59</v>
      </c>
      <c r="D250" s="35" t="s">
        <v>328</v>
      </c>
      <c r="E250" s="26">
        <v>349</v>
      </c>
      <c r="F250" s="26" t="s">
        <v>2263</v>
      </c>
      <c r="G250" s="35" t="s">
        <v>2069</v>
      </c>
      <c r="H250" s="37">
        <v>1</v>
      </c>
      <c r="I250" s="37" t="s">
        <v>47</v>
      </c>
      <c r="J250" s="37">
        <v>1</v>
      </c>
      <c r="K250" s="37" t="s">
        <v>47</v>
      </c>
      <c r="L250" s="35" t="str">
        <f>VLOOKUP(Tabla411[[#This Row],[BTL CVE]],tblPDV[#All],13,0)</f>
        <v xml:space="preserve">REYES AYBAR LILIANA </v>
      </c>
      <c r="M250" s="26" t="s">
        <v>536</v>
      </c>
      <c r="N250" s="26" t="s">
        <v>54</v>
      </c>
      <c r="O250" s="26" t="s">
        <v>49</v>
      </c>
      <c r="P250" s="26" t="s">
        <v>49</v>
      </c>
      <c r="Q250" s="26" t="s">
        <v>50</v>
      </c>
      <c r="R250" s="38">
        <v>46113</v>
      </c>
      <c r="S250" s="38">
        <v>46142</v>
      </c>
      <c r="T250" s="19">
        <v>1</v>
      </c>
      <c r="U250" s="19">
        <v>1</v>
      </c>
      <c r="V250" s="19">
        <v>1</v>
      </c>
      <c r="W250" s="19">
        <v>1</v>
      </c>
      <c r="X250" s="22"/>
      <c r="Y250" s="19">
        <v>1</v>
      </c>
      <c r="Z250" s="19">
        <v>1</v>
      </c>
      <c r="AA250" s="19">
        <v>1</v>
      </c>
      <c r="AB250" s="19">
        <v>1</v>
      </c>
      <c r="AC250" s="19">
        <v>1</v>
      </c>
      <c r="AD250" s="19">
        <v>1</v>
      </c>
      <c r="AE250" s="22"/>
      <c r="AF250" s="19">
        <v>1</v>
      </c>
      <c r="AG250" s="19">
        <v>1</v>
      </c>
      <c r="AH250" s="19">
        <v>1</v>
      </c>
      <c r="AI250" s="19">
        <v>1</v>
      </c>
      <c r="AJ250" s="19">
        <v>1</v>
      </c>
      <c r="AK250" s="19">
        <v>1</v>
      </c>
      <c r="AL250" s="22"/>
      <c r="AM250" s="19">
        <v>1</v>
      </c>
      <c r="AN250" s="19">
        <v>1</v>
      </c>
      <c r="AO250" s="19">
        <v>1</v>
      </c>
      <c r="AP250" s="19">
        <v>1</v>
      </c>
      <c r="AQ250" s="19">
        <v>1</v>
      </c>
      <c r="AR250" s="19">
        <v>1</v>
      </c>
      <c r="AS250" s="22"/>
      <c r="AT250" s="19">
        <v>1</v>
      </c>
      <c r="AU250" s="19">
        <v>1</v>
      </c>
      <c r="AV250" s="19">
        <v>1</v>
      </c>
      <c r="AW250" s="19">
        <v>1</v>
      </c>
      <c r="AX250" s="19">
        <f>SUM(T250:AW250)</f>
        <v>26</v>
      </c>
      <c r="AY250" s="20"/>
      <c r="AZ250" s="19"/>
      <c r="BA250" s="20"/>
      <c r="BB250" s="49"/>
    </row>
    <row r="251" spans="1:54" ht="13.5" customHeight="1" x14ac:dyDescent="0.2">
      <c r="A251" s="119" t="s">
        <v>729</v>
      </c>
      <c r="B251" s="110" t="s">
        <v>280</v>
      </c>
      <c r="C251" s="44">
        <v>18</v>
      </c>
      <c r="D251" s="35" t="s">
        <v>351</v>
      </c>
      <c r="E251" s="26">
        <v>465</v>
      </c>
      <c r="F251" s="26" t="s">
        <v>2298</v>
      </c>
      <c r="G251" s="35" t="s">
        <v>1521</v>
      </c>
      <c r="H251" s="37">
        <v>1</v>
      </c>
      <c r="I251" s="37" t="s">
        <v>47</v>
      </c>
      <c r="J251" s="37">
        <v>1</v>
      </c>
      <c r="K251" s="37" t="s">
        <v>47</v>
      </c>
      <c r="L251" s="35" t="str">
        <f>VLOOKUP(Tabla411[[#This Row],[BTL CVE]],tblPDV[#All],13,0)</f>
        <v xml:space="preserve">AGUIRRE CAMACHO ATZIN SUSANA </v>
      </c>
      <c r="M251" s="26" t="s">
        <v>536</v>
      </c>
      <c r="N251" s="26" t="s">
        <v>54</v>
      </c>
      <c r="O251" s="26" t="s">
        <v>49</v>
      </c>
      <c r="P251" s="26" t="s">
        <v>49</v>
      </c>
      <c r="Q251" s="26" t="s">
        <v>50</v>
      </c>
      <c r="R251" s="38">
        <v>46113</v>
      </c>
      <c r="S251" s="38">
        <v>46142</v>
      </c>
      <c r="T251" s="19">
        <v>1</v>
      </c>
      <c r="U251" s="19">
        <v>1</v>
      </c>
      <c r="V251" s="19">
        <v>1</v>
      </c>
      <c r="W251" s="19">
        <v>1</v>
      </c>
      <c r="X251" s="22"/>
      <c r="Y251" s="19">
        <v>1</v>
      </c>
      <c r="Z251" s="19">
        <v>1</v>
      </c>
      <c r="AA251" s="19">
        <v>1</v>
      </c>
      <c r="AB251" s="19">
        <v>1</v>
      </c>
      <c r="AC251" s="19">
        <v>1</v>
      </c>
      <c r="AD251" s="19">
        <v>1</v>
      </c>
      <c r="AE251" s="22"/>
      <c r="AF251" s="19">
        <v>1</v>
      </c>
      <c r="AG251" s="19">
        <v>1</v>
      </c>
      <c r="AH251" s="19">
        <v>1</v>
      </c>
      <c r="AI251" s="19">
        <v>1</v>
      </c>
      <c r="AJ251" s="19">
        <v>1</v>
      </c>
      <c r="AK251" s="19">
        <v>1</v>
      </c>
      <c r="AL251" s="22"/>
      <c r="AM251" s="19">
        <v>1</v>
      </c>
      <c r="AN251" s="19">
        <v>1</v>
      </c>
      <c r="AO251" s="19">
        <v>1</v>
      </c>
      <c r="AP251" s="19">
        <v>1</v>
      </c>
      <c r="AQ251" s="19">
        <v>1</v>
      </c>
      <c r="AR251" s="19">
        <v>1</v>
      </c>
      <c r="AS251" s="22"/>
      <c r="AT251" s="19">
        <v>1</v>
      </c>
      <c r="AU251" s="19">
        <v>1</v>
      </c>
      <c r="AV251" s="19">
        <v>1</v>
      </c>
      <c r="AW251" s="19">
        <v>1</v>
      </c>
      <c r="AX251" s="19">
        <f>SUM(T251:AW251)</f>
        <v>26</v>
      </c>
      <c r="AY251" s="20"/>
      <c r="AZ251" s="19"/>
      <c r="BA251" s="20"/>
      <c r="BB251" s="49" t="s">
        <v>2103</v>
      </c>
    </row>
    <row r="252" spans="1:54" ht="13.5" customHeight="1" x14ac:dyDescent="0.2">
      <c r="A252" s="104" t="s">
        <v>713</v>
      </c>
      <c r="B252" s="86" t="s">
        <v>280</v>
      </c>
      <c r="C252" s="26">
        <v>95</v>
      </c>
      <c r="D252" s="35" t="s">
        <v>332</v>
      </c>
      <c r="E252" s="26">
        <v>401</v>
      </c>
      <c r="F252" s="26" t="s">
        <v>2274</v>
      </c>
      <c r="G252" s="35" t="s">
        <v>333</v>
      </c>
      <c r="H252" s="37">
        <v>1</v>
      </c>
      <c r="I252" s="37" t="s">
        <v>47</v>
      </c>
      <c r="J252" s="37">
        <v>1</v>
      </c>
      <c r="K252" s="37" t="s">
        <v>47</v>
      </c>
      <c r="L252" s="35" t="str">
        <f>VLOOKUP(Tabla411[[#This Row],[BTL CVE]],tblPDV[#All],13,0)</f>
        <v>CARRILLO XOCHIHUA XOCHITL</v>
      </c>
      <c r="M252" s="26" t="s">
        <v>536</v>
      </c>
      <c r="N252" s="26" t="s">
        <v>54</v>
      </c>
      <c r="O252" s="26" t="s">
        <v>49</v>
      </c>
      <c r="P252" s="26" t="s">
        <v>49</v>
      </c>
      <c r="Q252" s="26" t="s">
        <v>50</v>
      </c>
      <c r="R252" s="38">
        <v>46113</v>
      </c>
      <c r="S252" s="38">
        <v>46142</v>
      </c>
      <c r="T252" s="19">
        <v>1</v>
      </c>
      <c r="U252" s="19">
        <v>1</v>
      </c>
      <c r="V252" s="19">
        <v>1</v>
      </c>
      <c r="W252" s="19">
        <v>1</v>
      </c>
      <c r="X252" s="22"/>
      <c r="Y252" s="19">
        <v>1</v>
      </c>
      <c r="Z252" s="19">
        <v>1</v>
      </c>
      <c r="AA252" s="19">
        <v>1</v>
      </c>
      <c r="AB252" s="19">
        <v>1</v>
      </c>
      <c r="AC252" s="19">
        <v>1</v>
      </c>
      <c r="AD252" s="19">
        <v>1</v>
      </c>
      <c r="AE252" s="22"/>
      <c r="AF252" s="19">
        <v>1</v>
      </c>
      <c r="AG252" s="19">
        <v>1</v>
      </c>
      <c r="AH252" s="19">
        <v>1</v>
      </c>
      <c r="AI252" s="19">
        <v>1</v>
      </c>
      <c r="AJ252" s="19">
        <v>1</v>
      </c>
      <c r="AK252" s="19">
        <v>1</v>
      </c>
      <c r="AL252" s="22"/>
      <c r="AM252" s="19">
        <v>1</v>
      </c>
      <c r="AN252" s="19">
        <v>1</v>
      </c>
      <c r="AO252" s="19">
        <v>1</v>
      </c>
      <c r="AP252" s="19">
        <v>1</v>
      </c>
      <c r="AQ252" s="19">
        <v>1</v>
      </c>
      <c r="AR252" s="19">
        <v>1</v>
      </c>
      <c r="AS252" s="22"/>
      <c r="AT252" s="19">
        <v>1</v>
      </c>
      <c r="AU252" s="19">
        <v>1</v>
      </c>
      <c r="AV252" s="19">
        <v>1</v>
      </c>
      <c r="AW252" s="19">
        <v>1</v>
      </c>
      <c r="AX252" s="19">
        <f>SUM(T252:AW252)</f>
        <v>26</v>
      </c>
      <c r="AY252" s="20"/>
      <c r="AZ252" s="19"/>
      <c r="BA252" s="20"/>
      <c r="BB252" s="49"/>
    </row>
    <row r="253" spans="1:54" ht="13.5" customHeight="1" x14ac:dyDescent="0.2">
      <c r="A253" s="119" t="s">
        <v>714</v>
      </c>
      <c r="B253" s="110" t="s">
        <v>280</v>
      </c>
      <c r="C253" s="44">
        <v>42</v>
      </c>
      <c r="D253" s="66" t="s">
        <v>334</v>
      </c>
      <c r="E253" s="26">
        <v>287</v>
      </c>
      <c r="F253" s="26" t="s">
        <v>2241</v>
      </c>
      <c r="G253" s="35" t="s">
        <v>2042</v>
      </c>
      <c r="H253" s="37">
        <v>1</v>
      </c>
      <c r="I253" s="37" t="s">
        <v>47</v>
      </c>
      <c r="J253" s="37">
        <v>1</v>
      </c>
      <c r="K253" s="26" t="s">
        <v>47</v>
      </c>
      <c r="L253" s="35" t="str">
        <f>VLOOKUP(Tabla411[[#This Row],[BTL CVE]],tblPDV[#All],13,0)</f>
        <v>MONTAGNER OLIVARES MIGUEL ANGEL</v>
      </c>
      <c r="M253" s="26" t="s">
        <v>536</v>
      </c>
      <c r="N253" s="26" t="s">
        <v>54</v>
      </c>
      <c r="O253" s="26" t="s">
        <v>49</v>
      </c>
      <c r="P253" s="26" t="s">
        <v>49</v>
      </c>
      <c r="Q253" s="26" t="s">
        <v>50</v>
      </c>
      <c r="R253" s="93">
        <v>46113</v>
      </c>
      <c r="S253" s="93">
        <v>46142</v>
      </c>
      <c r="T253" s="19">
        <v>1</v>
      </c>
      <c r="U253" s="19">
        <v>1</v>
      </c>
      <c r="V253" s="19">
        <v>1</v>
      </c>
      <c r="W253" s="19">
        <v>1</v>
      </c>
      <c r="X253" s="22"/>
      <c r="Y253" s="19">
        <v>1</v>
      </c>
      <c r="Z253" s="19">
        <v>1</v>
      </c>
      <c r="AA253" s="19">
        <v>1</v>
      </c>
      <c r="AB253" s="19">
        <v>1</v>
      </c>
      <c r="AC253" s="19">
        <v>1</v>
      </c>
      <c r="AD253" s="19">
        <v>1</v>
      </c>
      <c r="AE253" s="22"/>
      <c r="AF253" s="19">
        <v>1</v>
      </c>
      <c r="AG253" s="19">
        <v>1</v>
      </c>
      <c r="AH253" s="19">
        <v>1</v>
      </c>
      <c r="AI253" s="19">
        <v>1</v>
      </c>
      <c r="AJ253" s="19">
        <v>1</v>
      </c>
      <c r="AK253" s="19">
        <v>1</v>
      </c>
      <c r="AL253" s="22"/>
      <c r="AM253" s="19">
        <v>1</v>
      </c>
      <c r="AN253" s="19">
        <v>1</v>
      </c>
      <c r="AO253" s="19">
        <v>1</v>
      </c>
      <c r="AP253" s="19">
        <v>1</v>
      </c>
      <c r="AQ253" s="19">
        <v>1</v>
      </c>
      <c r="AR253" s="19">
        <v>1</v>
      </c>
      <c r="AS253" s="22"/>
      <c r="AT253" s="19">
        <v>1</v>
      </c>
      <c r="AU253" s="19">
        <v>1</v>
      </c>
      <c r="AV253" s="19">
        <v>1</v>
      </c>
      <c r="AW253" s="19">
        <v>1</v>
      </c>
      <c r="AX253" s="19">
        <f>SUM(T253:AW253)</f>
        <v>26</v>
      </c>
      <c r="AY253" s="20"/>
      <c r="AZ253" s="19"/>
      <c r="BA253" s="20"/>
      <c r="BB253" s="49" t="s">
        <v>2382</v>
      </c>
    </row>
    <row r="254" spans="1:54" ht="13.5" customHeight="1" x14ac:dyDescent="0.2">
      <c r="A254" s="120" t="s">
        <v>2112</v>
      </c>
      <c r="B254" s="110" t="s">
        <v>280</v>
      </c>
      <c r="C254" s="44">
        <v>164</v>
      </c>
      <c r="D254" s="54" t="s">
        <v>2101</v>
      </c>
      <c r="E254" s="26">
        <v>382</v>
      </c>
      <c r="F254" s="26" t="s">
        <v>2394</v>
      </c>
      <c r="G254" s="35" t="s">
        <v>2121</v>
      </c>
      <c r="H254" s="37"/>
      <c r="I254" s="26"/>
      <c r="J254" s="37">
        <v>1</v>
      </c>
      <c r="K254" s="26" t="s">
        <v>47</v>
      </c>
      <c r="L254" s="35" t="str">
        <f>VLOOKUP(Tabla411[[#This Row],[BTL CVE]],tblPDV[#All],13,0)</f>
        <v xml:space="preserve">LOPEZ ESTRADA SILVIA BERENICE </v>
      </c>
      <c r="M254" s="26" t="s">
        <v>502</v>
      </c>
      <c r="N254" s="26" t="s">
        <v>54</v>
      </c>
      <c r="O254" s="26" t="s">
        <v>49</v>
      </c>
      <c r="P254" s="26" t="s">
        <v>49</v>
      </c>
      <c r="Q254" s="26" t="s">
        <v>50</v>
      </c>
      <c r="R254" s="38">
        <v>46113</v>
      </c>
      <c r="S254" s="38">
        <v>46134</v>
      </c>
      <c r="T254" s="19">
        <v>1</v>
      </c>
      <c r="U254" s="19">
        <v>1</v>
      </c>
      <c r="V254" s="19">
        <v>1</v>
      </c>
      <c r="W254" s="19">
        <v>1</v>
      </c>
      <c r="X254" s="22"/>
      <c r="Y254" s="19">
        <v>1</v>
      </c>
      <c r="Z254" s="19">
        <v>1</v>
      </c>
      <c r="AA254" s="19">
        <v>1</v>
      </c>
      <c r="AB254" s="19">
        <v>1</v>
      </c>
      <c r="AC254" s="19">
        <v>1</v>
      </c>
      <c r="AD254" s="19">
        <v>1</v>
      </c>
      <c r="AE254" s="22"/>
      <c r="AF254" s="19">
        <v>1</v>
      </c>
      <c r="AG254" s="19">
        <v>1</v>
      </c>
      <c r="AH254" s="19">
        <v>1</v>
      </c>
      <c r="AI254" s="19">
        <v>1</v>
      </c>
      <c r="AJ254" s="19">
        <v>1</v>
      </c>
      <c r="AK254" s="19">
        <v>1</v>
      </c>
      <c r="AL254" s="22"/>
      <c r="AM254" s="19">
        <v>1</v>
      </c>
      <c r="AN254" s="19">
        <v>1</v>
      </c>
      <c r="AO254" s="19">
        <v>1</v>
      </c>
      <c r="AP254" s="19"/>
      <c r="AQ254" s="19"/>
      <c r="AR254" s="19"/>
      <c r="AS254" s="22"/>
      <c r="AT254" s="19"/>
      <c r="AU254" s="19"/>
      <c r="AV254" s="19"/>
      <c r="AW254" s="19"/>
      <c r="AX254" s="19">
        <f>SUM(T254:AW254)</f>
        <v>19</v>
      </c>
      <c r="AY254" s="20"/>
      <c r="AZ254" s="19"/>
      <c r="BA254" s="20"/>
      <c r="BB254" s="49" t="s">
        <v>2103</v>
      </c>
    </row>
    <row r="255" spans="1:54" ht="13.5" customHeight="1" x14ac:dyDescent="0.2">
      <c r="A255" s="104" t="s">
        <v>715</v>
      </c>
      <c r="B255" s="86" t="s">
        <v>280</v>
      </c>
      <c r="C255" s="26">
        <v>55</v>
      </c>
      <c r="D255" s="35" t="s">
        <v>335</v>
      </c>
      <c r="E255" s="26">
        <v>165</v>
      </c>
      <c r="F255" s="26" t="s">
        <v>2200</v>
      </c>
      <c r="G255" s="35" t="s">
        <v>2043</v>
      </c>
      <c r="H255" s="37">
        <v>1</v>
      </c>
      <c r="I255" s="37" t="s">
        <v>47</v>
      </c>
      <c r="J255" s="37">
        <v>1</v>
      </c>
      <c r="K255" s="37" t="s">
        <v>47</v>
      </c>
      <c r="L255" s="35" t="str">
        <f>VLOOKUP(Tabla411[[#This Row],[BTL CVE]],tblPDV[#All],13,0)</f>
        <v xml:space="preserve">REYES AYBAR LILIANA </v>
      </c>
      <c r="M255" s="26" t="s">
        <v>536</v>
      </c>
      <c r="N255" s="26" t="s">
        <v>54</v>
      </c>
      <c r="O255" s="26" t="s">
        <v>49</v>
      </c>
      <c r="P255" s="26" t="s">
        <v>49</v>
      </c>
      <c r="Q255" s="26" t="s">
        <v>50</v>
      </c>
      <c r="R255" s="93">
        <v>46113</v>
      </c>
      <c r="S255" s="93">
        <v>46142</v>
      </c>
      <c r="T255" s="19">
        <v>1</v>
      </c>
      <c r="U255" s="19">
        <v>1</v>
      </c>
      <c r="V255" s="19">
        <v>1</v>
      </c>
      <c r="W255" s="19">
        <v>1</v>
      </c>
      <c r="X255" s="22"/>
      <c r="Y255" s="19">
        <v>1</v>
      </c>
      <c r="Z255" s="19">
        <v>1</v>
      </c>
      <c r="AA255" s="19">
        <v>1</v>
      </c>
      <c r="AB255" s="19">
        <v>1</v>
      </c>
      <c r="AC255" s="19">
        <v>1</v>
      </c>
      <c r="AD255" s="19">
        <v>1</v>
      </c>
      <c r="AE255" s="22"/>
      <c r="AF255" s="19">
        <v>1</v>
      </c>
      <c r="AG255" s="19">
        <v>1</v>
      </c>
      <c r="AH255" s="19">
        <v>1</v>
      </c>
      <c r="AI255" s="19">
        <v>1</v>
      </c>
      <c r="AJ255" s="19">
        <v>1</v>
      </c>
      <c r="AK255" s="19">
        <v>1</v>
      </c>
      <c r="AL255" s="22"/>
      <c r="AM255" s="19">
        <v>1</v>
      </c>
      <c r="AN255" s="19">
        <v>1</v>
      </c>
      <c r="AO255" s="19">
        <v>1</v>
      </c>
      <c r="AP255" s="19">
        <v>1</v>
      </c>
      <c r="AQ255" s="19">
        <v>1</v>
      </c>
      <c r="AR255" s="19">
        <v>1</v>
      </c>
      <c r="AS255" s="22"/>
      <c r="AT255" s="19">
        <v>1</v>
      </c>
      <c r="AU255" s="19">
        <v>1</v>
      </c>
      <c r="AV255" s="19">
        <v>1</v>
      </c>
      <c r="AW255" s="19">
        <v>1</v>
      </c>
      <c r="AX255" s="19">
        <f>SUM(T255:AW255)</f>
        <v>26</v>
      </c>
      <c r="AY255" s="20"/>
      <c r="AZ255" s="19"/>
      <c r="BA255" s="20"/>
      <c r="BB255" s="49"/>
    </row>
    <row r="256" spans="1:54" ht="13.5" customHeight="1" x14ac:dyDescent="0.2">
      <c r="A256" s="104" t="s">
        <v>716</v>
      </c>
      <c r="B256" s="86" t="s">
        <v>280</v>
      </c>
      <c r="C256" s="26">
        <v>39</v>
      </c>
      <c r="D256" s="35" t="s">
        <v>336</v>
      </c>
      <c r="E256" s="26">
        <v>82</v>
      </c>
      <c r="F256" s="26" t="s">
        <v>2161</v>
      </c>
      <c r="G256" s="35" t="s">
        <v>2044</v>
      </c>
      <c r="H256" s="37">
        <v>1</v>
      </c>
      <c r="I256" s="37" t="s">
        <v>47</v>
      </c>
      <c r="J256" s="37">
        <v>1</v>
      </c>
      <c r="K256" s="37" t="s">
        <v>47</v>
      </c>
      <c r="L256" s="35" t="str">
        <f>VLOOKUP(Tabla411[[#This Row],[BTL CVE]],tblPDV[#All],13,0)</f>
        <v xml:space="preserve">FERNANDEZ SANCHEZ MIGUEL ANGEL </v>
      </c>
      <c r="M256" s="26" t="s">
        <v>122</v>
      </c>
      <c r="N256" s="26" t="s">
        <v>54</v>
      </c>
      <c r="O256" s="26" t="s">
        <v>49</v>
      </c>
      <c r="P256" s="26" t="s">
        <v>49</v>
      </c>
      <c r="Q256" s="26" t="s">
        <v>50</v>
      </c>
      <c r="R256" s="38">
        <v>46113</v>
      </c>
      <c r="S256" s="38">
        <v>46142</v>
      </c>
      <c r="T256" s="19">
        <v>1</v>
      </c>
      <c r="U256" s="19">
        <v>1</v>
      </c>
      <c r="V256" s="19">
        <v>1</v>
      </c>
      <c r="W256" s="19">
        <v>1</v>
      </c>
      <c r="X256" s="22"/>
      <c r="Y256" s="19">
        <v>1</v>
      </c>
      <c r="Z256" s="19">
        <v>1</v>
      </c>
      <c r="AA256" s="19">
        <v>1</v>
      </c>
      <c r="AB256" s="19">
        <v>1</v>
      </c>
      <c r="AC256" s="19">
        <v>1</v>
      </c>
      <c r="AD256" s="19">
        <v>1</v>
      </c>
      <c r="AE256" s="22"/>
      <c r="AF256" s="19">
        <v>1</v>
      </c>
      <c r="AG256" s="19">
        <v>1</v>
      </c>
      <c r="AH256" s="19">
        <v>1</v>
      </c>
      <c r="AI256" s="19">
        <v>1</v>
      </c>
      <c r="AJ256" s="19">
        <v>1</v>
      </c>
      <c r="AK256" s="19">
        <v>1</v>
      </c>
      <c r="AL256" s="22"/>
      <c r="AM256" s="19">
        <v>1</v>
      </c>
      <c r="AN256" s="19">
        <v>1</v>
      </c>
      <c r="AO256" s="19">
        <v>1</v>
      </c>
      <c r="AP256" s="19">
        <v>1</v>
      </c>
      <c r="AQ256" s="19">
        <v>1</v>
      </c>
      <c r="AR256" s="19">
        <v>1</v>
      </c>
      <c r="AS256" s="22"/>
      <c r="AT256" s="19">
        <v>1</v>
      </c>
      <c r="AU256" s="19">
        <v>1</v>
      </c>
      <c r="AV256" s="19">
        <v>1</v>
      </c>
      <c r="AW256" s="19">
        <v>1</v>
      </c>
      <c r="AX256" s="19">
        <f>SUM(T256:AW256)</f>
        <v>26</v>
      </c>
      <c r="AY256" s="20"/>
      <c r="AZ256" s="19"/>
      <c r="BA256" s="20"/>
      <c r="BB256" s="49"/>
    </row>
    <row r="257" spans="1:54" ht="13.5" customHeight="1" x14ac:dyDescent="0.2">
      <c r="A257" s="104" t="s">
        <v>717</v>
      </c>
      <c r="B257" s="86" t="s">
        <v>280</v>
      </c>
      <c r="C257" s="26">
        <v>173</v>
      </c>
      <c r="D257" s="35" t="s">
        <v>337</v>
      </c>
      <c r="E257" s="26">
        <v>144</v>
      </c>
      <c r="F257" s="26" t="s">
        <v>2190</v>
      </c>
      <c r="G257" s="35" t="s">
        <v>2045</v>
      </c>
      <c r="H257" s="37">
        <v>1</v>
      </c>
      <c r="I257" s="37" t="s">
        <v>47</v>
      </c>
      <c r="J257" s="37">
        <v>1</v>
      </c>
      <c r="K257" s="37" t="s">
        <v>47</v>
      </c>
      <c r="L257" s="35" t="str">
        <f>VLOOKUP(Tabla411[[#This Row],[BTL CVE]],tblPDV[#All],13,0)</f>
        <v>FLORES SALDAÑA JAVIER</v>
      </c>
      <c r="M257" s="26" t="s">
        <v>263</v>
      </c>
      <c r="N257" s="26" t="s">
        <v>54</v>
      </c>
      <c r="O257" s="26" t="s">
        <v>49</v>
      </c>
      <c r="P257" s="26" t="s">
        <v>49</v>
      </c>
      <c r="Q257" s="26" t="s">
        <v>50</v>
      </c>
      <c r="R257" s="38">
        <v>46113</v>
      </c>
      <c r="S257" s="38">
        <v>46142</v>
      </c>
      <c r="T257" s="19">
        <v>1</v>
      </c>
      <c r="U257" s="19">
        <v>1</v>
      </c>
      <c r="V257" s="19">
        <v>1</v>
      </c>
      <c r="W257" s="19">
        <v>1</v>
      </c>
      <c r="X257" s="22"/>
      <c r="Y257" s="19">
        <v>1</v>
      </c>
      <c r="Z257" s="19">
        <v>1</v>
      </c>
      <c r="AA257" s="19">
        <v>1</v>
      </c>
      <c r="AB257" s="19">
        <v>1</v>
      </c>
      <c r="AC257" s="19">
        <v>1</v>
      </c>
      <c r="AD257" s="19">
        <v>1</v>
      </c>
      <c r="AE257" s="22"/>
      <c r="AF257" s="19">
        <v>1</v>
      </c>
      <c r="AG257" s="19">
        <v>1</v>
      </c>
      <c r="AH257" s="19">
        <v>1</v>
      </c>
      <c r="AI257" s="19">
        <v>1</v>
      </c>
      <c r="AJ257" s="19">
        <v>1</v>
      </c>
      <c r="AK257" s="19">
        <v>1</v>
      </c>
      <c r="AL257" s="22"/>
      <c r="AM257" s="19">
        <v>1</v>
      </c>
      <c r="AN257" s="19">
        <v>1</v>
      </c>
      <c r="AO257" s="19">
        <v>1</v>
      </c>
      <c r="AP257" s="19">
        <v>1</v>
      </c>
      <c r="AQ257" s="19">
        <v>1</v>
      </c>
      <c r="AR257" s="19">
        <v>1</v>
      </c>
      <c r="AS257" s="22"/>
      <c r="AT257" s="19">
        <v>1</v>
      </c>
      <c r="AU257" s="19">
        <v>1</v>
      </c>
      <c r="AV257" s="19">
        <v>1</v>
      </c>
      <c r="AW257" s="19">
        <v>1</v>
      </c>
      <c r="AX257" s="19">
        <f>SUM(T257:AW257)</f>
        <v>26</v>
      </c>
      <c r="AY257" s="20"/>
      <c r="AZ257" s="19"/>
      <c r="BA257" s="20"/>
      <c r="BB257" s="49"/>
    </row>
    <row r="258" spans="1:54" ht="13.5" customHeight="1" x14ac:dyDescent="0.2">
      <c r="A258" s="104" t="s">
        <v>718</v>
      </c>
      <c r="B258" s="86" t="s">
        <v>280</v>
      </c>
      <c r="C258" s="26">
        <v>126</v>
      </c>
      <c r="D258" s="35" t="s">
        <v>338</v>
      </c>
      <c r="E258" s="26">
        <v>252</v>
      </c>
      <c r="F258" s="26" t="s">
        <v>2233</v>
      </c>
      <c r="G258" s="35" t="s">
        <v>2046</v>
      </c>
      <c r="H258" s="37">
        <v>1</v>
      </c>
      <c r="I258" s="37" t="s">
        <v>47</v>
      </c>
      <c r="J258" s="37">
        <v>1</v>
      </c>
      <c r="K258" s="37" t="s">
        <v>47</v>
      </c>
      <c r="L258" s="35" t="str">
        <f>VLOOKUP(Tabla411[[#This Row],[BTL CVE]],tblPDV[#All],13,0)</f>
        <v>FLORES SALDAÑA JAVIER</v>
      </c>
      <c r="M258" s="26" t="s">
        <v>506</v>
      </c>
      <c r="N258" s="26" t="s">
        <v>54</v>
      </c>
      <c r="O258" s="26" t="s">
        <v>49</v>
      </c>
      <c r="P258" s="26" t="s">
        <v>49</v>
      </c>
      <c r="Q258" s="26" t="s">
        <v>50</v>
      </c>
      <c r="R258" s="38">
        <v>46113</v>
      </c>
      <c r="S258" s="38">
        <v>46142</v>
      </c>
      <c r="T258" s="19">
        <v>1</v>
      </c>
      <c r="U258" s="19">
        <v>1</v>
      </c>
      <c r="V258" s="19">
        <v>1</v>
      </c>
      <c r="W258" s="19">
        <v>1</v>
      </c>
      <c r="X258" s="22"/>
      <c r="Y258" s="19">
        <v>1</v>
      </c>
      <c r="Z258" s="19">
        <v>1</v>
      </c>
      <c r="AA258" s="19">
        <v>1</v>
      </c>
      <c r="AB258" s="19">
        <v>1</v>
      </c>
      <c r="AC258" s="19">
        <v>1</v>
      </c>
      <c r="AD258" s="19">
        <v>1</v>
      </c>
      <c r="AE258" s="22"/>
      <c r="AF258" s="19">
        <v>1</v>
      </c>
      <c r="AG258" s="19">
        <v>1</v>
      </c>
      <c r="AH258" s="19">
        <v>1</v>
      </c>
      <c r="AI258" s="19">
        <v>1</v>
      </c>
      <c r="AJ258" s="19">
        <v>1</v>
      </c>
      <c r="AK258" s="19">
        <v>1</v>
      </c>
      <c r="AL258" s="22"/>
      <c r="AM258" s="19">
        <v>1</v>
      </c>
      <c r="AN258" s="19">
        <v>1</v>
      </c>
      <c r="AO258" s="19">
        <v>1</v>
      </c>
      <c r="AP258" s="19">
        <v>1</v>
      </c>
      <c r="AQ258" s="19">
        <v>1</v>
      </c>
      <c r="AR258" s="19">
        <v>1</v>
      </c>
      <c r="AS258" s="22"/>
      <c r="AT258" s="19">
        <v>1</v>
      </c>
      <c r="AU258" s="19">
        <v>1</v>
      </c>
      <c r="AV258" s="19">
        <v>1</v>
      </c>
      <c r="AW258" s="19">
        <v>1</v>
      </c>
      <c r="AX258" s="19">
        <f>SUM(T258:AW258)</f>
        <v>26</v>
      </c>
      <c r="AY258" s="20"/>
      <c r="AZ258" s="19"/>
      <c r="BA258" s="20"/>
      <c r="BB258" s="49"/>
    </row>
    <row r="259" spans="1:54" ht="13.5" customHeight="1" x14ac:dyDescent="0.2">
      <c r="A259" s="122" t="s">
        <v>719</v>
      </c>
      <c r="B259" s="115" t="s">
        <v>280</v>
      </c>
      <c r="C259" s="26">
        <v>121</v>
      </c>
      <c r="D259" s="66" t="s">
        <v>339</v>
      </c>
      <c r="E259" s="26">
        <v>121</v>
      </c>
      <c r="F259" s="26" t="s">
        <v>2178</v>
      </c>
      <c r="G259" s="35" t="s">
        <v>2047</v>
      </c>
      <c r="H259" s="37">
        <v>1</v>
      </c>
      <c r="I259" s="37" t="s">
        <v>47</v>
      </c>
      <c r="J259" s="37">
        <v>1</v>
      </c>
      <c r="K259" s="37" t="s">
        <v>47</v>
      </c>
      <c r="L259" s="35" t="str">
        <f>VLOOKUP(Tabla411[[#This Row],[BTL CVE]],tblPDV[#All],13,0)</f>
        <v xml:space="preserve">REYES AYBAR LILIANA </v>
      </c>
      <c r="M259" s="26" t="s">
        <v>536</v>
      </c>
      <c r="N259" s="26" t="s">
        <v>54</v>
      </c>
      <c r="O259" s="26" t="s">
        <v>49</v>
      </c>
      <c r="P259" s="26" t="s">
        <v>49</v>
      </c>
      <c r="Q259" s="26" t="s">
        <v>50</v>
      </c>
      <c r="R259" s="38">
        <v>46113</v>
      </c>
      <c r="S259" s="38">
        <v>46142</v>
      </c>
      <c r="T259" s="19">
        <v>1</v>
      </c>
      <c r="U259" s="19">
        <v>1</v>
      </c>
      <c r="V259" s="19">
        <v>1</v>
      </c>
      <c r="W259" s="19">
        <v>1</v>
      </c>
      <c r="X259" s="22"/>
      <c r="Y259" s="19">
        <v>1</v>
      </c>
      <c r="Z259" s="19">
        <v>1</v>
      </c>
      <c r="AA259" s="19">
        <v>1</v>
      </c>
      <c r="AB259" s="19">
        <v>1</v>
      </c>
      <c r="AC259" s="19">
        <v>1</v>
      </c>
      <c r="AD259" s="19">
        <v>1</v>
      </c>
      <c r="AE259" s="22"/>
      <c r="AF259" s="19">
        <v>1</v>
      </c>
      <c r="AG259" s="19">
        <v>1</v>
      </c>
      <c r="AH259" s="19">
        <v>1</v>
      </c>
      <c r="AI259" s="19">
        <v>1</v>
      </c>
      <c r="AJ259" s="19">
        <v>1</v>
      </c>
      <c r="AK259" s="19">
        <v>1</v>
      </c>
      <c r="AL259" s="22"/>
      <c r="AM259" s="19">
        <v>1</v>
      </c>
      <c r="AN259" s="19">
        <v>1</v>
      </c>
      <c r="AO259" s="19">
        <v>1</v>
      </c>
      <c r="AP259" s="19">
        <v>1</v>
      </c>
      <c r="AQ259" s="19">
        <v>1</v>
      </c>
      <c r="AR259" s="19">
        <v>1</v>
      </c>
      <c r="AS259" s="22"/>
      <c r="AT259" s="19">
        <v>1</v>
      </c>
      <c r="AU259" s="19">
        <v>1</v>
      </c>
      <c r="AV259" s="19">
        <v>1</v>
      </c>
      <c r="AW259" s="19">
        <v>1</v>
      </c>
      <c r="AX259" s="19">
        <f>SUM(T259:AW259)</f>
        <v>26</v>
      </c>
      <c r="AY259" s="20"/>
      <c r="AZ259" s="19"/>
      <c r="BA259" s="20"/>
      <c r="BB259" s="49" t="s">
        <v>2358</v>
      </c>
    </row>
    <row r="260" spans="1:54" ht="13.5" customHeight="1" x14ac:dyDescent="0.2">
      <c r="A260" s="104" t="s">
        <v>720</v>
      </c>
      <c r="B260" s="86" t="s">
        <v>280</v>
      </c>
      <c r="C260" s="26">
        <v>172</v>
      </c>
      <c r="D260" s="35" t="s">
        <v>340</v>
      </c>
      <c r="E260" s="26">
        <v>143</v>
      </c>
      <c r="F260" s="26" t="s">
        <v>2189</v>
      </c>
      <c r="G260" s="35" t="s">
        <v>2048</v>
      </c>
      <c r="H260" s="37">
        <v>1</v>
      </c>
      <c r="I260" s="37" t="s">
        <v>47</v>
      </c>
      <c r="J260" s="37">
        <v>1</v>
      </c>
      <c r="K260" s="37" t="s">
        <v>47</v>
      </c>
      <c r="L260" s="35" t="str">
        <f>VLOOKUP(Tabla411[[#This Row],[BTL CVE]],tblPDV[#All],13,0)</f>
        <v>FLORES SALDAÑA JAVIER</v>
      </c>
      <c r="M260" s="26" t="s">
        <v>263</v>
      </c>
      <c r="N260" s="26" t="s">
        <v>54</v>
      </c>
      <c r="O260" s="26" t="s">
        <v>49</v>
      </c>
      <c r="P260" s="26" t="s">
        <v>49</v>
      </c>
      <c r="Q260" s="26" t="s">
        <v>50</v>
      </c>
      <c r="R260" s="38">
        <v>46113</v>
      </c>
      <c r="S260" s="38">
        <v>46142</v>
      </c>
      <c r="T260" s="19">
        <v>1</v>
      </c>
      <c r="U260" s="19">
        <v>1</v>
      </c>
      <c r="V260" s="19">
        <v>1</v>
      </c>
      <c r="W260" s="19">
        <v>1</v>
      </c>
      <c r="X260" s="22"/>
      <c r="Y260" s="19">
        <v>1</v>
      </c>
      <c r="Z260" s="19">
        <v>1</v>
      </c>
      <c r="AA260" s="19">
        <v>1</v>
      </c>
      <c r="AB260" s="19">
        <v>1</v>
      </c>
      <c r="AC260" s="19">
        <v>1</v>
      </c>
      <c r="AD260" s="19">
        <v>1</v>
      </c>
      <c r="AE260" s="22"/>
      <c r="AF260" s="19">
        <v>1</v>
      </c>
      <c r="AG260" s="19">
        <v>1</v>
      </c>
      <c r="AH260" s="19">
        <v>1</v>
      </c>
      <c r="AI260" s="19">
        <v>1</v>
      </c>
      <c r="AJ260" s="19">
        <v>1</v>
      </c>
      <c r="AK260" s="19">
        <v>1</v>
      </c>
      <c r="AL260" s="22"/>
      <c r="AM260" s="19">
        <v>1</v>
      </c>
      <c r="AN260" s="19">
        <v>1</v>
      </c>
      <c r="AO260" s="19">
        <v>1</v>
      </c>
      <c r="AP260" s="19">
        <v>1</v>
      </c>
      <c r="AQ260" s="19">
        <v>1</v>
      </c>
      <c r="AR260" s="19">
        <v>1</v>
      </c>
      <c r="AS260" s="22"/>
      <c r="AT260" s="19">
        <v>1</v>
      </c>
      <c r="AU260" s="19">
        <v>1</v>
      </c>
      <c r="AV260" s="19">
        <v>1</v>
      </c>
      <c r="AW260" s="19">
        <v>1</v>
      </c>
      <c r="AX260" s="19">
        <f>SUM(T260:AW260)</f>
        <v>26</v>
      </c>
      <c r="AY260" s="20"/>
      <c r="AZ260" s="19"/>
      <c r="BA260" s="20"/>
      <c r="BB260" s="49"/>
    </row>
    <row r="261" spans="1:54" ht="13.5" customHeight="1" x14ac:dyDescent="0.2">
      <c r="A261" s="104" t="s">
        <v>725</v>
      </c>
      <c r="B261" s="105" t="s">
        <v>280</v>
      </c>
      <c r="C261" s="26">
        <v>9</v>
      </c>
      <c r="D261" s="35" t="s">
        <v>345</v>
      </c>
      <c r="E261" s="26">
        <v>316</v>
      </c>
      <c r="F261" s="26" t="s">
        <v>2252</v>
      </c>
      <c r="G261" s="35" t="s">
        <v>342</v>
      </c>
      <c r="H261" s="37">
        <v>1</v>
      </c>
      <c r="I261" s="37" t="s">
        <v>47</v>
      </c>
      <c r="J261" s="37">
        <v>1</v>
      </c>
      <c r="K261" s="26" t="s">
        <v>47</v>
      </c>
      <c r="L261" s="35" t="str">
        <f>VLOOKUP(Tabla411[[#This Row],[BTL CVE]],tblPDV[#All],13,0)</f>
        <v xml:space="preserve">REYES AYBAR LILIANA </v>
      </c>
      <c r="M261" s="26" t="s">
        <v>536</v>
      </c>
      <c r="N261" s="26" t="s">
        <v>54</v>
      </c>
      <c r="O261" s="26" t="s">
        <v>49</v>
      </c>
      <c r="P261" s="26" t="s">
        <v>49</v>
      </c>
      <c r="Q261" s="26" t="s">
        <v>50</v>
      </c>
      <c r="R261" s="38">
        <v>46113</v>
      </c>
      <c r="S261" s="38">
        <v>46142</v>
      </c>
      <c r="T261" s="19">
        <v>1</v>
      </c>
      <c r="U261" s="19">
        <v>1</v>
      </c>
      <c r="V261" s="19">
        <v>1</v>
      </c>
      <c r="W261" s="19">
        <v>1</v>
      </c>
      <c r="X261" s="22"/>
      <c r="Y261" s="19">
        <v>1</v>
      </c>
      <c r="Z261" s="19">
        <v>1</v>
      </c>
      <c r="AA261" s="19">
        <v>1</v>
      </c>
      <c r="AB261" s="19">
        <v>1</v>
      </c>
      <c r="AC261" s="19">
        <v>1</v>
      </c>
      <c r="AD261" s="19">
        <v>1</v>
      </c>
      <c r="AE261" s="22"/>
      <c r="AF261" s="19">
        <v>1</v>
      </c>
      <c r="AG261" s="19">
        <v>1</v>
      </c>
      <c r="AH261" s="19">
        <v>1</v>
      </c>
      <c r="AI261" s="19">
        <v>1</v>
      </c>
      <c r="AJ261" s="19">
        <v>1</v>
      </c>
      <c r="AK261" s="19">
        <v>1</v>
      </c>
      <c r="AL261" s="22"/>
      <c r="AM261" s="19">
        <v>1</v>
      </c>
      <c r="AN261" s="19">
        <v>1</v>
      </c>
      <c r="AO261" s="19">
        <v>1</v>
      </c>
      <c r="AP261" s="19">
        <v>1</v>
      </c>
      <c r="AQ261" s="19">
        <v>1</v>
      </c>
      <c r="AR261" s="19">
        <v>1</v>
      </c>
      <c r="AS261" s="22"/>
      <c r="AT261" s="19">
        <v>1</v>
      </c>
      <c r="AU261" s="19">
        <v>1</v>
      </c>
      <c r="AV261" s="19">
        <v>1</v>
      </c>
      <c r="AW261" s="19">
        <v>1</v>
      </c>
      <c r="AX261" s="19">
        <f>SUM(T261:AW261)</f>
        <v>26</v>
      </c>
      <c r="AY261" s="20"/>
      <c r="AZ261" s="19"/>
      <c r="BA261" s="20"/>
      <c r="BB261" s="49"/>
    </row>
    <row r="262" spans="1:54" ht="13.5" customHeight="1" x14ac:dyDescent="0.2">
      <c r="A262" s="122" t="s">
        <v>730</v>
      </c>
      <c r="B262" s="114" t="s">
        <v>280</v>
      </c>
      <c r="C262" s="26">
        <v>85</v>
      </c>
      <c r="D262" s="66" t="s">
        <v>352</v>
      </c>
      <c r="E262" s="26">
        <v>138</v>
      </c>
      <c r="F262" s="26" t="s">
        <v>2186</v>
      </c>
      <c r="G262" s="35" t="s">
        <v>2049</v>
      </c>
      <c r="H262" s="37">
        <v>1</v>
      </c>
      <c r="I262" s="37" t="s">
        <v>47</v>
      </c>
      <c r="J262" s="37">
        <v>1</v>
      </c>
      <c r="K262" s="26" t="s">
        <v>47</v>
      </c>
      <c r="L262" s="35" t="str">
        <f>VLOOKUP(Tabla411[[#This Row],[BTL CVE]],tblPDV[#All],13,0)</f>
        <v xml:space="preserve">MONROY GONZALEZ MARIA ZENAIDA </v>
      </c>
      <c r="M262" s="26" t="s">
        <v>536</v>
      </c>
      <c r="N262" s="26" t="s">
        <v>54</v>
      </c>
      <c r="O262" s="26" t="s">
        <v>49</v>
      </c>
      <c r="P262" s="26" t="s">
        <v>49</v>
      </c>
      <c r="Q262" s="26" t="s">
        <v>50</v>
      </c>
      <c r="R262" s="38">
        <v>46113</v>
      </c>
      <c r="S262" s="38">
        <v>46142</v>
      </c>
      <c r="T262" s="19">
        <v>1</v>
      </c>
      <c r="U262" s="19">
        <v>1</v>
      </c>
      <c r="V262" s="19">
        <v>1</v>
      </c>
      <c r="W262" s="19">
        <v>1</v>
      </c>
      <c r="X262" s="22"/>
      <c r="Y262" s="19">
        <v>1</v>
      </c>
      <c r="Z262" s="19">
        <v>1</v>
      </c>
      <c r="AA262" s="19">
        <v>1</v>
      </c>
      <c r="AB262" s="19">
        <v>1</v>
      </c>
      <c r="AC262" s="19">
        <v>1</v>
      </c>
      <c r="AD262" s="19">
        <v>1</v>
      </c>
      <c r="AE262" s="22"/>
      <c r="AF262" s="19">
        <v>1</v>
      </c>
      <c r="AG262" s="19">
        <v>1</v>
      </c>
      <c r="AH262" s="19">
        <v>1</v>
      </c>
      <c r="AI262" s="19">
        <v>1</v>
      </c>
      <c r="AJ262" s="19">
        <v>1</v>
      </c>
      <c r="AK262" s="19">
        <v>1</v>
      </c>
      <c r="AL262" s="22"/>
      <c r="AM262" s="19">
        <v>1</v>
      </c>
      <c r="AN262" s="19">
        <v>1</v>
      </c>
      <c r="AO262" s="19">
        <v>1</v>
      </c>
      <c r="AP262" s="19">
        <v>1</v>
      </c>
      <c r="AQ262" s="19">
        <v>1</v>
      </c>
      <c r="AR262" s="19">
        <v>1</v>
      </c>
      <c r="AS262" s="22"/>
      <c r="AT262" s="19">
        <v>1</v>
      </c>
      <c r="AU262" s="19">
        <v>1</v>
      </c>
      <c r="AV262" s="19">
        <v>1</v>
      </c>
      <c r="AW262" s="19">
        <v>1</v>
      </c>
      <c r="AX262" s="19">
        <f>SUM(T262:AW262)</f>
        <v>26</v>
      </c>
      <c r="AY262" s="20"/>
      <c r="AZ262" s="19"/>
      <c r="BA262" s="20"/>
      <c r="BB262" s="49" t="s">
        <v>2358</v>
      </c>
    </row>
    <row r="263" spans="1:54" ht="13.5" customHeight="1" x14ac:dyDescent="0.2">
      <c r="A263" s="104" t="s">
        <v>680</v>
      </c>
      <c r="B263" s="105" t="s">
        <v>280</v>
      </c>
      <c r="C263" s="26">
        <v>130</v>
      </c>
      <c r="D263" s="35" t="s">
        <v>294</v>
      </c>
      <c r="E263" s="26">
        <v>114</v>
      </c>
      <c r="F263" s="26" t="s">
        <v>2353</v>
      </c>
      <c r="G263" s="35" t="s">
        <v>2096</v>
      </c>
      <c r="H263" s="37">
        <v>1</v>
      </c>
      <c r="I263" s="37" t="s">
        <v>47</v>
      </c>
      <c r="J263" s="37">
        <v>0.5</v>
      </c>
      <c r="K263" s="37" t="s">
        <v>53</v>
      </c>
      <c r="L263" s="35" t="str">
        <f>VLOOKUP(Tabla411[[#This Row],[BTL CVE]],tblPDV[#All],13,0)</f>
        <v>LOPEZ RUIZ JACQUELINE</v>
      </c>
      <c r="M263" s="26" t="s">
        <v>536</v>
      </c>
      <c r="N263" s="26" t="s">
        <v>54</v>
      </c>
      <c r="O263" s="26" t="s">
        <v>49</v>
      </c>
      <c r="P263" s="26" t="s">
        <v>49</v>
      </c>
      <c r="Q263" s="26" t="s">
        <v>50</v>
      </c>
      <c r="R263" s="38">
        <v>46135</v>
      </c>
      <c r="S263" s="38">
        <v>46142</v>
      </c>
      <c r="T263" s="19"/>
      <c r="U263" s="19"/>
      <c r="V263" s="19"/>
      <c r="W263" s="19"/>
      <c r="X263" s="22"/>
      <c r="Y263" s="19"/>
      <c r="Z263" s="19"/>
      <c r="AA263" s="19"/>
      <c r="AB263" s="19"/>
      <c r="AC263" s="19"/>
      <c r="AD263" s="19"/>
      <c r="AE263" s="22"/>
      <c r="AF263" s="19"/>
      <c r="AG263" s="19"/>
      <c r="AH263" s="19"/>
      <c r="AI263" s="19"/>
      <c r="AJ263" s="19"/>
      <c r="AK263" s="19"/>
      <c r="AL263" s="22"/>
      <c r="AM263" s="19"/>
      <c r="AN263" s="19"/>
      <c r="AO263" s="19"/>
      <c r="AP263" s="19">
        <v>1</v>
      </c>
      <c r="AQ263" s="19">
        <v>1</v>
      </c>
      <c r="AR263" s="19">
        <v>1</v>
      </c>
      <c r="AS263" s="22"/>
      <c r="AT263" s="19">
        <v>1</v>
      </c>
      <c r="AU263" s="19">
        <v>1</v>
      </c>
      <c r="AV263" s="19">
        <v>1</v>
      </c>
      <c r="AW263" s="19">
        <v>1</v>
      </c>
      <c r="AX263" s="19">
        <f>SUM(T263:AW263)</f>
        <v>7</v>
      </c>
      <c r="AY263" s="20"/>
      <c r="AZ263" s="19"/>
      <c r="BA263" s="20"/>
      <c r="BB263" s="49"/>
    </row>
    <row r="264" spans="1:54" ht="13.5" customHeight="1" x14ac:dyDescent="0.2">
      <c r="A264" s="119" t="s">
        <v>724</v>
      </c>
      <c r="B264" s="110" t="s">
        <v>280</v>
      </c>
      <c r="C264" s="44">
        <v>135</v>
      </c>
      <c r="D264" s="35" t="s">
        <v>343</v>
      </c>
      <c r="E264" s="26">
        <v>441</v>
      </c>
      <c r="F264" s="26" t="s">
        <v>2288</v>
      </c>
      <c r="G264" s="35" t="s">
        <v>344</v>
      </c>
      <c r="H264" s="37">
        <v>1</v>
      </c>
      <c r="I264" s="37" t="s">
        <v>47</v>
      </c>
      <c r="J264" s="37">
        <v>1</v>
      </c>
      <c r="K264" s="37" t="s">
        <v>47</v>
      </c>
      <c r="L264" s="35" t="str">
        <f>VLOOKUP(Tabla411[[#This Row],[BTL CVE]],tblPDV[#All],13,0)</f>
        <v>FLORES SALDAÑA JAVIER</v>
      </c>
      <c r="M264" s="26" t="s">
        <v>506</v>
      </c>
      <c r="N264" s="26" t="s">
        <v>54</v>
      </c>
      <c r="O264" s="26" t="s">
        <v>49</v>
      </c>
      <c r="P264" s="26" t="s">
        <v>49</v>
      </c>
      <c r="Q264" s="26" t="s">
        <v>50</v>
      </c>
      <c r="R264" s="38">
        <v>46113</v>
      </c>
      <c r="S264" s="38">
        <v>46142</v>
      </c>
      <c r="T264" s="19">
        <v>1</v>
      </c>
      <c r="U264" s="19">
        <v>1</v>
      </c>
      <c r="V264" s="19">
        <v>1</v>
      </c>
      <c r="W264" s="19">
        <v>1</v>
      </c>
      <c r="X264" s="22"/>
      <c r="Y264" s="19">
        <v>1</v>
      </c>
      <c r="Z264" s="19">
        <v>1</v>
      </c>
      <c r="AA264" s="19">
        <v>1</v>
      </c>
      <c r="AB264" s="19">
        <v>1</v>
      </c>
      <c r="AC264" s="19">
        <v>1</v>
      </c>
      <c r="AD264" s="19">
        <v>1</v>
      </c>
      <c r="AE264" s="22"/>
      <c r="AF264" s="19">
        <v>1</v>
      </c>
      <c r="AG264" s="19">
        <v>1</v>
      </c>
      <c r="AH264" s="19">
        <v>1</v>
      </c>
      <c r="AI264" s="19">
        <v>1</v>
      </c>
      <c r="AJ264" s="19">
        <v>1</v>
      </c>
      <c r="AK264" s="19">
        <v>1</v>
      </c>
      <c r="AL264" s="22"/>
      <c r="AM264" s="19">
        <v>1</v>
      </c>
      <c r="AN264" s="19">
        <v>1</v>
      </c>
      <c r="AO264" s="19">
        <v>1</v>
      </c>
      <c r="AP264" s="19">
        <v>1</v>
      </c>
      <c r="AQ264" s="19">
        <v>1</v>
      </c>
      <c r="AR264" s="19">
        <v>1</v>
      </c>
      <c r="AS264" s="22"/>
      <c r="AT264" s="19">
        <v>1</v>
      </c>
      <c r="AU264" s="19">
        <v>1</v>
      </c>
      <c r="AV264" s="19">
        <v>1</v>
      </c>
      <c r="AW264" s="19">
        <v>1</v>
      </c>
      <c r="AX264" s="19">
        <f>SUM(T264:AW264)</f>
        <v>26</v>
      </c>
      <c r="AY264" s="20"/>
      <c r="AZ264" s="19"/>
      <c r="BA264" s="20"/>
      <c r="BB264" s="49" t="s">
        <v>2103</v>
      </c>
    </row>
    <row r="265" spans="1:54" ht="13.5" customHeight="1" x14ac:dyDescent="0.2">
      <c r="A265" s="119" t="s">
        <v>723</v>
      </c>
      <c r="B265" s="110" t="s">
        <v>280</v>
      </c>
      <c r="C265" s="44">
        <v>140</v>
      </c>
      <c r="D265" s="35" t="s">
        <v>233</v>
      </c>
      <c r="E265" s="26">
        <v>364</v>
      </c>
      <c r="F265" s="26" t="s">
        <v>2266</v>
      </c>
      <c r="G265" s="35" t="s">
        <v>347</v>
      </c>
      <c r="H265" s="37">
        <v>1</v>
      </c>
      <c r="I265" s="37" t="s">
        <v>47</v>
      </c>
      <c r="J265" s="37">
        <v>1</v>
      </c>
      <c r="K265" s="37" t="s">
        <v>47</v>
      </c>
      <c r="L265" s="35" t="str">
        <f>VLOOKUP(Tabla411[[#This Row],[BTL CVE]],tblPDV[#All],13,0)</f>
        <v>FLORES SALDAÑA JAVIER</v>
      </c>
      <c r="M265" s="26" t="s">
        <v>506</v>
      </c>
      <c r="N265" s="26" t="s">
        <v>54</v>
      </c>
      <c r="O265" s="26" t="s">
        <v>49</v>
      </c>
      <c r="P265" s="26" t="s">
        <v>49</v>
      </c>
      <c r="Q265" s="26" t="s">
        <v>50</v>
      </c>
      <c r="R265" s="38">
        <v>46113</v>
      </c>
      <c r="S265" s="38">
        <v>46134</v>
      </c>
      <c r="T265" s="19">
        <v>1</v>
      </c>
      <c r="U265" s="19">
        <v>1</v>
      </c>
      <c r="V265" s="19">
        <v>1</v>
      </c>
      <c r="W265" s="19">
        <v>1</v>
      </c>
      <c r="X265" s="22"/>
      <c r="Y265" s="19">
        <v>1</v>
      </c>
      <c r="Z265" s="19">
        <v>1</v>
      </c>
      <c r="AA265" s="19">
        <v>1</v>
      </c>
      <c r="AB265" s="19">
        <v>1</v>
      </c>
      <c r="AC265" s="19">
        <v>1</v>
      </c>
      <c r="AD265" s="19">
        <v>1</v>
      </c>
      <c r="AE265" s="22"/>
      <c r="AF265" s="19">
        <v>1</v>
      </c>
      <c r="AG265" s="19">
        <v>1</v>
      </c>
      <c r="AH265" s="19">
        <v>1</v>
      </c>
      <c r="AI265" s="19">
        <v>1</v>
      </c>
      <c r="AJ265" s="19">
        <v>1</v>
      </c>
      <c r="AK265" s="19">
        <v>1</v>
      </c>
      <c r="AL265" s="22"/>
      <c r="AM265" s="19">
        <v>1</v>
      </c>
      <c r="AN265" s="19">
        <v>1</v>
      </c>
      <c r="AO265" s="19">
        <v>1</v>
      </c>
      <c r="AP265" s="19">
        <v>1</v>
      </c>
      <c r="AQ265" s="19">
        <v>1</v>
      </c>
      <c r="AR265" s="19">
        <v>1</v>
      </c>
      <c r="AS265" s="22"/>
      <c r="AT265" s="19">
        <v>1</v>
      </c>
      <c r="AU265" s="19">
        <v>1</v>
      </c>
      <c r="AV265" s="19">
        <v>1</v>
      </c>
      <c r="AW265" s="19">
        <v>1</v>
      </c>
      <c r="AX265" s="19">
        <f>SUM(T265:AW265)</f>
        <v>26</v>
      </c>
      <c r="AY265" s="20"/>
      <c r="AZ265" s="19"/>
      <c r="BA265" s="20"/>
      <c r="BB265" s="49" t="s">
        <v>2103</v>
      </c>
    </row>
    <row r="266" spans="1:54" ht="13.5" customHeight="1" x14ac:dyDescent="0.2">
      <c r="A266" s="104" t="s">
        <v>674</v>
      </c>
      <c r="B266" s="86" t="s">
        <v>280</v>
      </c>
      <c r="C266" s="26">
        <v>12</v>
      </c>
      <c r="D266" s="35" t="s">
        <v>288</v>
      </c>
      <c r="E266" s="26">
        <v>166</v>
      </c>
      <c r="F266" s="26" t="s">
        <v>2201</v>
      </c>
      <c r="G266" s="35" t="s">
        <v>2051</v>
      </c>
      <c r="H266" s="37">
        <v>1</v>
      </c>
      <c r="I266" s="37" t="s">
        <v>47</v>
      </c>
      <c r="J266" s="37">
        <v>1</v>
      </c>
      <c r="K266" s="37" t="s">
        <v>47</v>
      </c>
      <c r="L266" s="35" t="str">
        <f>VLOOKUP(Tabla411[[#This Row],[BTL CVE]],tblPDV[#All],13,0)</f>
        <v xml:space="preserve">MONROY GONZALEZ MARIA ZENAIDA </v>
      </c>
      <c r="M266" s="26" t="s">
        <v>536</v>
      </c>
      <c r="N266" s="26" t="s">
        <v>54</v>
      </c>
      <c r="O266" s="26" t="s">
        <v>49</v>
      </c>
      <c r="P266" s="26" t="s">
        <v>49</v>
      </c>
      <c r="Q266" s="26" t="s">
        <v>50</v>
      </c>
      <c r="R266" s="38">
        <v>46113</v>
      </c>
      <c r="S266" s="38">
        <v>46142</v>
      </c>
      <c r="T266" s="19">
        <v>1</v>
      </c>
      <c r="U266" s="19">
        <v>1</v>
      </c>
      <c r="V266" s="19">
        <v>1</v>
      </c>
      <c r="W266" s="19">
        <v>1</v>
      </c>
      <c r="X266" s="22"/>
      <c r="Y266" s="19">
        <v>1</v>
      </c>
      <c r="Z266" s="19">
        <v>1</v>
      </c>
      <c r="AA266" s="19">
        <v>1</v>
      </c>
      <c r="AB266" s="19">
        <v>1</v>
      </c>
      <c r="AC266" s="19">
        <v>1</v>
      </c>
      <c r="AD266" s="19">
        <v>1</v>
      </c>
      <c r="AE266" s="22"/>
      <c r="AF266" s="19">
        <v>1</v>
      </c>
      <c r="AG266" s="19">
        <v>1</v>
      </c>
      <c r="AH266" s="19">
        <v>1</v>
      </c>
      <c r="AI266" s="19">
        <v>1</v>
      </c>
      <c r="AJ266" s="19">
        <v>1</v>
      </c>
      <c r="AK266" s="19">
        <v>1</v>
      </c>
      <c r="AL266" s="22"/>
      <c r="AM266" s="19">
        <v>1</v>
      </c>
      <c r="AN266" s="19">
        <v>1</v>
      </c>
      <c r="AO266" s="19">
        <v>1</v>
      </c>
      <c r="AP266" s="19">
        <v>1</v>
      </c>
      <c r="AQ266" s="19">
        <v>1</v>
      </c>
      <c r="AR266" s="19">
        <v>1</v>
      </c>
      <c r="AS266" s="22"/>
      <c r="AT266" s="19">
        <v>1</v>
      </c>
      <c r="AU266" s="19">
        <v>1</v>
      </c>
      <c r="AV266" s="19">
        <v>1</v>
      </c>
      <c r="AW266" s="19">
        <v>1</v>
      </c>
      <c r="AX266" s="19">
        <f>SUM(T266:AW266)</f>
        <v>26</v>
      </c>
      <c r="AY266" s="20"/>
      <c r="AZ266" s="19"/>
      <c r="BA266" s="20"/>
      <c r="BB266" s="49"/>
    </row>
    <row r="267" spans="1:54" ht="13.5" customHeight="1" x14ac:dyDescent="0.2">
      <c r="A267" s="104" t="s">
        <v>728</v>
      </c>
      <c r="B267" s="86" t="s">
        <v>280</v>
      </c>
      <c r="C267" s="26">
        <v>28</v>
      </c>
      <c r="D267" s="35" t="s">
        <v>350</v>
      </c>
      <c r="E267" s="26">
        <v>307</v>
      </c>
      <c r="F267" s="26" t="s">
        <v>2249</v>
      </c>
      <c r="G267" s="35" t="s">
        <v>1514</v>
      </c>
      <c r="H267" s="37">
        <v>1</v>
      </c>
      <c r="I267" s="37" t="s">
        <v>47</v>
      </c>
      <c r="J267" s="37">
        <v>1</v>
      </c>
      <c r="K267" s="37" t="s">
        <v>47</v>
      </c>
      <c r="L267" s="35" t="str">
        <f>VLOOKUP(Tabla411[[#This Row],[BTL CVE]],tblPDV[#All],13,0)</f>
        <v>CARRILLO XOCHIHUA XOCHITL</v>
      </c>
      <c r="M267" s="26" t="s">
        <v>536</v>
      </c>
      <c r="N267" s="26" t="s">
        <v>54</v>
      </c>
      <c r="O267" s="26" t="s">
        <v>49</v>
      </c>
      <c r="P267" s="26" t="s">
        <v>49</v>
      </c>
      <c r="Q267" s="26" t="s">
        <v>50</v>
      </c>
      <c r="R267" s="38">
        <v>46113</v>
      </c>
      <c r="S267" s="38">
        <v>46142</v>
      </c>
      <c r="T267" s="19">
        <v>1</v>
      </c>
      <c r="U267" s="19">
        <v>1</v>
      </c>
      <c r="V267" s="19">
        <v>1</v>
      </c>
      <c r="W267" s="19">
        <v>1</v>
      </c>
      <c r="X267" s="22"/>
      <c r="Y267" s="19">
        <v>1</v>
      </c>
      <c r="Z267" s="19">
        <v>1</v>
      </c>
      <c r="AA267" s="19">
        <v>1</v>
      </c>
      <c r="AB267" s="19">
        <v>1</v>
      </c>
      <c r="AC267" s="19">
        <v>1</v>
      </c>
      <c r="AD267" s="19">
        <v>1</v>
      </c>
      <c r="AE267" s="22"/>
      <c r="AF267" s="19">
        <v>1</v>
      </c>
      <c r="AG267" s="19">
        <v>1</v>
      </c>
      <c r="AH267" s="19">
        <v>1</v>
      </c>
      <c r="AI267" s="19">
        <v>1</v>
      </c>
      <c r="AJ267" s="19">
        <v>1</v>
      </c>
      <c r="AK267" s="19">
        <v>1</v>
      </c>
      <c r="AL267" s="22"/>
      <c r="AM267" s="19">
        <v>1</v>
      </c>
      <c r="AN267" s="19">
        <v>1</v>
      </c>
      <c r="AO267" s="19">
        <v>1</v>
      </c>
      <c r="AP267" s="19">
        <v>1</v>
      </c>
      <c r="AQ267" s="19">
        <v>1</v>
      </c>
      <c r="AR267" s="19">
        <v>1</v>
      </c>
      <c r="AS267" s="22"/>
      <c r="AT267" s="19">
        <v>1</v>
      </c>
      <c r="AU267" s="19">
        <v>1</v>
      </c>
      <c r="AV267" s="19">
        <v>1</v>
      </c>
      <c r="AW267" s="19">
        <v>1</v>
      </c>
      <c r="AX267" s="19">
        <f>SUM(T267:AW267)</f>
        <v>26</v>
      </c>
      <c r="AY267" s="20"/>
      <c r="AZ267" s="19"/>
      <c r="BA267" s="20"/>
      <c r="BB267" s="49"/>
    </row>
    <row r="268" spans="1:54" ht="13.5" customHeight="1" x14ac:dyDescent="0.2">
      <c r="A268" s="104" t="s">
        <v>1419</v>
      </c>
      <c r="B268" s="86" t="s">
        <v>280</v>
      </c>
      <c r="C268" s="26">
        <v>53</v>
      </c>
      <c r="D268" s="35" t="s">
        <v>532</v>
      </c>
      <c r="E268" s="26">
        <v>545</v>
      </c>
      <c r="F268" s="26" t="s">
        <v>2335</v>
      </c>
      <c r="G268" s="35" t="s">
        <v>1552</v>
      </c>
      <c r="H268" s="37">
        <v>1</v>
      </c>
      <c r="I268" s="37" t="s">
        <v>47</v>
      </c>
      <c r="J268" s="37">
        <v>1</v>
      </c>
      <c r="K268" s="37" t="s">
        <v>47</v>
      </c>
      <c r="L268" s="35" t="str">
        <f>VLOOKUP(Tabla411[[#This Row],[BTL CVE]],tblPDV[#All],13,0)</f>
        <v>CARRILLO XOCHIHUA XOCHITL</v>
      </c>
      <c r="M268" s="26" t="s">
        <v>536</v>
      </c>
      <c r="N268" s="26" t="s">
        <v>54</v>
      </c>
      <c r="O268" s="26" t="s">
        <v>49</v>
      </c>
      <c r="P268" s="26" t="s">
        <v>49</v>
      </c>
      <c r="Q268" s="26" t="s">
        <v>50</v>
      </c>
      <c r="R268" s="38">
        <v>46113</v>
      </c>
      <c r="S268" s="38">
        <v>46142</v>
      </c>
      <c r="T268" s="19">
        <v>1</v>
      </c>
      <c r="U268" s="19">
        <v>1</v>
      </c>
      <c r="V268" s="19">
        <v>1</v>
      </c>
      <c r="W268" s="19">
        <v>1</v>
      </c>
      <c r="X268" s="22"/>
      <c r="Y268" s="19">
        <v>1</v>
      </c>
      <c r="Z268" s="19">
        <v>1</v>
      </c>
      <c r="AA268" s="19">
        <v>1</v>
      </c>
      <c r="AB268" s="19">
        <v>1</v>
      </c>
      <c r="AC268" s="19">
        <v>1</v>
      </c>
      <c r="AD268" s="19">
        <v>1</v>
      </c>
      <c r="AE268" s="22"/>
      <c r="AF268" s="19">
        <v>1</v>
      </c>
      <c r="AG268" s="19">
        <v>1</v>
      </c>
      <c r="AH268" s="19">
        <v>1</v>
      </c>
      <c r="AI268" s="19">
        <v>1</v>
      </c>
      <c r="AJ268" s="19">
        <v>1</v>
      </c>
      <c r="AK268" s="19">
        <v>1</v>
      </c>
      <c r="AL268" s="22"/>
      <c r="AM268" s="19">
        <v>1</v>
      </c>
      <c r="AN268" s="19">
        <v>1</v>
      </c>
      <c r="AO268" s="19">
        <v>1</v>
      </c>
      <c r="AP268" s="19">
        <v>1</v>
      </c>
      <c r="AQ268" s="19">
        <v>1</v>
      </c>
      <c r="AR268" s="19">
        <v>1</v>
      </c>
      <c r="AS268" s="22"/>
      <c r="AT268" s="19">
        <v>1</v>
      </c>
      <c r="AU268" s="19">
        <v>1</v>
      </c>
      <c r="AV268" s="19">
        <v>1</v>
      </c>
      <c r="AW268" s="19">
        <v>1</v>
      </c>
      <c r="AX268" s="19">
        <f>SUM(T268:AW268)</f>
        <v>26</v>
      </c>
      <c r="AY268" s="20"/>
      <c r="AZ268" s="19"/>
      <c r="BA268" s="20"/>
      <c r="BB268" s="49"/>
    </row>
    <row r="269" spans="1:54" ht="13.5" customHeight="1" x14ac:dyDescent="0.2">
      <c r="A269" s="104" t="s">
        <v>731</v>
      </c>
      <c r="B269" s="86" t="s">
        <v>280</v>
      </c>
      <c r="C269" s="26">
        <v>38</v>
      </c>
      <c r="D269" s="35" t="s">
        <v>122</v>
      </c>
      <c r="E269" s="26">
        <v>31</v>
      </c>
      <c r="F269" s="26" t="s">
        <v>2137</v>
      </c>
      <c r="G269" s="35" t="s">
        <v>2052</v>
      </c>
      <c r="H269" s="37">
        <v>1</v>
      </c>
      <c r="I269" s="37" t="s">
        <v>47</v>
      </c>
      <c r="J269" s="37">
        <v>1</v>
      </c>
      <c r="K269" s="26" t="s">
        <v>47</v>
      </c>
      <c r="L269" s="35" t="str">
        <f>VLOOKUP(Tabla411[[#This Row],[BTL CVE]],tblPDV[#All],13,0)</f>
        <v xml:space="preserve">FERNANDEZ SANCHEZ MIGUEL ANGEL </v>
      </c>
      <c r="M269" s="26" t="s">
        <v>122</v>
      </c>
      <c r="N269" s="26" t="s">
        <v>54</v>
      </c>
      <c r="O269" s="26" t="s">
        <v>49</v>
      </c>
      <c r="P269" s="26" t="s">
        <v>49</v>
      </c>
      <c r="Q269" s="26" t="s">
        <v>50</v>
      </c>
      <c r="R269" s="38">
        <v>46113</v>
      </c>
      <c r="S269" s="38">
        <v>46142</v>
      </c>
      <c r="T269" s="19">
        <v>1</v>
      </c>
      <c r="U269" s="19">
        <v>1</v>
      </c>
      <c r="V269" s="19">
        <v>1</v>
      </c>
      <c r="W269" s="19">
        <v>1</v>
      </c>
      <c r="X269" s="22"/>
      <c r="Y269" s="19">
        <v>1</v>
      </c>
      <c r="Z269" s="19">
        <v>1</v>
      </c>
      <c r="AA269" s="19">
        <v>1</v>
      </c>
      <c r="AB269" s="19">
        <v>1</v>
      </c>
      <c r="AC269" s="19">
        <v>1</v>
      </c>
      <c r="AD269" s="19">
        <v>1</v>
      </c>
      <c r="AE269" s="22"/>
      <c r="AF269" s="19">
        <v>1</v>
      </c>
      <c r="AG269" s="19">
        <v>1</v>
      </c>
      <c r="AH269" s="19">
        <v>1</v>
      </c>
      <c r="AI269" s="19">
        <v>1</v>
      </c>
      <c r="AJ269" s="19">
        <v>1</v>
      </c>
      <c r="AK269" s="19">
        <v>1</v>
      </c>
      <c r="AL269" s="22"/>
      <c r="AM269" s="19">
        <v>1</v>
      </c>
      <c r="AN269" s="19">
        <v>1</v>
      </c>
      <c r="AO269" s="19">
        <v>1</v>
      </c>
      <c r="AP269" s="19">
        <v>1</v>
      </c>
      <c r="AQ269" s="19">
        <v>1</v>
      </c>
      <c r="AR269" s="19">
        <v>1</v>
      </c>
      <c r="AS269" s="22"/>
      <c r="AT269" s="19">
        <v>1</v>
      </c>
      <c r="AU269" s="19">
        <v>1</v>
      </c>
      <c r="AV269" s="19">
        <v>1</v>
      </c>
      <c r="AW269" s="19">
        <v>1</v>
      </c>
      <c r="AX269" s="19">
        <f>SUM(T269:AW269)</f>
        <v>26</v>
      </c>
      <c r="AY269" s="20"/>
      <c r="AZ269" s="19"/>
      <c r="BA269" s="20"/>
      <c r="BB269" s="49"/>
    </row>
    <row r="270" spans="1:54" ht="13.5" customHeight="1" x14ac:dyDescent="0.2">
      <c r="A270" s="104" t="s">
        <v>744</v>
      </c>
      <c r="B270" s="86" t="s">
        <v>280</v>
      </c>
      <c r="C270" s="26">
        <v>4</v>
      </c>
      <c r="D270" s="35" t="s">
        <v>439</v>
      </c>
      <c r="E270" s="26">
        <v>549</v>
      </c>
      <c r="F270" s="26" t="s">
        <v>2339</v>
      </c>
      <c r="G270" s="35" t="s">
        <v>1556</v>
      </c>
      <c r="H270" s="37">
        <v>1</v>
      </c>
      <c r="I270" s="37" t="s">
        <v>47</v>
      </c>
      <c r="J270" s="37">
        <v>1</v>
      </c>
      <c r="K270" s="37" t="s">
        <v>47</v>
      </c>
      <c r="L270" s="35" t="str">
        <f>VLOOKUP(Tabla411[[#This Row],[BTL CVE]],tblPDV[#All],13,0)</f>
        <v xml:space="preserve">CHAVEZ RAMOS  JONATAN RAYMUNDO </v>
      </c>
      <c r="M270" s="26" t="s">
        <v>536</v>
      </c>
      <c r="N270" s="26" t="s">
        <v>54</v>
      </c>
      <c r="O270" s="26" t="s">
        <v>49</v>
      </c>
      <c r="P270" s="26" t="s">
        <v>49</v>
      </c>
      <c r="Q270" s="26" t="s">
        <v>50</v>
      </c>
      <c r="R270" s="38">
        <v>46113</v>
      </c>
      <c r="S270" s="38">
        <v>46142</v>
      </c>
      <c r="T270" s="19">
        <v>1</v>
      </c>
      <c r="U270" s="19">
        <v>1</v>
      </c>
      <c r="V270" s="19">
        <v>1</v>
      </c>
      <c r="W270" s="19">
        <v>1</v>
      </c>
      <c r="X270" s="22"/>
      <c r="Y270" s="19">
        <v>1</v>
      </c>
      <c r="Z270" s="19">
        <v>1</v>
      </c>
      <c r="AA270" s="19">
        <v>1</v>
      </c>
      <c r="AB270" s="19">
        <v>1</v>
      </c>
      <c r="AC270" s="19">
        <v>1</v>
      </c>
      <c r="AD270" s="19">
        <v>1</v>
      </c>
      <c r="AE270" s="22"/>
      <c r="AF270" s="19">
        <v>1</v>
      </c>
      <c r="AG270" s="19">
        <v>1</v>
      </c>
      <c r="AH270" s="19">
        <v>1</v>
      </c>
      <c r="AI270" s="19">
        <v>1</v>
      </c>
      <c r="AJ270" s="19">
        <v>1</v>
      </c>
      <c r="AK270" s="19">
        <v>1</v>
      </c>
      <c r="AL270" s="22"/>
      <c r="AM270" s="19">
        <v>1</v>
      </c>
      <c r="AN270" s="19">
        <v>1</v>
      </c>
      <c r="AO270" s="19">
        <v>1</v>
      </c>
      <c r="AP270" s="19">
        <v>1</v>
      </c>
      <c r="AQ270" s="19">
        <v>1</v>
      </c>
      <c r="AR270" s="19">
        <v>1</v>
      </c>
      <c r="AS270" s="22"/>
      <c r="AT270" s="19">
        <v>1</v>
      </c>
      <c r="AU270" s="19">
        <v>1</v>
      </c>
      <c r="AV270" s="19">
        <v>1</v>
      </c>
      <c r="AW270" s="19">
        <v>1</v>
      </c>
      <c r="AX270" s="19">
        <f>SUM(T270:AW270)</f>
        <v>26</v>
      </c>
      <c r="AY270" s="20"/>
      <c r="AZ270" s="19"/>
      <c r="BA270" s="20"/>
      <c r="BB270" s="49"/>
    </row>
    <row r="271" spans="1:54" ht="13.5" customHeight="1" x14ac:dyDescent="0.2">
      <c r="A271" s="104" t="s">
        <v>737</v>
      </c>
      <c r="B271" s="86" t="s">
        <v>280</v>
      </c>
      <c r="C271" s="26">
        <v>56</v>
      </c>
      <c r="D271" s="35" t="s">
        <v>360</v>
      </c>
      <c r="E271" s="26">
        <v>137</v>
      </c>
      <c r="F271" s="26" t="s">
        <v>2185</v>
      </c>
      <c r="G271" s="35" t="s">
        <v>2054</v>
      </c>
      <c r="H271" s="37">
        <v>1</v>
      </c>
      <c r="I271" s="37" t="s">
        <v>47</v>
      </c>
      <c r="J271" s="37">
        <v>1</v>
      </c>
      <c r="K271" s="26" t="s">
        <v>47</v>
      </c>
      <c r="L271" s="35" t="str">
        <f>VLOOKUP(Tabla411[[#This Row],[BTL CVE]],tblPDV[#All],13,0)</f>
        <v xml:space="preserve">CHAVEZ RAMOS  JONATAN RAYMUNDO </v>
      </c>
      <c r="M271" s="26" t="s">
        <v>536</v>
      </c>
      <c r="N271" s="26" t="s">
        <v>54</v>
      </c>
      <c r="O271" s="26" t="s">
        <v>49</v>
      </c>
      <c r="P271" s="26" t="s">
        <v>49</v>
      </c>
      <c r="Q271" s="26" t="s">
        <v>50</v>
      </c>
      <c r="R271" s="38">
        <v>46113</v>
      </c>
      <c r="S271" s="38">
        <v>46142</v>
      </c>
      <c r="T271" s="19">
        <v>1</v>
      </c>
      <c r="U271" s="19">
        <v>1</v>
      </c>
      <c r="V271" s="19">
        <v>1</v>
      </c>
      <c r="W271" s="19">
        <v>1</v>
      </c>
      <c r="X271" s="22"/>
      <c r="Y271" s="19">
        <v>1</v>
      </c>
      <c r="Z271" s="19">
        <v>1</v>
      </c>
      <c r="AA271" s="19">
        <v>1</v>
      </c>
      <c r="AB271" s="19">
        <v>1</v>
      </c>
      <c r="AC271" s="19">
        <v>1</v>
      </c>
      <c r="AD271" s="19">
        <v>1</v>
      </c>
      <c r="AE271" s="22"/>
      <c r="AF271" s="19">
        <v>1</v>
      </c>
      <c r="AG271" s="19">
        <v>1</v>
      </c>
      <c r="AH271" s="19">
        <v>1</v>
      </c>
      <c r="AI271" s="19">
        <v>1</v>
      </c>
      <c r="AJ271" s="19">
        <v>1</v>
      </c>
      <c r="AK271" s="19">
        <v>1</v>
      </c>
      <c r="AL271" s="22"/>
      <c r="AM271" s="19">
        <v>1</v>
      </c>
      <c r="AN271" s="19">
        <v>1</v>
      </c>
      <c r="AO271" s="19">
        <v>1</v>
      </c>
      <c r="AP271" s="19">
        <v>1</v>
      </c>
      <c r="AQ271" s="19">
        <v>1</v>
      </c>
      <c r="AR271" s="19">
        <v>1</v>
      </c>
      <c r="AS271" s="22"/>
      <c r="AT271" s="19">
        <v>1</v>
      </c>
      <c r="AU271" s="19">
        <v>1</v>
      </c>
      <c r="AV271" s="19">
        <v>1</v>
      </c>
      <c r="AW271" s="19">
        <v>1</v>
      </c>
      <c r="AX271" s="19">
        <f>SUM(T271:AW271)</f>
        <v>26</v>
      </c>
      <c r="AY271" s="20"/>
      <c r="AZ271" s="19"/>
      <c r="BA271" s="20"/>
      <c r="BB271" s="49"/>
    </row>
    <row r="272" spans="1:54" ht="13.5" customHeight="1" x14ac:dyDescent="0.2">
      <c r="A272" s="104" t="s">
        <v>740</v>
      </c>
      <c r="B272" s="86" t="s">
        <v>280</v>
      </c>
      <c r="C272" s="26">
        <v>51</v>
      </c>
      <c r="D272" s="35" t="s">
        <v>361</v>
      </c>
      <c r="E272" s="26">
        <v>117</v>
      </c>
      <c r="F272" s="26" t="s">
        <v>2176</v>
      </c>
      <c r="G272" s="35" t="s">
        <v>2055</v>
      </c>
      <c r="H272" s="37">
        <v>1</v>
      </c>
      <c r="I272" s="37" t="s">
        <v>47</v>
      </c>
      <c r="J272" s="37">
        <v>1</v>
      </c>
      <c r="K272" s="37" t="s">
        <v>47</v>
      </c>
      <c r="L272" s="35" t="str">
        <f>VLOOKUP(Tabla411[[#This Row],[BTL CVE]],tblPDV[#All],13,0)</f>
        <v xml:space="preserve">AGUIRRE CAMACHO ATZIN SUSANA </v>
      </c>
      <c r="M272" s="26" t="s">
        <v>536</v>
      </c>
      <c r="N272" s="26" t="s">
        <v>54</v>
      </c>
      <c r="O272" s="26" t="s">
        <v>49</v>
      </c>
      <c r="P272" s="26" t="s">
        <v>49</v>
      </c>
      <c r="Q272" s="26" t="s">
        <v>50</v>
      </c>
      <c r="R272" s="38">
        <v>46113</v>
      </c>
      <c r="S272" s="38">
        <v>46142</v>
      </c>
      <c r="T272" s="19">
        <v>1</v>
      </c>
      <c r="U272" s="19">
        <v>1</v>
      </c>
      <c r="V272" s="19">
        <v>1</v>
      </c>
      <c r="W272" s="19">
        <v>1</v>
      </c>
      <c r="X272" s="22"/>
      <c r="Y272" s="19">
        <v>1</v>
      </c>
      <c r="Z272" s="19">
        <v>1</v>
      </c>
      <c r="AA272" s="19">
        <v>1</v>
      </c>
      <c r="AB272" s="19">
        <v>1</v>
      </c>
      <c r="AC272" s="19">
        <v>1</v>
      </c>
      <c r="AD272" s="19">
        <v>1</v>
      </c>
      <c r="AE272" s="22"/>
      <c r="AF272" s="19">
        <v>1</v>
      </c>
      <c r="AG272" s="19">
        <v>1</v>
      </c>
      <c r="AH272" s="19">
        <v>1</v>
      </c>
      <c r="AI272" s="19">
        <v>1</v>
      </c>
      <c r="AJ272" s="19">
        <v>1</v>
      </c>
      <c r="AK272" s="19">
        <v>1</v>
      </c>
      <c r="AL272" s="22"/>
      <c r="AM272" s="19">
        <v>1</v>
      </c>
      <c r="AN272" s="19">
        <v>1</v>
      </c>
      <c r="AO272" s="19">
        <v>1</v>
      </c>
      <c r="AP272" s="19">
        <v>1</v>
      </c>
      <c r="AQ272" s="19">
        <v>1</v>
      </c>
      <c r="AR272" s="19">
        <v>1</v>
      </c>
      <c r="AS272" s="22"/>
      <c r="AT272" s="19">
        <v>1</v>
      </c>
      <c r="AU272" s="19">
        <v>1</v>
      </c>
      <c r="AV272" s="19">
        <v>1</v>
      </c>
      <c r="AW272" s="19">
        <v>1</v>
      </c>
      <c r="AX272" s="19">
        <f>SUM(T272:AW272)</f>
        <v>26</v>
      </c>
      <c r="AY272" s="20"/>
      <c r="AZ272" s="19"/>
      <c r="BA272" s="20"/>
      <c r="BB272" s="49"/>
    </row>
    <row r="273" spans="1:54" ht="13.5" customHeight="1" x14ac:dyDescent="0.2">
      <c r="A273" s="122" t="s">
        <v>1418</v>
      </c>
      <c r="B273" s="115" t="s">
        <v>280</v>
      </c>
      <c r="C273" s="26">
        <v>32</v>
      </c>
      <c r="D273" s="66" t="s">
        <v>533</v>
      </c>
      <c r="E273" s="26">
        <v>243</v>
      </c>
      <c r="F273" s="26" t="s">
        <v>2230</v>
      </c>
      <c r="G273" s="35" t="s">
        <v>2056</v>
      </c>
      <c r="H273" s="37">
        <v>1</v>
      </c>
      <c r="I273" s="37" t="s">
        <v>47</v>
      </c>
      <c r="J273" s="37">
        <v>1</v>
      </c>
      <c r="K273" s="37" t="s">
        <v>47</v>
      </c>
      <c r="L273" s="35" t="str">
        <f>VLOOKUP(Tabla411[[#This Row],[BTL CVE]],tblPDV[#All],13,0)</f>
        <v xml:space="preserve">CHAVEZ RAMOS  JONATAN RAYMUNDO </v>
      </c>
      <c r="M273" s="26" t="s">
        <v>536</v>
      </c>
      <c r="N273" s="26" t="s">
        <v>54</v>
      </c>
      <c r="O273" s="26" t="s">
        <v>49</v>
      </c>
      <c r="P273" s="26" t="s">
        <v>49</v>
      </c>
      <c r="Q273" s="26" t="s">
        <v>50</v>
      </c>
      <c r="R273" s="38">
        <v>46113</v>
      </c>
      <c r="S273" s="38">
        <v>46142</v>
      </c>
      <c r="T273" s="19">
        <v>1</v>
      </c>
      <c r="U273" s="19">
        <v>1</v>
      </c>
      <c r="V273" s="19">
        <v>1</v>
      </c>
      <c r="W273" s="19">
        <v>1</v>
      </c>
      <c r="X273" s="22"/>
      <c r="Y273" s="19">
        <v>1</v>
      </c>
      <c r="Z273" s="19">
        <v>1</v>
      </c>
      <c r="AA273" s="19">
        <v>1</v>
      </c>
      <c r="AB273" s="19">
        <v>1</v>
      </c>
      <c r="AC273" s="19">
        <v>1</v>
      </c>
      <c r="AD273" s="19">
        <v>1</v>
      </c>
      <c r="AE273" s="22"/>
      <c r="AF273" s="19">
        <v>1</v>
      </c>
      <c r="AG273" s="19">
        <v>1</v>
      </c>
      <c r="AH273" s="19">
        <v>1</v>
      </c>
      <c r="AI273" s="19">
        <v>1</v>
      </c>
      <c r="AJ273" s="19">
        <v>1</v>
      </c>
      <c r="AK273" s="19">
        <v>1</v>
      </c>
      <c r="AL273" s="22"/>
      <c r="AM273" s="19">
        <v>1</v>
      </c>
      <c r="AN273" s="19">
        <v>1</v>
      </c>
      <c r="AO273" s="19">
        <v>1</v>
      </c>
      <c r="AP273" s="19">
        <v>1</v>
      </c>
      <c r="AQ273" s="19">
        <v>1</v>
      </c>
      <c r="AR273" s="19">
        <v>1</v>
      </c>
      <c r="AS273" s="22"/>
      <c r="AT273" s="19">
        <v>1</v>
      </c>
      <c r="AU273" s="19">
        <v>1</v>
      </c>
      <c r="AV273" s="19">
        <v>1</v>
      </c>
      <c r="AW273" s="19">
        <v>1</v>
      </c>
      <c r="AX273" s="19">
        <f>SUM(T273:AW273)</f>
        <v>26</v>
      </c>
      <c r="AY273" s="20"/>
      <c r="AZ273" s="19"/>
      <c r="BA273" s="20"/>
      <c r="BB273" s="49" t="s">
        <v>2358</v>
      </c>
    </row>
    <row r="274" spans="1:54" ht="13.5" customHeight="1" x14ac:dyDescent="0.2">
      <c r="A274" s="119" t="s">
        <v>743</v>
      </c>
      <c r="B274" s="113" t="s">
        <v>280</v>
      </c>
      <c r="C274" s="44">
        <v>99</v>
      </c>
      <c r="D274" s="35" t="s">
        <v>364</v>
      </c>
      <c r="E274" s="26">
        <v>98</v>
      </c>
      <c r="F274" s="26" t="s">
        <v>2168</v>
      </c>
      <c r="G274" s="35" t="s">
        <v>1504</v>
      </c>
      <c r="H274" s="37">
        <v>1</v>
      </c>
      <c r="I274" s="37" t="s">
        <v>47</v>
      </c>
      <c r="J274" s="37">
        <v>1</v>
      </c>
      <c r="K274" s="37" t="s">
        <v>47</v>
      </c>
      <c r="L274" s="35" t="str">
        <f>VLOOKUP(Tabla411[[#This Row],[BTL CVE]],tblPDV[#All],13,0)</f>
        <v xml:space="preserve">CHAVEZ RAMOS  JONATAN RAYMUNDO </v>
      </c>
      <c r="M274" s="26" t="s">
        <v>536</v>
      </c>
      <c r="N274" s="26" t="s">
        <v>54</v>
      </c>
      <c r="O274" s="26" t="s">
        <v>49</v>
      </c>
      <c r="P274" s="26" t="s">
        <v>49</v>
      </c>
      <c r="Q274" s="26" t="s">
        <v>50</v>
      </c>
      <c r="R274" s="38">
        <v>46113</v>
      </c>
      <c r="S274" s="38">
        <v>46142</v>
      </c>
      <c r="T274" s="19">
        <v>1</v>
      </c>
      <c r="U274" s="19">
        <v>1</v>
      </c>
      <c r="V274" s="19">
        <v>1</v>
      </c>
      <c r="W274" s="19">
        <v>1</v>
      </c>
      <c r="X274" s="22"/>
      <c r="Y274" s="19">
        <v>1</v>
      </c>
      <c r="Z274" s="19">
        <v>1</v>
      </c>
      <c r="AA274" s="19">
        <v>1</v>
      </c>
      <c r="AB274" s="19">
        <v>1</v>
      </c>
      <c r="AC274" s="19">
        <v>1</v>
      </c>
      <c r="AD274" s="19">
        <v>1</v>
      </c>
      <c r="AE274" s="22"/>
      <c r="AF274" s="19">
        <v>1</v>
      </c>
      <c r="AG274" s="19">
        <v>1</v>
      </c>
      <c r="AH274" s="19">
        <v>1</v>
      </c>
      <c r="AI274" s="19">
        <v>1</v>
      </c>
      <c r="AJ274" s="19">
        <v>1</v>
      </c>
      <c r="AK274" s="19">
        <v>1</v>
      </c>
      <c r="AL274" s="22"/>
      <c r="AM274" s="19">
        <v>1</v>
      </c>
      <c r="AN274" s="19">
        <v>1</v>
      </c>
      <c r="AO274" s="19">
        <v>1</v>
      </c>
      <c r="AP274" s="19">
        <v>1</v>
      </c>
      <c r="AQ274" s="19">
        <v>1</v>
      </c>
      <c r="AR274" s="19">
        <v>1</v>
      </c>
      <c r="AS274" s="22"/>
      <c r="AT274" s="19">
        <v>1</v>
      </c>
      <c r="AU274" s="19">
        <v>1</v>
      </c>
      <c r="AV274" s="19">
        <v>1</v>
      </c>
      <c r="AW274" s="19">
        <v>1</v>
      </c>
      <c r="AX274" s="19">
        <f>SUM(T274:AW274)</f>
        <v>26</v>
      </c>
      <c r="AY274" s="20"/>
      <c r="AZ274" s="19"/>
      <c r="BA274" s="20"/>
      <c r="BB274" s="49" t="s">
        <v>2103</v>
      </c>
    </row>
    <row r="275" spans="1:54" ht="13.5" customHeight="1" x14ac:dyDescent="0.2">
      <c r="A275" s="104" t="s">
        <v>686</v>
      </c>
      <c r="B275" s="86" t="s">
        <v>280</v>
      </c>
      <c r="C275" s="26">
        <v>27</v>
      </c>
      <c r="D275" s="35" t="s">
        <v>299</v>
      </c>
      <c r="E275" s="26">
        <v>414</v>
      </c>
      <c r="F275" s="26" t="s">
        <v>2278</v>
      </c>
      <c r="G275" s="35" t="s">
        <v>1493</v>
      </c>
      <c r="H275" s="37">
        <v>1</v>
      </c>
      <c r="I275" s="37" t="s">
        <v>47</v>
      </c>
      <c r="J275" s="37">
        <v>1</v>
      </c>
      <c r="K275" s="26" t="s">
        <v>47</v>
      </c>
      <c r="L275" s="35" t="str">
        <f>VLOOKUP(Tabla411[[#This Row],[BTL CVE]],tblPDV[#All],13,0)</f>
        <v xml:space="preserve">REYES AYBAR LILIANA </v>
      </c>
      <c r="M275" s="26" t="s">
        <v>536</v>
      </c>
      <c r="N275" s="26" t="s">
        <v>54</v>
      </c>
      <c r="O275" s="26" t="s">
        <v>49</v>
      </c>
      <c r="P275" s="26" t="s">
        <v>49</v>
      </c>
      <c r="Q275" s="26" t="s">
        <v>50</v>
      </c>
      <c r="R275" s="38">
        <v>46113</v>
      </c>
      <c r="S275" s="38">
        <v>46142</v>
      </c>
      <c r="T275" s="19">
        <v>1</v>
      </c>
      <c r="U275" s="19">
        <v>1</v>
      </c>
      <c r="V275" s="19">
        <v>1</v>
      </c>
      <c r="W275" s="19">
        <v>1</v>
      </c>
      <c r="X275" s="22"/>
      <c r="Y275" s="19">
        <v>1</v>
      </c>
      <c r="Z275" s="19">
        <v>1</v>
      </c>
      <c r="AA275" s="19">
        <v>1</v>
      </c>
      <c r="AB275" s="19">
        <v>1</v>
      </c>
      <c r="AC275" s="19">
        <v>1</v>
      </c>
      <c r="AD275" s="19">
        <v>1</v>
      </c>
      <c r="AE275" s="22"/>
      <c r="AF275" s="19">
        <v>1</v>
      </c>
      <c r="AG275" s="19">
        <v>1</v>
      </c>
      <c r="AH275" s="19">
        <v>1</v>
      </c>
      <c r="AI275" s="19">
        <v>1</v>
      </c>
      <c r="AJ275" s="19">
        <v>1</v>
      </c>
      <c r="AK275" s="19">
        <v>1</v>
      </c>
      <c r="AL275" s="22"/>
      <c r="AM275" s="19">
        <v>1</v>
      </c>
      <c r="AN275" s="19">
        <v>1</v>
      </c>
      <c r="AO275" s="19">
        <v>1</v>
      </c>
      <c r="AP275" s="19">
        <v>1</v>
      </c>
      <c r="AQ275" s="19">
        <v>1</v>
      </c>
      <c r="AR275" s="19">
        <v>1</v>
      </c>
      <c r="AS275" s="22"/>
      <c r="AT275" s="19">
        <v>1</v>
      </c>
      <c r="AU275" s="19">
        <v>1</v>
      </c>
      <c r="AV275" s="19">
        <v>1</v>
      </c>
      <c r="AW275" s="19">
        <v>1</v>
      </c>
      <c r="AX275" s="19">
        <f>SUM(T275:AW275)</f>
        <v>26</v>
      </c>
      <c r="AY275" s="20"/>
      <c r="AZ275" s="19"/>
      <c r="BA275" s="20"/>
      <c r="BB275" s="49"/>
    </row>
    <row r="276" spans="1:54" ht="13.5" customHeight="1" x14ac:dyDescent="0.2">
      <c r="A276" s="104" t="s">
        <v>815</v>
      </c>
      <c r="B276" s="86" t="s">
        <v>280</v>
      </c>
      <c r="C276" s="26">
        <v>127</v>
      </c>
      <c r="D276" s="35" t="s">
        <v>346</v>
      </c>
      <c r="E276" s="26"/>
      <c r="F276" s="26"/>
      <c r="G276" s="35" t="s">
        <v>2098</v>
      </c>
      <c r="H276" s="37">
        <v>1</v>
      </c>
      <c r="I276" s="37" t="s">
        <v>47</v>
      </c>
      <c r="J276" s="37">
        <v>0.5</v>
      </c>
      <c r="K276" s="37" t="s">
        <v>53</v>
      </c>
      <c r="L276" s="35" t="str">
        <f>VLOOKUP(Tabla411[[#This Row],[BTL CVE]],tblPDV[#All],13,0)</f>
        <v>FLORES SALDAÑA JAVIER</v>
      </c>
      <c r="M276" s="26" t="s">
        <v>506</v>
      </c>
      <c r="N276" s="26" t="s">
        <v>54</v>
      </c>
      <c r="O276" s="26" t="s">
        <v>49</v>
      </c>
      <c r="P276" s="26" t="s">
        <v>49</v>
      </c>
      <c r="Q276" s="26" t="s">
        <v>50</v>
      </c>
      <c r="R276" s="38">
        <v>46135</v>
      </c>
      <c r="S276" s="38">
        <v>46142</v>
      </c>
      <c r="T276" s="19"/>
      <c r="U276" s="19"/>
      <c r="V276" s="19"/>
      <c r="W276" s="19"/>
      <c r="X276" s="22"/>
      <c r="Y276" s="19"/>
      <c r="Z276" s="19"/>
      <c r="AA276" s="19"/>
      <c r="AB276" s="19"/>
      <c r="AC276" s="19"/>
      <c r="AD276" s="19"/>
      <c r="AE276" s="22"/>
      <c r="AF276" s="19"/>
      <c r="AG276" s="19"/>
      <c r="AH276" s="19"/>
      <c r="AI276" s="19"/>
      <c r="AJ276" s="19"/>
      <c r="AK276" s="19"/>
      <c r="AL276" s="22"/>
      <c r="AM276" s="19"/>
      <c r="AN276" s="19"/>
      <c r="AO276" s="19"/>
      <c r="AP276" s="19">
        <v>1</v>
      </c>
      <c r="AQ276" s="19">
        <v>1</v>
      </c>
      <c r="AR276" s="19">
        <v>1</v>
      </c>
      <c r="AS276" s="22"/>
      <c r="AT276" s="19">
        <v>1</v>
      </c>
      <c r="AU276" s="19">
        <v>1</v>
      </c>
      <c r="AV276" s="19">
        <v>1</v>
      </c>
      <c r="AW276" s="19">
        <v>1</v>
      </c>
      <c r="AX276" s="19">
        <f>SUM(T276:AW276)</f>
        <v>7</v>
      </c>
      <c r="AY276" s="20"/>
      <c r="AZ276" s="19"/>
      <c r="BA276" s="20"/>
      <c r="BB276" s="49"/>
    </row>
    <row r="277" spans="1:54" ht="13.5" customHeight="1" x14ac:dyDescent="0.2">
      <c r="A277" s="104" t="s">
        <v>746</v>
      </c>
      <c r="B277" s="86" t="s">
        <v>365</v>
      </c>
      <c r="C277" s="26">
        <v>1</v>
      </c>
      <c r="D277" s="35" t="s">
        <v>366</v>
      </c>
      <c r="E277" s="26">
        <v>182</v>
      </c>
      <c r="F277" s="26" t="s">
        <v>2206</v>
      </c>
      <c r="G277" s="35" t="s">
        <v>2057</v>
      </c>
      <c r="H277" s="37">
        <v>0.5</v>
      </c>
      <c r="I277" s="37" t="s">
        <v>53</v>
      </c>
      <c r="J277" s="37">
        <v>0.5</v>
      </c>
      <c r="K277" s="37" t="s">
        <v>53</v>
      </c>
      <c r="L277" s="35" t="str">
        <f>VLOOKUP(Tabla411[[#This Row],[BTL CVE]],tblPDV[#All],13,0)</f>
        <v xml:space="preserve">LOPEZ ESTRADA SILVIA BERENICE </v>
      </c>
      <c r="M277" s="26" t="s">
        <v>502</v>
      </c>
      <c r="N277" s="26" t="s">
        <v>54</v>
      </c>
      <c r="O277" s="26" t="s">
        <v>66</v>
      </c>
      <c r="P277" s="26" t="s">
        <v>66</v>
      </c>
      <c r="Q277" s="26" t="s">
        <v>50</v>
      </c>
      <c r="R277" s="38">
        <v>46113</v>
      </c>
      <c r="S277" s="38">
        <v>46142</v>
      </c>
      <c r="T277" s="19"/>
      <c r="U277" s="19">
        <v>1</v>
      </c>
      <c r="V277" s="19">
        <v>1</v>
      </c>
      <c r="W277" s="19">
        <v>1</v>
      </c>
      <c r="X277" s="22"/>
      <c r="Y277" s="19"/>
      <c r="Z277" s="19"/>
      <c r="AA277" s="19"/>
      <c r="AB277" s="19">
        <v>1</v>
      </c>
      <c r="AC277" s="19">
        <v>1</v>
      </c>
      <c r="AD277" s="19">
        <v>1</v>
      </c>
      <c r="AE277" s="22"/>
      <c r="AF277" s="19"/>
      <c r="AG277" s="19"/>
      <c r="AH277" s="19"/>
      <c r="AI277" s="19">
        <v>1</v>
      </c>
      <c r="AJ277" s="19">
        <v>1</v>
      </c>
      <c r="AK277" s="19">
        <v>1</v>
      </c>
      <c r="AL277" s="22"/>
      <c r="AM277" s="19"/>
      <c r="AN277" s="19"/>
      <c r="AO277" s="19"/>
      <c r="AP277" s="19">
        <v>1</v>
      </c>
      <c r="AQ277" s="19">
        <v>1</v>
      </c>
      <c r="AR277" s="19">
        <v>1</v>
      </c>
      <c r="AS277" s="22"/>
      <c r="AT277" s="19"/>
      <c r="AU277" s="19"/>
      <c r="AV277" s="19"/>
      <c r="AW277" s="19">
        <v>1</v>
      </c>
      <c r="AX277" s="19">
        <f>SUM(T277:AW277)</f>
        <v>13</v>
      </c>
      <c r="AY277" s="20"/>
      <c r="AZ277" s="19"/>
      <c r="BA277" s="20"/>
      <c r="BB277" s="49"/>
    </row>
    <row r="278" spans="1:54" ht="13.5" customHeight="1" x14ac:dyDescent="0.2">
      <c r="A278" s="104" t="s">
        <v>747</v>
      </c>
      <c r="B278" s="86" t="s">
        <v>365</v>
      </c>
      <c r="C278" s="26">
        <v>4</v>
      </c>
      <c r="D278" s="35" t="s">
        <v>367</v>
      </c>
      <c r="E278" s="26">
        <v>182</v>
      </c>
      <c r="F278" s="26" t="s">
        <v>2206</v>
      </c>
      <c r="G278" s="35" t="s">
        <v>2057</v>
      </c>
      <c r="H278" s="37">
        <v>0.5</v>
      </c>
      <c r="I278" s="37" t="s">
        <v>53</v>
      </c>
      <c r="J278" s="37">
        <v>0.5</v>
      </c>
      <c r="K278" s="37" t="s">
        <v>53</v>
      </c>
      <c r="L278" s="35" t="str">
        <f>VLOOKUP(Tabla411[[#This Row],[BTL CVE]],tblPDV[#All],13,0)</f>
        <v xml:space="preserve">LOPEZ ESTRADA SILVIA BERENICE </v>
      </c>
      <c r="M278" s="26" t="s">
        <v>502</v>
      </c>
      <c r="N278" s="26" t="s">
        <v>54</v>
      </c>
      <c r="O278" s="26" t="s">
        <v>55</v>
      </c>
      <c r="P278" s="26" t="s">
        <v>55</v>
      </c>
      <c r="Q278" s="26" t="s">
        <v>50</v>
      </c>
      <c r="R278" s="38">
        <v>46113</v>
      </c>
      <c r="S278" s="38">
        <v>46142</v>
      </c>
      <c r="T278" s="19">
        <v>1</v>
      </c>
      <c r="U278" s="19"/>
      <c r="V278" s="19"/>
      <c r="W278" s="19"/>
      <c r="X278" s="22"/>
      <c r="Y278" s="19">
        <v>1</v>
      </c>
      <c r="Z278" s="19">
        <v>1</v>
      </c>
      <c r="AA278" s="19">
        <v>1</v>
      </c>
      <c r="AB278" s="19"/>
      <c r="AC278" s="19"/>
      <c r="AD278" s="19"/>
      <c r="AE278" s="22"/>
      <c r="AF278" s="19">
        <v>1</v>
      </c>
      <c r="AG278" s="19">
        <v>1</v>
      </c>
      <c r="AH278" s="19">
        <v>1</v>
      </c>
      <c r="AI278" s="19"/>
      <c r="AJ278" s="19"/>
      <c r="AK278" s="19"/>
      <c r="AL278" s="22"/>
      <c r="AM278" s="19">
        <v>1</v>
      </c>
      <c r="AN278" s="19">
        <v>1</v>
      </c>
      <c r="AO278" s="19">
        <v>1</v>
      </c>
      <c r="AP278" s="19"/>
      <c r="AQ278" s="19"/>
      <c r="AR278" s="19"/>
      <c r="AS278" s="22"/>
      <c r="AT278" s="19">
        <v>1</v>
      </c>
      <c r="AU278" s="19">
        <v>1</v>
      </c>
      <c r="AV278" s="19">
        <v>1</v>
      </c>
      <c r="AW278" s="19"/>
      <c r="AX278" s="19">
        <f>SUM(T278:AW278)</f>
        <v>13</v>
      </c>
      <c r="AY278" s="20"/>
      <c r="AZ278" s="19"/>
      <c r="BA278" s="20"/>
      <c r="BB278" s="49"/>
    </row>
    <row r="279" spans="1:54" ht="13.5" customHeight="1" x14ac:dyDescent="0.2">
      <c r="A279" s="104" t="s">
        <v>752</v>
      </c>
      <c r="B279" s="86" t="s">
        <v>365</v>
      </c>
      <c r="C279" s="26">
        <v>6</v>
      </c>
      <c r="D279" s="35" t="s">
        <v>374</v>
      </c>
      <c r="E279" s="26">
        <v>503</v>
      </c>
      <c r="F279" s="26" t="s">
        <v>2317</v>
      </c>
      <c r="G279" s="35" t="s">
        <v>375</v>
      </c>
      <c r="H279" s="37">
        <v>0.5</v>
      </c>
      <c r="I279" s="37" t="s">
        <v>53</v>
      </c>
      <c r="J279" s="37">
        <v>0.5</v>
      </c>
      <c r="K279" s="37" t="s">
        <v>53</v>
      </c>
      <c r="L279" s="35" t="str">
        <f>VLOOKUP(Tabla411[[#This Row],[BTL CVE]],tblPDV[#All],13,0)</f>
        <v xml:space="preserve">GUTIERREZ ROMERO MARUJA BETTY </v>
      </c>
      <c r="M279" s="26" t="s">
        <v>502</v>
      </c>
      <c r="N279" s="26" t="s">
        <v>54</v>
      </c>
      <c r="O279" s="26" t="s">
        <v>66</v>
      </c>
      <c r="P279" s="26" t="s">
        <v>66</v>
      </c>
      <c r="Q279" s="26" t="s">
        <v>50</v>
      </c>
      <c r="R279" s="38">
        <v>46113</v>
      </c>
      <c r="S279" s="38">
        <v>46142</v>
      </c>
      <c r="T279" s="19"/>
      <c r="U279" s="19">
        <v>1</v>
      </c>
      <c r="V279" s="19">
        <v>1</v>
      </c>
      <c r="W279" s="19">
        <v>1</v>
      </c>
      <c r="X279" s="22"/>
      <c r="Y279" s="19"/>
      <c r="Z279" s="19"/>
      <c r="AA279" s="19"/>
      <c r="AB279" s="19">
        <v>1</v>
      </c>
      <c r="AC279" s="19">
        <v>1</v>
      </c>
      <c r="AD279" s="19">
        <v>1</v>
      </c>
      <c r="AE279" s="22"/>
      <c r="AF279" s="19"/>
      <c r="AG279" s="19"/>
      <c r="AH279" s="19"/>
      <c r="AI279" s="19">
        <v>1</v>
      </c>
      <c r="AJ279" s="19">
        <v>1</v>
      </c>
      <c r="AK279" s="19">
        <v>1</v>
      </c>
      <c r="AL279" s="22"/>
      <c r="AM279" s="19"/>
      <c r="AN279" s="19"/>
      <c r="AO279" s="19"/>
      <c r="AP279" s="19">
        <v>1</v>
      </c>
      <c r="AQ279" s="19">
        <v>1</v>
      </c>
      <c r="AR279" s="19">
        <v>1</v>
      </c>
      <c r="AS279" s="22"/>
      <c r="AT279" s="19"/>
      <c r="AU279" s="19"/>
      <c r="AV279" s="19"/>
      <c r="AW279" s="19">
        <v>1</v>
      </c>
      <c r="AX279" s="19">
        <f>SUM(T279:AW279)</f>
        <v>13</v>
      </c>
      <c r="AY279" s="20"/>
      <c r="AZ279" s="19"/>
      <c r="BA279" s="20"/>
      <c r="BB279" s="49"/>
    </row>
    <row r="280" spans="1:54" ht="13.5" customHeight="1" x14ac:dyDescent="0.2">
      <c r="A280" s="104" t="s">
        <v>753</v>
      </c>
      <c r="B280" s="86" t="s">
        <v>365</v>
      </c>
      <c r="C280" s="26"/>
      <c r="D280" s="35" t="s">
        <v>376</v>
      </c>
      <c r="E280" s="26">
        <v>503</v>
      </c>
      <c r="F280" s="26" t="s">
        <v>2317</v>
      </c>
      <c r="G280" s="35" t="s">
        <v>375</v>
      </c>
      <c r="H280" s="37">
        <v>0.5</v>
      </c>
      <c r="I280" s="37" t="s">
        <v>53</v>
      </c>
      <c r="J280" s="37">
        <v>0.5</v>
      </c>
      <c r="K280" s="37" t="s">
        <v>53</v>
      </c>
      <c r="L280" s="35" t="str">
        <f>VLOOKUP(Tabla411[[#This Row],[BTL CVE]],tblPDV[#All],13,0)</f>
        <v xml:space="preserve">GUTIERREZ ROMERO MARUJA BETTY </v>
      </c>
      <c r="M280" s="26" t="s">
        <v>502</v>
      </c>
      <c r="N280" s="26" t="s">
        <v>54</v>
      </c>
      <c r="O280" s="26" t="s">
        <v>55</v>
      </c>
      <c r="P280" s="26" t="s">
        <v>55</v>
      </c>
      <c r="Q280" s="26" t="s">
        <v>50</v>
      </c>
      <c r="R280" s="38">
        <v>46113</v>
      </c>
      <c r="S280" s="38">
        <v>46142</v>
      </c>
      <c r="T280" s="19">
        <v>1</v>
      </c>
      <c r="U280" s="19"/>
      <c r="V280" s="19"/>
      <c r="W280" s="19"/>
      <c r="X280" s="22"/>
      <c r="Y280" s="19">
        <v>1</v>
      </c>
      <c r="Z280" s="19">
        <v>1</v>
      </c>
      <c r="AA280" s="19">
        <v>1</v>
      </c>
      <c r="AB280" s="19"/>
      <c r="AC280" s="19"/>
      <c r="AD280" s="19"/>
      <c r="AE280" s="22"/>
      <c r="AF280" s="19">
        <v>1</v>
      </c>
      <c r="AG280" s="19">
        <v>1</v>
      </c>
      <c r="AH280" s="19">
        <v>1</v>
      </c>
      <c r="AI280" s="19"/>
      <c r="AJ280" s="19"/>
      <c r="AK280" s="19"/>
      <c r="AL280" s="22"/>
      <c r="AM280" s="19">
        <v>1</v>
      </c>
      <c r="AN280" s="19">
        <v>1</v>
      </c>
      <c r="AO280" s="19">
        <v>1</v>
      </c>
      <c r="AP280" s="19"/>
      <c r="AQ280" s="19"/>
      <c r="AR280" s="19"/>
      <c r="AS280" s="22"/>
      <c r="AT280" s="19">
        <v>1</v>
      </c>
      <c r="AU280" s="19">
        <v>1</v>
      </c>
      <c r="AV280" s="19">
        <v>1</v>
      </c>
      <c r="AW280" s="19"/>
      <c r="AX280" s="19">
        <f>SUM(T280:AW280)</f>
        <v>13</v>
      </c>
      <c r="AY280" s="20"/>
      <c r="AZ280" s="19"/>
      <c r="BA280" s="20"/>
      <c r="BB280" s="49"/>
    </row>
    <row r="281" spans="1:54" ht="13.5" customHeight="1" x14ac:dyDescent="0.2">
      <c r="A281" s="104" t="s">
        <v>755</v>
      </c>
      <c r="B281" s="86" t="s">
        <v>365</v>
      </c>
      <c r="C281" s="26">
        <v>3</v>
      </c>
      <c r="D281" s="35" t="s">
        <v>379</v>
      </c>
      <c r="E281" s="26">
        <v>396</v>
      </c>
      <c r="F281" s="26" t="s">
        <v>2273</v>
      </c>
      <c r="G281" s="35" t="s">
        <v>378</v>
      </c>
      <c r="H281" s="37">
        <v>0.5</v>
      </c>
      <c r="I281" s="37" t="s">
        <v>53</v>
      </c>
      <c r="J281" s="37">
        <v>0.5</v>
      </c>
      <c r="K281" s="37" t="s">
        <v>53</v>
      </c>
      <c r="L281" s="35" t="str">
        <f>VLOOKUP(Tabla411[[#This Row],[BTL CVE]],tblPDV[#All],13,0)</f>
        <v xml:space="preserve">GUTIERREZ ROMERO MARUJA BETTY </v>
      </c>
      <c r="M281" s="26" t="s">
        <v>502</v>
      </c>
      <c r="N281" s="26" t="s">
        <v>54</v>
      </c>
      <c r="O281" s="26" t="s">
        <v>55</v>
      </c>
      <c r="P281" s="26" t="s">
        <v>55</v>
      </c>
      <c r="Q281" s="26" t="s">
        <v>50</v>
      </c>
      <c r="R281" s="38">
        <v>46113</v>
      </c>
      <c r="S281" s="38">
        <v>46142</v>
      </c>
      <c r="T281" s="19">
        <v>1</v>
      </c>
      <c r="U281" s="19"/>
      <c r="V281" s="19"/>
      <c r="W281" s="19"/>
      <c r="X281" s="22"/>
      <c r="Y281" s="19">
        <v>1</v>
      </c>
      <c r="Z281" s="19">
        <v>1</v>
      </c>
      <c r="AA281" s="19">
        <v>1</v>
      </c>
      <c r="AB281" s="19"/>
      <c r="AC281" s="19"/>
      <c r="AD281" s="19"/>
      <c r="AE281" s="22"/>
      <c r="AF281" s="19">
        <v>1</v>
      </c>
      <c r="AG281" s="19">
        <v>1</v>
      </c>
      <c r="AH281" s="19">
        <v>1</v>
      </c>
      <c r="AI281" s="19"/>
      <c r="AJ281" s="19"/>
      <c r="AK281" s="19"/>
      <c r="AL281" s="22"/>
      <c r="AM281" s="19">
        <v>1</v>
      </c>
      <c r="AN281" s="19">
        <v>1</v>
      </c>
      <c r="AO281" s="19">
        <v>1</v>
      </c>
      <c r="AP281" s="19"/>
      <c r="AQ281" s="19"/>
      <c r="AR281" s="19"/>
      <c r="AS281" s="22"/>
      <c r="AT281" s="19">
        <v>1</v>
      </c>
      <c r="AU281" s="19">
        <v>1</v>
      </c>
      <c r="AV281" s="19">
        <v>1</v>
      </c>
      <c r="AW281" s="19"/>
      <c r="AX281" s="19">
        <f>SUM(T281:AW281)</f>
        <v>13</v>
      </c>
      <c r="AY281" s="20"/>
      <c r="AZ281" s="19"/>
      <c r="BA281" s="20"/>
      <c r="BB281" s="49"/>
    </row>
    <row r="282" spans="1:54" ht="13.5" customHeight="1" x14ac:dyDescent="0.2">
      <c r="A282" s="104" t="s">
        <v>754</v>
      </c>
      <c r="B282" s="86" t="s">
        <v>365</v>
      </c>
      <c r="C282" s="26">
        <v>2</v>
      </c>
      <c r="D282" s="35" t="s">
        <v>377</v>
      </c>
      <c r="E282" s="26">
        <v>396</v>
      </c>
      <c r="F282" s="26" t="s">
        <v>2273</v>
      </c>
      <c r="G282" s="35" t="s">
        <v>378</v>
      </c>
      <c r="H282" s="37">
        <v>0.5</v>
      </c>
      <c r="I282" s="37" t="s">
        <v>53</v>
      </c>
      <c r="J282" s="37">
        <v>0.5</v>
      </c>
      <c r="K282" s="37" t="s">
        <v>53</v>
      </c>
      <c r="L282" s="35" t="str">
        <f>VLOOKUP(Tabla411[[#This Row],[BTL CVE]],tblPDV[#All],13,0)</f>
        <v xml:space="preserve">GUTIERREZ ROMERO MARUJA BETTY </v>
      </c>
      <c r="M282" s="26" t="s">
        <v>502</v>
      </c>
      <c r="N282" s="26" t="s">
        <v>54</v>
      </c>
      <c r="O282" s="26" t="s">
        <v>66</v>
      </c>
      <c r="P282" s="26" t="s">
        <v>66</v>
      </c>
      <c r="Q282" s="26" t="s">
        <v>50</v>
      </c>
      <c r="R282" s="38">
        <v>46113</v>
      </c>
      <c r="S282" s="38">
        <v>46142</v>
      </c>
      <c r="T282" s="19"/>
      <c r="U282" s="19">
        <v>1</v>
      </c>
      <c r="V282" s="19">
        <v>1</v>
      </c>
      <c r="W282" s="19">
        <v>1</v>
      </c>
      <c r="X282" s="22"/>
      <c r="Y282" s="19"/>
      <c r="Z282" s="19"/>
      <c r="AA282" s="19"/>
      <c r="AB282" s="19">
        <v>1</v>
      </c>
      <c r="AC282" s="19">
        <v>1</v>
      </c>
      <c r="AD282" s="19">
        <v>1</v>
      </c>
      <c r="AE282" s="22"/>
      <c r="AF282" s="19"/>
      <c r="AG282" s="19"/>
      <c r="AH282" s="19"/>
      <c r="AI282" s="19">
        <v>1</v>
      </c>
      <c r="AJ282" s="19">
        <v>1</v>
      </c>
      <c r="AK282" s="19">
        <v>1</v>
      </c>
      <c r="AL282" s="22"/>
      <c r="AM282" s="19"/>
      <c r="AN282" s="19"/>
      <c r="AO282" s="19"/>
      <c r="AP282" s="19">
        <v>1</v>
      </c>
      <c r="AQ282" s="19">
        <v>1</v>
      </c>
      <c r="AR282" s="19">
        <v>1</v>
      </c>
      <c r="AS282" s="22"/>
      <c r="AT282" s="19"/>
      <c r="AU282" s="19"/>
      <c r="AV282" s="19"/>
      <c r="AW282" s="19">
        <v>1</v>
      </c>
      <c r="AX282" s="19">
        <f>SUM(T282:AW282)</f>
        <v>13</v>
      </c>
      <c r="AY282" s="20"/>
      <c r="AZ282" s="19"/>
      <c r="BA282" s="20"/>
      <c r="BB282" s="49"/>
    </row>
    <row r="283" spans="1:54" ht="13.5" customHeight="1" x14ac:dyDescent="0.2">
      <c r="A283" s="104" t="s">
        <v>748</v>
      </c>
      <c r="B283" s="86" t="s">
        <v>365</v>
      </c>
      <c r="C283" s="26">
        <v>8</v>
      </c>
      <c r="D283" s="35" t="s">
        <v>368</v>
      </c>
      <c r="E283" s="26">
        <v>434</v>
      </c>
      <c r="F283" s="26" t="s">
        <v>2285</v>
      </c>
      <c r="G283" s="35" t="s">
        <v>369</v>
      </c>
      <c r="H283" s="37">
        <v>1</v>
      </c>
      <c r="I283" s="37" t="s">
        <v>47</v>
      </c>
      <c r="J283" s="37">
        <v>1</v>
      </c>
      <c r="K283" s="37" t="s">
        <v>47</v>
      </c>
      <c r="L283" s="35" t="str">
        <f>VLOOKUP(Tabla411[[#This Row],[BTL CVE]],tblPDV[#All],13,0)</f>
        <v xml:space="preserve">LOPEZ ESTRADA SILVIA BERENICE </v>
      </c>
      <c r="M283" s="26" t="s">
        <v>502</v>
      </c>
      <c r="N283" s="26" t="s">
        <v>54</v>
      </c>
      <c r="O283" s="26" t="s">
        <v>49</v>
      </c>
      <c r="P283" s="26" t="s">
        <v>49</v>
      </c>
      <c r="Q283" s="26" t="s">
        <v>50</v>
      </c>
      <c r="R283" s="38">
        <v>46113</v>
      </c>
      <c r="S283" s="38">
        <v>46142</v>
      </c>
      <c r="T283" s="19">
        <v>1</v>
      </c>
      <c r="U283" s="19">
        <v>1</v>
      </c>
      <c r="V283" s="19">
        <v>1</v>
      </c>
      <c r="W283" s="19">
        <v>1</v>
      </c>
      <c r="X283" s="22"/>
      <c r="Y283" s="19">
        <v>1</v>
      </c>
      <c r="Z283" s="19">
        <v>1</v>
      </c>
      <c r="AA283" s="19">
        <v>1</v>
      </c>
      <c r="AB283" s="19">
        <v>1</v>
      </c>
      <c r="AC283" s="19">
        <v>1</v>
      </c>
      <c r="AD283" s="19">
        <v>1</v>
      </c>
      <c r="AE283" s="22"/>
      <c r="AF283" s="19">
        <v>1</v>
      </c>
      <c r="AG283" s="19">
        <v>1</v>
      </c>
      <c r="AH283" s="19">
        <v>1</v>
      </c>
      <c r="AI283" s="19">
        <v>1</v>
      </c>
      <c r="AJ283" s="19">
        <v>1</v>
      </c>
      <c r="AK283" s="19">
        <v>1</v>
      </c>
      <c r="AL283" s="22"/>
      <c r="AM283" s="19">
        <v>1</v>
      </c>
      <c r="AN283" s="19">
        <v>1</v>
      </c>
      <c r="AO283" s="19">
        <v>1</v>
      </c>
      <c r="AP283" s="19">
        <v>1</v>
      </c>
      <c r="AQ283" s="19">
        <v>1</v>
      </c>
      <c r="AR283" s="19">
        <v>1</v>
      </c>
      <c r="AS283" s="22"/>
      <c r="AT283" s="19">
        <v>1</v>
      </c>
      <c r="AU283" s="19">
        <v>1</v>
      </c>
      <c r="AV283" s="19">
        <v>1</v>
      </c>
      <c r="AW283" s="19">
        <v>1</v>
      </c>
      <c r="AX283" s="19">
        <f>SUM(T283:AW283)</f>
        <v>26</v>
      </c>
      <c r="AY283" s="20"/>
      <c r="AZ283" s="19"/>
      <c r="BA283" s="20"/>
      <c r="BB283" s="49"/>
    </row>
    <row r="284" spans="1:54" ht="13.5" customHeight="1" x14ac:dyDescent="0.2">
      <c r="A284" s="104" t="s">
        <v>750</v>
      </c>
      <c r="B284" s="86" t="s">
        <v>365</v>
      </c>
      <c r="C284" s="26">
        <v>5</v>
      </c>
      <c r="D284" s="35" t="s">
        <v>371</v>
      </c>
      <c r="E284" s="26">
        <v>69</v>
      </c>
      <c r="F284" s="26" t="s">
        <v>2153</v>
      </c>
      <c r="G284" s="35" t="s">
        <v>2058</v>
      </c>
      <c r="H284" s="37">
        <v>1</v>
      </c>
      <c r="I284" s="37" t="s">
        <v>47</v>
      </c>
      <c r="J284" s="37">
        <v>1</v>
      </c>
      <c r="K284" s="37" t="s">
        <v>47</v>
      </c>
      <c r="L284" s="35" t="str">
        <f>VLOOKUP(Tabla411[[#This Row],[BTL CVE]],tblPDV[#All],13,0)</f>
        <v xml:space="preserve">LOPEZ ESTRADA SILVIA BERENICE </v>
      </c>
      <c r="M284" s="26" t="s">
        <v>502</v>
      </c>
      <c r="N284" s="26" t="s">
        <v>54</v>
      </c>
      <c r="O284" s="26" t="s">
        <v>49</v>
      </c>
      <c r="P284" s="26" t="s">
        <v>49</v>
      </c>
      <c r="Q284" s="26" t="s">
        <v>50</v>
      </c>
      <c r="R284" s="38">
        <v>46113</v>
      </c>
      <c r="S284" s="38">
        <v>46142</v>
      </c>
      <c r="T284" s="19">
        <v>1</v>
      </c>
      <c r="U284" s="19">
        <v>1</v>
      </c>
      <c r="V284" s="19">
        <v>1</v>
      </c>
      <c r="W284" s="19">
        <v>1</v>
      </c>
      <c r="X284" s="22"/>
      <c r="Y284" s="19">
        <v>1</v>
      </c>
      <c r="Z284" s="19">
        <v>1</v>
      </c>
      <c r="AA284" s="19">
        <v>1</v>
      </c>
      <c r="AB284" s="19">
        <v>1</v>
      </c>
      <c r="AC284" s="19">
        <v>1</v>
      </c>
      <c r="AD284" s="19">
        <v>1</v>
      </c>
      <c r="AE284" s="22"/>
      <c r="AF284" s="19">
        <v>1</v>
      </c>
      <c r="AG284" s="19">
        <v>1</v>
      </c>
      <c r="AH284" s="19">
        <v>1</v>
      </c>
      <c r="AI284" s="19">
        <v>1</v>
      </c>
      <c r="AJ284" s="19">
        <v>1</v>
      </c>
      <c r="AK284" s="19">
        <v>1</v>
      </c>
      <c r="AL284" s="22"/>
      <c r="AM284" s="19">
        <v>1</v>
      </c>
      <c r="AN284" s="19">
        <v>1</v>
      </c>
      <c r="AO284" s="19">
        <v>1</v>
      </c>
      <c r="AP284" s="19">
        <v>1</v>
      </c>
      <c r="AQ284" s="19">
        <v>1</v>
      </c>
      <c r="AR284" s="19">
        <v>1</v>
      </c>
      <c r="AS284" s="22"/>
      <c r="AT284" s="19">
        <v>1</v>
      </c>
      <c r="AU284" s="19">
        <v>1</v>
      </c>
      <c r="AV284" s="19">
        <v>1</v>
      </c>
      <c r="AW284" s="19">
        <v>1</v>
      </c>
      <c r="AX284" s="19">
        <f>SUM(T284:AW284)</f>
        <v>26</v>
      </c>
      <c r="AY284" s="20"/>
      <c r="AZ284" s="19"/>
      <c r="BA284" s="20"/>
      <c r="BB284" s="49"/>
    </row>
    <row r="285" spans="1:54" ht="13.5" customHeight="1" x14ac:dyDescent="0.2">
      <c r="A285" s="104" t="s">
        <v>745</v>
      </c>
      <c r="B285" s="86" t="s">
        <v>365</v>
      </c>
      <c r="C285" s="26">
        <v>7</v>
      </c>
      <c r="D285" s="35" t="s">
        <v>448</v>
      </c>
      <c r="E285" s="26">
        <v>581</v>
      </c>
      <c r="F285" s="26" t="s">
        <v>2352</v>
      </c>
      <c r="G285" s="35" t="s">
        <v>2097</v>
      </c>
      <c r="H285" s="37">
        <v>1</v>
      </c>
      <c r="I285" s="37" t="s">
        <v>47</v>
      </c>
      <c r="J285" s="37">
        <v>1</v>
      </c>
      <c r="K285" s="37" t="s">
        <v>47</v>
      </c>
      <c r="L285" s="35" t="str">
        <f>VLOOKUP(Tabla411[[#This Row],[BTL CVE]],tblPDV[#All],13,0)</f>
        <v xml:space="preserve">GUTIERREZ ROMERO MARUJA BETTY </v>
      </c>
      <c r="M285" s="26" t="s">
        <v>502</v>
      </c>
      <c r="N285" s="26" t="s">
        <v>54</v>
      </c>
      <c r="O285" s="26" t="s">
        <v>49</v>
      </c>
      <c r="P285" s="26" t="s">
        <v>49</v>
      </c>
      <c r="Q285" s="26" t="s">
        <v>50</v>
      </c>
      <c r="R285" s="38">
        <v>46113</v>
      </c>
      <c r="S285" s="38">
        <v>46142</v>
      </c>
      <c r="T285" s="19">
        <v>1</v>
      </c>
      <c r="U285" s="19">
        <v>1</v>
      </c>
      <c r="V285" s="19">
        <v>1</v>
      </c>
      <c r="W285" s="19">
        <v>1</v>
      </c>
      <c r="X285" s="22"/>
      <c r="Y285" s="19">
        <v>1</v>
      </c>
      <c r="Z285" s="19">
        <v>1</v>
      </c>
      <c r="AA285" s="19">
        <v>1</v>
      </c>
      <c r="AB285" s="19">
        <v>1</v>
      </c>
      <c r="AC285" s="19">
        <v>1</v>
      </c>
      <c r="AD285" s="19">
        <v>1</v>
      </c>
      <c r="AE285" s="22"/>
      <c r="AF285" s="19">
        <v>1</v>
      </c>
      <c r="AG285" s="19">
        <v>1</v>
      </c>
      <c r="AH285" s="19">
        <v>1</v>
      </c>
      <c r="AI285" s="19">
        <v>1</v>
      </c>
      <c r="AJ285" s="19">
        <v>1</v>
      </c>
      <c r="AK285" s="19">
        <v>1</v>
      </c>
      <c r="AL285" s="22"/>
      <c r="AM285" s="19">
        <v>1</v>
      </c>
      <c r="AN285" s="19">
        <v>1</v>
      </c>
      <c r="AO285" s="19">
        <v>1</v>
      </c>
      <c r="AP285" s="19">
        <v>1</v>
      </c>
      <c r="AQ285" s="19">
        <v>1</v>
      </c>
      <c r="AR285" s="19">
        <v>1</v>
      </c>
      <c r="AS285" s="22"/>
      <c r="AT285" s="19">
        <v>1</v>
      </c>
      <c r="AU285" s="19">
        <v>1</v>
      </c>
      <c r="AV285" s="19">
        <v>1</v>
      </c>
      <c r="AW285" s="19">
        <v>1</v>
      </c>
      <c r="AX285" s="19">
        <f>SUM(T285:AW285)</f>
        <v>26</v>
      </c>
      <c r="AY285" s="20"/>
      <c r="AZ285" s="19"/>
      <c r="BA285" s="20"/>
      <c r="BB285" s="49"/>
    </row>
    <row r="286" spans="1:54" ht="13.5" customHeight="1" x14ac:dyDescent="0.2">
      <c r="A286" s="104" t="s">
        <v>751</v>
      </c>
      <c r="B286" s="86" t="s">
        <v>365</v>
      </c>
      <c r="C286" s="26">
        <v>9</v>
      </c>
      <c r="D286" s="35" t="s">
        <v>372</v>
      </c>
      <c r="E286" s="26">
        <v>233</v>
      </c>
      <c r="F286" s="26" t="s">
        <v>2224</v>
      </c>
      <c r="G286" s="35" t="s">
        <v>373</v>
      </c>
      <c r="H286" s="37">
        <v>1</v>
      </c>
      <c r="I286" s="37" t="s">
        <v>47</v>
      </c>
      <c r="J286" s="37">
        <v>1</v>
      </c>
      <c r="K286" s="37" t="s">
        <v>47</v>
      </c>
      <c r="L286" s="35" t="str">
        <f>VLOOKUP(Tabla411[[#This Row],[BTL CVE]],tblPDV[#All],13,0)</f>
        <v xml:space="preserve">LOPEZ ESTRADA SILVIA BERENICE </v>
      </c>
      <c r="M286" s="26" t="s">
        <v>502</v>
      </c>
      <c r="N286" s="26" t="s">
        <v>54</v>
      </c>
      <c r="O286" s="26" t="s">
        <v>49</v>
      </c>
      <c r="P286" s="26" t="s">
        <v>49</v>
      </c>
      <c r="Q286" s="26" t="s">
        <v>50</v>
      </c>
      <c r="R286" s="38">
        <v>46113</v>
      </c>
      <c r="S286" s="38">
        <v>46142</v>
      </c>
      <c r="T286" s="19">
        <v>1</v>
      </c>
      <c r="U286" s="19">
        <v>1</v>
      </c>
      <c r="V286" s="19">
        <v>1</v>
      </c>
      <c r="W286" s="19">
        <v>1</v>
      </c>
      <c r="X286" s="22"/>
      <c r="Y286" s="19">
        <v>1</v>
      </c>
      <c r="Z286" s="19">
        <v>1</v>
      </c>
      <c r="AA286" s="19">
        <v>1</v>
      </c>
      <c r="AB286" s="19">
        <v>1</v>
      </c>
      <c r="AC286" s="19">
        <v>1</v>
      </c>
      <c r="AD286" s="19">
        <v>1</v>
      </c>
      <c r="AE286" s="22"/>
      <c r="AF286" s="19">
        <v>1</v>
      </c>
      <c r="AG286" s="19">
        <v>1</v>
      </c>
      <c r="AH286" s="19">
        <v>1</v>
      </c>
      <c r="AI286" s="19">
        <v>1</v>
      </c>
      <c r="AJ286" s="19">
        <v>1</v>
      </c>
      <c r="AK286" s="19">
        <v>1</v>
      </c>
      <c r="AL286" s="22"/>
      <c r="AM286" s="19">
        <v>1</v>
      </c>
      <c r="AN286" s="19">
        <v>1</v>
      </c>
      <c r="AO286" s="19">
        <v>1</v>
      </c>
      <c r="AP286" s="19">
        <v>1</v>
      </c>
      <c r="AQ286" s="19">
        <v>1</v>
      </c>
      <c r="AR286" s="19">
        <v>1</v>
      </c>
      <c r="AS286" s="22"/>
      <c r="AT286" s="19">
        <v>1</v>
      </c>
      <c r="AU286" s="19">
        <v>1</v>
      </c>
      <c r="AV286" s="19">
        <v>1</v>
      </c>
      <c r="AW286" s="19">
        <v>1</v>
      </c>
      <c r="AX286" s="19">
        <f>SUM(T286:AW286)</f>
        <v>26</v>
      </c>
      <c r="AY286" s="20"/>
      <c r="AZ286" s="19"/>
      <c r="BA286" s="20"/>
      <c r="BB286" s="49"/>
    </row>
    <row r="287" spans="1:54" ht="13.5" customHeight="1" x14ac:dyDescent="0.2">
      <c r="A287" s="104" t="s">
        <v>756</v>
      </c>
      <c r="B287" s="86" t="s">
        <v>365</v>
      </c>
      <c r="C287" s="26">
        <v>11</v>
      </c>
      <c r="D287" s="35" t="s">
        <v>449</v>
      </c>
      <c r="E287" s="26">
        <v>590</v>
      </c>
      <c r="F287" s="26" t="s">
        <v>2395</v>
      </c>
      <c r="G287" s="35" t="s">
        <v>2362</v>
      </c>
      <c r="H287" s="37">
        <v>1</v>
      </c>
      <c r="I287" s="37" t="s">
        <v>47</v>
      </c>
      <c r="J287" s="37">
        <v>1</v>
      </c>
      <c r="K287" s="37" t="s">
        <v>47</v>
      </c>
      <c r="L287" s="35" t="str">
        <f>VLOOKUP(Tabla411[[#This Row],[BTL CVE]],tblPDV[#All],13,0)</f>
        <v xml:space="preserve">LOPEZ ESTRADA SILVIA BERENICE </v>
      </c>
      <c r="M287" s="26" t="s">
        <v>502</v>
      </c>
      <c r="N287" s="26" t="s">
        <v>54</v>
      </c>
      <c r="O287" s="26" t="s">
        <v>49</v>
      </c>
      <c r="P287" s="26" t="s">
        <v>49</v>
      </c>
      <c r="Q287" s="26" t="s">
        <v>50</v>
      </c>
      <c r="R287" s="38">
        <v>46113</v>
      </c>
      <c r="S287" s="38">
        <v>46142</v>
      </c>
      <c r="T287" s="19">
        <v>1</v>
      </c>
      <c r="U287" s="19">
        <v>1</v>
      </c>
      <c r="V287" s="19">
        <v>1</v>
      </c>
      <c r="W287" s="19">
        <v>1</v>
      </c>
      <c r="X287" s="22"/>
      <c r="Y287" s="19">
        <v>1</v>
      </c>
      <c r="Z287" s="19">
        <v>1</v>
      </c>
      <c r="AA287" s="19">
        <v>1</v>
      </c>
      <c r="AB287" s="19">
        <v>1</v>
      </c>
      <c r="AC287" s="19">
        <v>1</v>
      </c>
      <c r="AD287" s="19">
        <v>1</v>
      </c>
      <c r="AE287" s="22"/>
      <c r="AF287" s="19">
        <v>1</v>
      </c>
      <c r="AG287" s="19">
        <v>1</v>
      </c>
      <c r="AH287" s="19">
        <v>1</v>
      </c>
      <c r="AI287" s="19">
        <v>1</v>
      </c>
      <c r="AJ287" s="19">
        <v>1</v>
      </c>
      <c r="AK287" s="19">
        <v>1</v>
      </c>
      <c r="AL287" s="22"/>
      <c r="AM287" s="19">
        <v>1</v>
      </c>
      <c r="AN287" s="19">
        <v>1</v>
      </c>
      <c r="AO287" s="19">
        <v>1</v>
      </c>
      <c r="AP287" s="19">
        <v>1</v>
      </c>
      <c r="AQ287" s="19">
        <v>1</v>
      </c>
      <c r="AR287" s="19">
        <v>1</v>
      </c>
      <c r="AS287" s="22"/>
      <c r="AT287" s="19">
        <v>1</v>
      </c>
      <c r="AU287" s="19">
        <v>1</v>
      </c>
      <c r="AV287" s="19">
        <v>1</v>
      </c>
      <c r="AW287" s="19">
        <v>1</v>
      </c>
      <c r="AX287" s="19">
        <f>SUM(T287:AW287)</f>
        <v>26</v>
      </c>
      <c r="AY287" s="20"/>
      <c r="AZ287" s="19"/>
      <c r="BA287" s="20"/>
      <c r="BB287" s="49"/>
    </row>
    <row r="288" spans="1:54" ht="13.5" customHeight="1" x14ac:dyDescent="0.2">
      <c r="A288" s="104" t="s">
        <v>749</v>
      </c>
      <c r="B288" s="86" t="s">
        <v>365</v>
      </c>
      <c r="C288" s="26">
        <v>10</v>
      </c>
      <c r="D288" s="35" t="s">
        <v>370</v>
      </c>
      <c r="E288" s="26">
        <v>470</v>
      </c>
      <c r="F288" s="26" t="s">
        <v>2300</v>
      </c>
      <c r="G288" s="35" t="s">
        <v>2059</v>
      </c>
      <c r="H288" s="37">
        <v>1</v>
      </c>
      <c r="I288" s="37" t="s">
        <v>47</v>
      </c>
      <c r="J288" s="37">
        <v>1</v>
      </c>
      <c r="K288" s="37" t="s">
        <v>47</v>
      </c>
      <c r="L288" s="35" t="str">
        <f>VLOOKUP(Tabla411[[#This Row],[BTL CVE]],tblPDV[#All],13,0)</f>
        <v xml:space="preserve">LOPEZ ESTRADA SILVIA BERENICE </v>
      </c>
      <c r="M288" s="26" t="s">
        <v>502</v>
      </c>
      <c r="N288" s="26" t="s">
        <v>54</v>
      </c>
      <c r="O288" s="26" t="s">
        <v>49</v>
      </c>
      <c r="P288" s="26" t="s">
        <v>49</v>
      </c>
      <c r="Q288" s="26" t="s">
        <v>50</v>
      </c>
      <c r="R288" s="38">
        <v>46113</v>
      </c>
      <c r="S288" s="38">
        <v>46142</v>
      </c>
      <c r="T288" s="19">
        <v>1</v>
      </c>
      <c r="U288" s="19">
        <v>1</v>
      </c>
      <c r="V288" s="19">
        <v>1</v>
      </c>
      <c r="W288" s="19">
        <v>1</v>
      </c>
      <c r="X288" s="22"/>
      <c r="Y288" s="19">
        <v>1</v>
      </c>
      <c r="Z288" s="19">
        <v>1</v>
      </c>
      <c r="AA288" s="19">
        <v>1</v>
      </c>
      <c r="AB288" s="19">
        <v>1</v>
      </c>
      <c r="AC288" s="19">
        <v>1</v>
      </c>
      <c r="AD288" s="19">
        <v>1</v>
      </c>
      <c r="AE288" s="22"/>
      <c r="AF288" s="19">
        <v>1</v>
      </c>
      <c r="AG288" s="19">
        <v>1</v>
      </c>
      <c r="AH288" s="19">
        <v>1</v>
      </c>
      <c r="AI288" s="19">
        <v>1</v>
      </c>
      <c r="AJ288" s="19">
        <v>1</v>
      </c>
      <c r="AK288" s="19">
        <v>1</v>
      </c>
      <c r="AL288" s="22"/>
      <c r="AM288" s="19">
        <v>1</v>
      </c>
      <c r="AN288" s="19">
        <v>1</v>
      </c>
      <c r="AO288" s="19">
        <v>1</v>
      </c>
      <c r="AP288" s="19">
        <v>1</v>
      </c>
      <c r="AQ288" s="19">
        <v>1</v>
      </c>
      <c r="AR288" s="19">
        <v>1</v>
      </c>
      <c r="AS288" s="22"/>
      <c r="AT288" s="19">
        <v>1</v>
      </c>
      <c r="AU288" s="19">
        <v>1</v>
      </c>
      <c r="AV288" s="19">
        <v>1</v>
      </c>
      <c r="AW288" s="19">
        <v>1</v>
      </c>
      <c r="AX288" s="19">
        <f>SUM(T288:AW288)</f>
        <v>26</v>
      </c>
      <c r="AY288" s="20"/>
      <c r="AZ288" s="19"/>
      <c r="BA288" s="20"/>
      <c r="BB288" s="49"/>
    </row>
    <row r="289" spans="1:54" ht="13.5" customHeight="1" x14ac:dyDescent="0.2">
      <c r="A289" s="104" t="s">
        <v>816</v>
      </c>
      <c r="B289" s="86" t="s">
        <v>380</v>
      </c>
      <c r="C289" s="26">
        <v>1113</v>
      </c>
      <c r="D289" s="35" t="s">
        <v>393</v>
      </c>
      <c r="E289" s="26">
        <v>199</v>
      </c>
      <c r="F289" s="26" t="s">
        <v>2213</v>
      </c>
      <c r="G289" s="35" t="s">
        <v>2063</v>
      </c>
      <c r="H289" s="37">
        <v>0.5</v>
      </c>
      <c r="I289" s="37" t="s">
        <v>53</v>
      </c>
      <c r="J289" s="37">
        <v>0.5</v>
      </c>
      <c r="K289" s="37" t="s">
        <v>53</v>
      </c>
      <c r="L289" s="35" t="str">
        <f>VLOOKUP(Tabla411[[#This Row],[BTL CVE]],tblPDV[#All],13,0)</f>
        <v xml:space="preserve">BAUTISTA CORONA REYNA </v>
      </c>
      <c r="M289" s="26" t="s">
        <v>505</v>
      </c>
      <c r="N289" s="26" t="s">
        <v>54</v>
      </c>
      <c r="O289" s="26" t="s">
        <v>66</v>
      </c>
      <c r="P289" s="26" t="s">
        <v>66</v>
      </c>
      <c r="Q289" s="26" t="s">
        <v>50</v>
      </c>
      <c r="R289" s="38">
        <v>46113</v>
      </c>
      <c r="S289" s="38">
        <v>46142</v>
      </c>
      <c r="T289" s="19"/>
      <c r="U289" s="19">
        <v>1</v>
      </c>
      <c r="V289" s="19">
        <v>1</v>
      </c>
      <c r="W289" s="19">
        <v>1</v>
      </c>
      <c r="X289" s="22"/>
      <c r="Y289" s="19"/>
      <c r="Z289" s="19"/>
      <c r="AA289" s="19"/>
      <c r="AB289" s="19">
        <v>1</v>
      </c>
      <c r="AC289" s="19">
        <v>1</v>
      </c>
      <c r="AD289" s="19">
        <v>1</v>
      </c>
      <c r="AE289" s="22"/>
      <c r="AF289" s="19"/>
      <c r="AG289" s="19"/>
      <c r="AH289" s="19"/>
      <c r="AI289" s="19">
        <v>1</v>
      </c>
      <c r="AJ289" s="19">
        <v>1</v>
      </c>
      <c r="AK289" s="19">
        <v>1</v>
      </c>
      <c r="AL289" s="22"/>
      <c r="AM289" s="19"/>
      <c r="AN289" s="19"/>
      <c r="AO289" s="19"/>
      <c r="AP289" s="19">
        <v>1</v>
      </c>
      <c r="AQ289" s="19">
        <v>1</v>
      </c>
      <c r="AR289" s="19">
        <v>1</v>
      </c>
      <c r="AS289" s="22"/>
      <c r="AT289" s="19"/>
      <c r="AU289" s="19"/>
      <c r="AV289" s="19"/>
      <c r="AW289" s="19">
        <v>1</v>
      </c>
      <c r="AX289" s="19">
        <f>SUM(T289:AW289)</f>
        <v>13</v>
      </c>
      <c r="AY289" s="20"/>
      <c r="AZ289" s="19"/>
      <c r="BA289" s="20"/>
      <c r="BB289" s="49"/>
    </row>
    <row r="290" spans="1:54" ht="13.5" customHeight="1" x14ac:dyDescent="0.2">
      <c r="A290" s="104" t="s">
        <v>767</v>
      </c>
      <c r="B290" s="86" t="s">
        <v>380</v>
      </c>
      <c r="C290" s="26">
        <v>1230</v>
      </c>
      <c r="D290" s="35" t="s">
        <v>491</v>
      </c>
      <c r="E290" s="26"/>
      <c r="F290" s="26"/>
      <c r="G290" s="35" t="s">
        <v>2098</v>
      </c>
      <c r="H290" s="37">
        <v>1</v>
      </c>
      <c r="I290" s="37" t="s">
        <v>47</v>
      </c>
      <c r="J290" s="37">
        <v>1</v>
      </c>
      <c r="K290" s="37" t="s">
        <v>47</v>
      </c>
      <c r="L290" s="35" t="str">
        <f>VLOOKUP(Tabla411[[#This Row],[BTL CVE]],tblPDV[#All],13,0)</f>
        <v xml:space="preserve">ANIMAS SAUCEDO ANA CRISTINA </v>
      </c>
      <c r="M290" s="26" t="s">
        <v>503</v>
      </c>
      <c r="N290" s="26" t="s">
        <v>54</v>
      </c>
      <c r="O290" s="26" t="s">
        <v>49</v>
      </c>
      <c r="P290" s="88" t="s">
        <v>49</v>
      </c>
      <c r="Q290" s="26" t="s">
        <v>50</v>
      </c>
      <c r="R290" s="38">
        <v>46113</v>
      </c>
      <c r="S290" s="38">
        <v>46142</v>
      </c>
      <c r="T290" s="19">
        <v>1</v>
      </c>
      <c r="U290" s="19">
        <v>1</v>
      </c>
      <c r="V290" s="19">
        <v>1</v>
      </c>
      <c r="W290" s="19">
        <v>1</v>
      </c>
      <c r="X290" s="22"/>
      <c r="Y290" s="19">
        <v>1</v>
      </c>
      <c r="Z290" s="19">
        <v>1</v>
      </c>
      <c r="AA290" s="19">
        <v>1</v>
      </c>
      <c r="AB290" s="19">
        <v>1</v>
      </c>
      <c r="AC290" s="19">
        <v>1</v>
      </c>
      <c r="AD290" s="19">
        <v>1</v>
      </c>
      <c r="AE290" s="22"/>
      <c r="AF290" s="19">
        <v>1</v>
      </c>
      <c r="AG290" s="19">
        <v>1</v>
      </c>
      <c r="AH290" s="19">
        <v>1</v>
      </c>
      <c r="AI290" s="19">
        <v>1</v>
      </c>
      <c r="AJ290" s="19">
        <v>1</v>
      </c>
      <c r="AK290" s="19">
        <v>1</v>
      </c>
      <c r="AL290" s="22"/>
      <c r="AM290" s="19">
        <v>1</v>
      </c>
      <c r="AN290" s="19">
        <v>1</v>
      </c>
      <c r="AO290" s="19">
        <v>1</v>
      </c>
      <c r="AP290" s="19">
        <v>1</v>
      </c>
      <c r="AQ290" s="19">
        <v>1</v>
      </c>
      <c r="AR290" s="19">
        <v>1</v>
      </c>
      <c r="AS290" s="22"/>
      <c r="AT290" s="19">
        <v>1</v>
      </c>
      <c r="AU290" s="19">
        <v>1</v>
      </c>
      <c r="AV290" s="19">
        <v>1</v>
      </c>
      <c r="AW290" s="19">
        <v>1</v>
      </c>
      <c r="AX290" s="19">
        <f>SUM(T290:AW290)</f>
        <v>26</v>
      </c>
      <c r="AY290" s="20"/>
      <c r="AZ290" s="19"/>
      <c r="BA290" s="20"/>
      <c r="BB290" s="49"/>
    </row>
    <row r="291" spans="1:54" ht="13.5" customHeight="1" x14ac:dyDescent="0.2">
      <c r="A291" s="104" t="s">
        <v>817</v>
      </c>
      <c r="B291" s="86" t="s">
        <v>380</v>
      </c>
      <c r="C291" s="26">
        <v>1076</v>
      </c>
      <c r="D291" s="35" t="s">
        <v>440</v>
      </c>
      <c r="E291" s="26">
        <v>420</v>
      </c>
      <c r="F291" s="26" t="s">
        <v>2281</v>
      </c>
      <c r="G291" s="35" t="s">
        <v>1533</v>
      </c>
      <c r="H291" s="37">
        <v>1</v>
      </c>
      <c r="I291" s="37" t="s">
        <v>47</v>
      </c>
      <c r="J291" s="37">
        <v>1</v>
      </c>
      <c r="K291" s="37" t="s">
        <v>47</v>
      </c>
      <c r="L291" s="35" t="str">
        <f>VLOOKUP(Tabla411[[#This Row],[BTL CVE]],tblPDV[#All],13,0)</f>
        <v xml:space="preserve">MONROY GONZALEZ MARIA ZENAIDA </v>
      </c>
      <c r="M291" s="26" t="s">
        <v>536</v>
      </c>
      <c r="N291" s="26" t="s">
        <v>54</v>
      </c>
      <c r="O291" s="26" t="s">
        <v>49</v>
      </c>
      <c r="P291" s="26" t="s">
        <v>49</v>
      </c>
      <c r="Q291" s="26" t="s">
        <v>50</v>
      </c>
      <c r="R291" s="38">
        <v>46113</v>
      </c>
      <c r="S291" s="38">
        <v>46142</v>
      </c>
      <c r="T291" s="19">
        <v>1</v>
      </c>
      <c r="U291" s="19">
        <v>1</v>
      </c>
      <c r="V291" s="19">
        <v>1</v>
      </c>
      <c r="W291" s="19">
        <v>1</v>
      </c>
      <c r="X291" s="22"/>
      <c r="Y291" s="19">
        <v>1</v>
      </c>
      <c r="Z291" s="19">
        <v>1</v>
      </c>
      <c r="AA291" s="19">
        <v>1</v>
      </c>
      <c r="AB291" s="19">
        <v>1</v>
      </c>
      <c r="AC291" s="19">
        <v>1</v>
      </c>
      <c r="AD291" s="19">
        <v>1</v>
      </c>
      <c r="AE291" s="22"/>
      <c r="AF291" s="19">
        <v>1</v>
      </c>
      <c r="AG291" s="19">
        <v>1</v>
      </c>
      <c r="AH291" s="19">
        <v>1</v>
      </c>
      <c r="AI291" s="19">
        <v>1</v>
      </c>
      <c r="AJ291" s="19">
        <v>1</v>
      </c>
      <c r="AK291" s="19">
        <v>1</v>
      </c>
      <c r="AL291" s="22"/>
      <c r="AM291" s="19">
        <v>1</v>
      </c>
      <c r="AN291" s="19">
        <v>1</v>
      </c>
      <c r="AO291" s="19">
        <v>1</v>
      </c>
      <c r="AP291" s="19">
        <v>1</v>
      </c>
      <c r="AQ291" s="19">
        <v>1</v>
      </c>
      <c r="AR291" s="19">
        <v>1</v>
      </c>
      <c r="AS291" s="22"/>
      <c r="AT291" s="19">
        <v>1</v>
      </c>
      <c r="AU291" s="19">
        <v>1</v>
      </c>
      <c r="AV291" s="19">
        <v>1</v>
      </c>
      <c r="AW291" s="19">
        <v>1</v>
      </c>
      <c r="AX291" s="19">
        <f>SUM(T291:AW291)</f>
        <v>26</v>
      </c>
      <c r="AY291" s="20"/>
      <c r="AZ291" s="19"/>
      <c r="BA291" s="20"/>
      <c r="BB291" s="49"/>
    </row>
    <row r="292" spans="1:54" ht="13.5" customHeight="1" x14ac:dyDescent="0.2">
      <c r="A292" s="104" t="s">
        <v>757</v>
      </c>
      <c r="B292" s="86" t="s">
        <v>380</v>
      </c>
      <c r="C292" s="26">
        <v>1131</v>
      </c>
      <c r="D292" s="35" t="s">
        <v>381</v>
      </c>
      <c r="E292" s="26">
        <v>511</v>
      </c>
      <c r="F292" s="26" t="s">
        <v>2323</v>
      </c>
      <c r="G292" s="35" t="s">
        <v>1487</v>
      </c>
      <c r="H292" s="37">
        <v>1</v>
      </c>
      <c r="I292" s="37" t="s">
        <v>47</v>
      </c>
      <c r="J292" s="37">
        <v>1</v>
      </c>
      <c r="K292" s="37" t="s">
        <v>47</v>
      </c>
      <c r="L292" s="35" t="str">
        <f>VLOOKUP(Tabla411[[#This Row],[BTL CVE]],tblPDV[#All],13,0)</f>
        <v>CARRILLO XOCHIHUA XOCHITL</v>
      </c>
      <c r="M292" s="26" t="s">
        <v>536</v>
      </c>
      <c r="N292" s="26" t="s">
        <v>54</v>
      </c>
      <c r="O292" s="26" t="s">
        <v>49</v>
      </c>
      <c r="P292" s="26" t="s">
        <v>49</v>
      </c>
      <c r="Q292" s="26" t="s">
        <v>50</v>
      </c>
      <c r="R292" s="38">
        <v>46113</v>
      </c>
      <c r="S292" s="38">
        <v>46142</v>
      </c>
      <c r="T292" s="19">
        <v>1</v>
      </c>
      <c r="U292" s="19">
        <v>1</v>
      </c>
      <c r="V292" s="19">
        <v>1</v>
      </c>
      <c r="W292" s="19">
        <v>1</v>
      </c>
      <c r="X292" s="22"/>
      <c r="Y292" s="19">
        <v>1</v>
      </c>
      <c r="Z292" s="19">
        <v>1</v>
      </c>
      <c r="AA292" s="19">
        <v>1</v>
      </c>
      <c r="AB292" s="19">
        <v>1</v>
      </c>
      <c r="AC292" s="19">
        <v>1</v>
      </c>
      <c r="AD292" s="19">
        <v>1</v>
      </c>
      <c r="AE292" s="22"/>
      <c r="AF292" s="19">
        <v>1</v>
      </c>
      <c r="AG292" s="19">
        <v>1</v>
      </c>
      <c r="AH292" s="19">
        <v>1</v>
      </c>
      <c r="AI292" s="19">
        <v>1</v>
      </c>
      <c r="AJ292" s="19">
        <v>1</v>
      </c>
      <c r="AK292" s="19">
        <v>1</v>
      </c>
      <c r="AL292" s="22"/>
      <c r="AM292" s="19">
        <v>1</v>
      </c>
      <c r="AN292" s="19">
        <v>1</v>
      </c>
      <c r="AO292" s="19">
        <v>1</v>
      </c>
      <c r="AP292" s="19">
        <v>1</v>
      </c>
      <c r="AQ292" s="19">
        <v>1</v>
      </c>
      <c r="AR292" s="19">
        <v>1</v>
      </c>
      <c r="AS292" s="22"/>
      <c r="AT292" s="19">
        <v>1</v>
      </c>
      <c r="AU292" s="19">
        <v>1</v>
      </c>
      <c r="AV292" s="19">
        <v>1</v>
      </c>
      <c r="AW292" s="19">
        <v>1</v>
      </c>
      <c r="AX292" s="19">
        <f>SUM(T292:AW292)</f>
        <v>26</v>
      </c>
      <c r="AY292" s="20"/>
      <c r="AZ292" s="19"/>
      <c r="BA292" s="20"/>
      <c r="BB292" s="49"/>
    </row>
    <row r="293" spans="1:54" ht="13.5" customHeight="1" x14ac:dyDescent="0.2">
      <c r="A293" s="104" t="s">
        <v>758</v>
      </c>
      <c r="B293" s="86" t="s">
        <v>380</v>
      </c>
      <c r="C293" s="26">
        <v>1190</v>
      </c>
      <c r="D293" s="35" t="s">
        <v>382</v>
      </c>
      <c r="E293" s="26">
        <v>204</v>
      </c>
      <c r="F293" s="26" t="s">
        <v>2215</v>
      </c>
      <c r="G293" s="35" t="s">
        <v>2060</v>
      </c>
      <c r="H293" s="37">
        <v>1</v>
      </c>
      <c r="I293" s="37" t="s">
        <v>47</v>
      </c>
      <c r="J293" s="37">
        <v>1</v>
      </c>
      <c r="K293" s="37" t="s">
        <v>47</v>
      </c>
      <c r="L293" s="35" t="str">
        <f>VLOOKUP(Tabla411[[#This Row],[BTL CVE]],tblPDV[#All],13,0)</f>
        <v xml:space="preserve">AGUIRRE CAMACHO ATZIN SUSANA </v>
      </c>
      <c r="M293" s="26" t="s">
        <v>536</v>
      </c>
      <c r="N293" s="26" t="s">
        <v>54</v>
      </c>
      <c r="O293" s="26" t="s">
        <v>49</v>
      </c>
      <c r="P293" s="26" t="s">
        <v>49</v>
      </c>
      <c r="Q293" s="26" t="s">
        <v>50</v>
      </c>
      <c r="R293" s="38">
        <v>46113</v>
      </c>
      <c r="S293" s="38">
        <v>46142</v>
      </c>
      <c r="T293" s="19">
        <v>1</v>
      </c>
      <c r="U293" s="19">
        <v>1</v>
      </c>
      <c r="V293" s="19">
        <v>1</v>
      </c>
      <c r="W293" s="19">
        <v>1</v>
      </c>
      <c r="X293" s="22"/>
      <c r="Y293" s="19">
        <v>1</v>
      </c>
      <c r="Z293" s="19">
        <v>1</v>
      </c>
      <c r="AA293" s="19">
        <v>1</v>
      </c>
      <c r="AB293" s="19">
        <v>1</v>
      </c>
      <c r="AC293" s="19">
        <v>1</v>
      </c>
      <c r="AD293" s="19">
        <v>1</v>
      </c>
      <c r="AE293" s="22"/>
      <c r="AF293" s="19">
        <v>1</v>
      </c>
      <c r="AG293" s="19">
        <v>1</v>
      </c>
      <c r="AH293" s="19">
        <v>1</v>
      </c>
      <c r="AI293" s="19">
        <v>1</v>
      </c>
      <c r="AJ293" s="19">
        <v>1</v>
      </c>
      <c r="AK293" s="19">
        <v>1</v>
      </c>
      <c r="AL293" s="22"/>
      <c r="AM293" s="19">
        <v>1</v>
      </c>
      <c r="AN293" s="19">
        <v>1</v>
      </c>
      <c r="AO293" s="19">
        <v>1</v>
      </c>
      <c r="AP293" s="19">
        <v>1</v>
      </c>
      <c r="AQ293" s="19">
        <v>1</v>
      </c>
      <c r="AR293" s="19">
        <v>1</v>
      </c>
      <c r="AS293" s="22"/>
      <c r="AT293" s="19">
        <v>1</v>
      </c>
      <c r="AU293" s="19">
        <v>1</v>
      </c>
      <c r="AV293" s="19">
        <v>1</v>
      </c>
      <c r="AW293" s="19">
        <v>1</v>
      </c>
      <c r="AX293" s="19">
        <f>SUM(T293:AW293)</f>
        <v>26</v>
      </c>
      <c r="AY293" s="20"/>
      <c r="AZ293" s="19"/>
      <c r="BA293" s="20"/>
      <c r="BB293" s="49"/>
    </row>
    <row r="294" spans="1:54" ht="13.5" customHeight="1" x14ac:dyDescent="0.2">
      <c r="A294" s="104" t="s">
        <v>759</v>
      </c>
      <c r="B294" s="86" t="s">
        <v>380</v>
      </c>
      <c r="C294" s="26">
        <v>1021</v>
      </c>
      <c r="D294" s="35" t="s">
        <v>383</v>
      </c>
      <c r="E294" s="26">
        <v>75</v>
      </c>
      <c r="F294" s="26" t="s">
        <v>2157</v>
      </c>
      <c r="G294" s="35" t="s">
        <v>2061</v>
      </c>
      <c r="H294" s="37">
        <v>1</v>
      </c>
      <c r="I294" s="37" t="s">
        <v>47</v>
      </c>
      <c r="J294" s="37">
        <v>1</v>
      </c>
      <c r="K294" s="37" t="s">
        <v>47</v>
      </c>
      <c r="L294" s="35" t="str">
        <f>VLOOKUP(Tabla411[[#This Row],[BTL CVE]],tblPDV[#All],13,0)</f>
        <v xml:space="preserve">CHAVEZ RAMOS  JONATAN RAYMUNDO </v>
      </c>
      <c r="M294" s="26" t="s">
        <v>536</v>
      </c>
      <c r="N294" s="26" t="s">
        <v>54</v>
      </c>
      <c r="O294" s="26" t="s">
        <v>49</v>
      </c>
      <c r="P294" s="26" t="s">
        <v>49</v>
      </c>
      <c r="Q294" s="26" t="s">
        <v>50</v>
      </c>
      <c r="R294" s="38">
        <v>46113</v>
      </c>
      <c r="S294" s="38">
        <v>46142</v>
      </c>
      <c r="T294" s="19">
        <v>1</v>
      </c>
      <c r="U294" s="19">
        <v>1</v>
      </c>
      <c r="V294" s="19">
        <v>1</v>
      </c>
      <c r="W294" s="19">
        <v>1</v>
      </c>
      <c r="X294" s="22"/>
      <c r="Y294" s="19">
        <v>1</v>
      </c>
      <c r="Z294" s="19">
        <v>1</v>
      </c>
      <c r="AA294" s="19">
        <v>1</v>
      </c>
      <c r="AB294" s="19">
        <v>1</v>
      </c>
      <c r="AC294" s="19">
        <v>1</v>
      </c>
      <c r="AD294" s="19">
        <v>1</v>
      </c>
      <c r="AE294" s="22"/>
      <c r="AF294" s="19">
        <v>1</v>
      </c>
      <c r="AG294" s="19">
        <v>1</v>
      </c>
      <c r="AH294" s="19">
        <v>1</v>
      </c>
      <c r="AI294" s="19">
        <v>1</v>
      </c>
      <c r="AJ294" s="19">
        <v>1</v>
      </c>
      <c r="AK294" s="19">
        <v>1</v>
      </c>
      <c r="AL294" s="22"/>
      <c r="AM294" s="19">
        <v>1</v>
      </c>
      <c r="AN294" s="19">
        <v>1</v>
      </c>
      <c r="AO294" s="19">
        <v>1</v>
      </c>
      <c r="AP294" s="19">
        <v>1</v>
      </c>
      <c r="AQ294" s="19">
        <v>1</v>
      </c>
      <c r="AR294" s="19">
        <v>1</v>
      </c>
      <c r="AS294" s="22"/>
      <c r="AT294" s="19">
        <v>1</v>
      </c>
      <c r="AU294" s="19">
        <v>1</v>
      </c>
      <c r="AV294" s="19">
        <v>1</v>
      </c>
      <c r="AW294" s="19">
        <v>1</v>
      </c>
      <c r="AX294" s="19">
        <f>SUM(T294:AW294)</f>
        <v>26</v>
      </c>
      <c r="AY294" s="20"/>
      <c r="AZ294" s="19"/>
      <c r="BA294" s="20"/>
      <c r="BB294" s="49"/>
    </row>
    <row r="295" spans="1:54" ht="13.5" customHeight="1" x14ac:dyDescent="0.2">
      <c r="A295" s="104" t="s">
        <v>760</v>
      </c>
      <c r="B295" s="86" t="s">
        <v>380</v>
      </c>
      <c r="C295" s="37">
        <v>1145</v>
      </c>
      <c r="D295" s="35" t="s">
        <v>384</v>
      </c>
      <c r="E295" s="26">
        <v>348</v>
      </c>
      <c r="F295" s="26" t="s">
        <v>2262</v>
      </c>
      <c r="G295" s="35" t="s">
        <v>1956</v>
      </c>
      <c r="H295" s="37">
        <v>1</v>
      </c>
      <c r="I295" s="37" t="s">
        <v>47</v>
      </c>
      <c r="J295" s="37">
        <v>1</v>
      </c>
      <c r="K295" s="37" t="s">
        <v>47</v>
      </c>
      <c r="L295" s="35" t="str">
        <f>VLOOKUP(Tabla411[[#This Row],[BTL CVE]],tblPDV[#All],13,0)</f>
        <v xml:space="preserve">CARREÑO MONREAL MARIA TERESA </v>
      </c>
      <c r="M295" s="26" t="s">
        <v>133</v>
      </c>
      <c r="N295" s="26" t="s">
        <v>1522</v>
      </c>
      <c r="O295" s="26" t="s">
        <v>49</v>
      </c>
      <c r="P295" s="26" t="s">
        <v>49</v>
      </c>
      <c r="Q295" s="26" t="s">
        <v>50</v>
      </c>
      <c r="R295" s="38">
        <v>46113</v>
      </c>
      <c r="S295" s="38">
        <v>46142</v>
      </c>
      <c r="T295" s="19">
        <v>1</v>
      </c>
      <c r="U295" s="19">
        <v>1</v>
      </c>
      <c r="V295" s="19">
        <v>1</v>
      </c>
      <c r="W295" s="19">
        <v>1</v>
      </c>
      <c r="X295" s="22"/>
      <c r="Y295" s="19">
        <v>1</v>
      </c>
      <c r="Z295" s="19">
        <v>1</v>
      </c>
      <c r="AA295" s="19">
        <v>1</v>
      </c>
      <c r="AB295" s="19">
        <v>1</v>
      </c>
      <c r="AC295" s="19">
        <v>1</v>
      </c>
      <c r="AD295" s="19">
        <v>1</v>
      </c>
      <c r="AE295" s="22"/>
      <c r="AF295" s="19">
        <v>1</v>
      </c>
      <c r="AG295" s="19">
        <v>1</v>
      </c>
      <c r="AH295" s="19">
        <v>1</v>
      </c>
      <c r="AI295" s="19">
        <v>1</v>
      </c>
      <c r="AJ295" s="19">
        <v>1</v>
      </c>
      <c r="AK295" s="19">
        <v>1</v>
      </c>
      <c r="AL295" s="22"/>
      <c r="AM295" s="19">
        <v>1</v>
      </c>
      <c r="AN295" s="19">
        <v>1</v>
      </c>
      <c r="AO295" s="19">
        <v>1</v>
      </c>
      <c r="AP295" s="19">
        <v>1</v>
      </c>
      <c r="AQ295" s="19">
        <v>1</v>
      </c>
      <c r="AR295" s="19">
        <v>1</v>
      </c>
      <c r="AS295" s="22"/>
      <c r="AT295" s="19">
        <v>1</v>
      </c>
      <c r="AU295" s="19">
        <v>1</v>
      </c>
      <c r="AV295" s="19">
        <v>1</v>
      </c>
      <c r="AW295" s="19">
        <v>1</v>
      </c>
      <c r="AX295" s="19">
        <f>SUM(T295:AW295)</f>
        <v>26</v>
      </c>
      <c r="AY295" s="20"/>
      <c r="AZ295" s="19"/>
      <c r="BA295" s="20"/>
      <c r="BB295" s="49"/>
    </row>
    <row r="296" spans="1:54" ht="13.5" customHeight="1" x14ac:dyDescent="0.2">
      <c r="A296" s="104" t="s">
        <v>818</v>
      </c>
      <c r="B296" s="105" t="s">
        <v>380</v>
      </c>
      <c r="C296" s="26">
        <v>1013</v>
      </c>
      <c r="D296" s="35" t="s">
        <v>441</v>
      </c>
      <c r="E296" s="26">
        <v>546</v>
      </c>
      <c r="F296" s="26" t="s">
        <v>2336</v>
      </c>
      <c r="G296" s="35" t="s">
        <v>2062</v>
      </c>
      <c r="H296" s="37">
        <v>1</v>
      </c>
      <c r="I296" s="37" t="s">
        <v>47</v>
      </c>
      <c r="J296" s="37">
        <v>1</v>
      </c>
      <c r="K296" s="26" t="s">
        <v>47</v>
      </c>
      <c r="L296" s="35" t="str">
        <f>VLOOKUP(Tabla411[[#This Row],[BTL CVE]],tblPDV[#All],13,0)</f>
        <v>CARRILLO XOCHIHUA XOCHITL</v>
      </c>
      <c r="M296" s="26" t="s">
        <v>536</v>
      </c>
      <c r="N296" s="26" t="s">
        <v>54</v>
      </c>
      <c r="O296" s="26" t="s">
        <v>49</v>
      </c>
      <c r="P296" s="26" t="s">
        <v>49</v>
      </c>
      <c r="Q296" s="26" t="s">
        <v>50</v>
      </c>
      <c r="R296" s="38">
        <v>46113</v>
      </c>
      <c r="S296" s="38">
        <v>46142</v>
      </c>
      <c r="T296" s="19">
        <v>1</v>
      </c>
      <c r="U296" s="19">
        <v>1</v>
      </c>
      <c r="V296" s="19">
        <v>1</v>
      </c>
      <c r="W296" s="19">
        <v>1</v>
      </c>
      <c r="X296" s="22"/>
      <c r="Y296" s="19">
        <v>1</v>
      </c>
      <c r="Z296" s="19">
        <v>1</v>
      </c>
      <c r="AA296" s="19">
        <v>1</v>
      </c>
      <c r="AB296" s="19">
        <v>1</v>
      </c>
      <c r="AC296" s="19">
        <v>1</v>
      </c>
      <c r="AD296" s="19">
        <v>1</v>
      </c>
      <c r="AE296" s="22"/>
      <c r="AF296" s="19">
        <v>1</v>
      </c>
      <c r="AG296" s="19">
        <v>1</v>
      </c>
      <c r="AH296" s="19">
        <v>1</v>
      </c>
      <c r="AI296" s="19">
        <v>1</v>
      </c>
      <c r="AJ296" s="19">
        <v>1</v>
      </c>
      <c r="AK296" s="19">
        <v>1</v>
      </c>
      <c r="AL296" s="22"/>
      <c r="AM296" s="19">
        <v>1</v>
      </c>
      <c r="AN296" s="19">
        <v>1</v>
      </c>
      <c r="AO296" s="19">
        <v>1</v>
      </c>
      <c r="AP296" s="19">
        <v>1</v>
      </c>
      <c r="AQ296" s="19">
        <v>1</v>
      </c>
      <c r="AR296" s="19">
        <v>1</v>
      </c>
      <c r="AS296" s="22"/>
      <c r="AT296" s="19">
        <v>1</v>
      </c>
      <c r="AU296" s="19">
        <v>1</v>
      </c>
      <c r="AV296" s="19">
        <v>1</v>
      </c>
      <c r="AW296" s="19">
        <v>1</v>
      </c>
      <c r="AX296" s="19">
        <f>SUM(T296:AW296)</f>
        <v>26</v>
      </c>
      <c r="AY296" s="20"/>
      <c r="AZ296" s="19"/>
      <c r="BA296" s="20"/>
      <c r="BB296" s="49"/>
    </row>
    <row r="297" spans="1:54" ht="13.5" customHeight="1" x14ac:dyDescent="0.2">
      <c r="A297" s="121" t="s">
        <v>759</v>
      </c>
      <c r="B297" s="112" t="s">
        <v>380</v>
      </c>
      <c r="C297" s="88">
        <v>1021</v>
      </c>
      <c r="D297" s="89" t="s">
        <v>383</v>
      </c>
      <c r="E297" s="90">
        <v>548</v>
      </c>
      <c r="F297" s="90" t="s">
        <v>2338</v>
      </c>
      <c r="G297" s="87" t="s">
        <v>1537</v>
      </c>
      <c r="H297" s="92"/>
      <c r="I297" s="92"/>
      <c r="J297" s="37">
        <v>0.5</v>
      </c>
      <c r="K297" s="37" t="s">
        <v>53</v>
      </c>
      <c r="L297" s="91" t="str">
        <f>VLOOKUP(Tabla411[[#This Row],[BTL CVE]],tblPDV[#All],13,0)</f>
        <v xml:space="preserve">CHAVEZ RAMOS  JONATAN RAYMUNDO </v>
      </c>
      <c r="M297" s="26" t="s">
        <v>536</v>
      </c>
      <c r="N297" s="88"/>
      <c r="O297" s="88"/>
      <c r="P297" s="26" t="s">
        <v>49</v>
      </c>
      <c r="Q297" s="26" t="s">
        <v>50</v>
      </c>
      <c r="R297" s="93">
        <v>46113</v>
      </c>
      <c r="S297" s="93">
        <v>46142</v>
      </c>
      <c r="T297" s="94">
        <v>1</v>
      </c>
      <c r="U297" s="94">
        <v>1</v>
      </c>
      <c r="V297" s="94">
        <v>1</v>
      </c>
      <c r="W297" s="94">
        <v>1</v>
      </c>
      <c r="X297" s="22"/>
      <c r="Y297" s="94">
        <v>1</v>
      </c>
      <c r="Z297" s="94">
        <v>1</v>
      </c>
      <c r="AA297" s="94">
        <v>1</v>
      </c>
      <c r="AB297" s="94">
        <v>1</v>
      </c>
      <c r="AC297" s="94">
        <v>1</v>
      </c>
      <c r="AD297" s="94">
        <v>1</v>
      </c>
      <c r="AE297" s="22"/>
      <c r="AF297" s="94">
        <v>1</v>
      </c>
      <c r="AG297" s="94">
        <v>1</v>
      </c>
      <c r="AH297" s="94">
        <v>1</v>
      </c>
      <c r="AI297" s="94">
        <v>1</v>
      </c>
      <c r="AJ297" s="94">
        <v>1</v>
      </c>
      <c r="AK297" s="94">
        <v>1</v>
      </c>
      <c r="AL297" s="22"/>
      <c r="AM297" s="94">
        <v>1</v>
      </c>
      <c r="AN297" s="94">
        <v>1</v>
      </c>
      <c r="AO297" s="94">
        <v>1</v>
      </c>
      <c r="AP297" s="94">
        <v>1</v>
      </c>
      <c r="AQ297" s="94">
        <v>1</v>
      </c>
      <c r="AR297" s="94">
        <v>1</v>
      </c>
      <c r="AS297" s="22"/>
      <c r="AT297" s="94">
        <v>1</v>
      </c>
      <c r="AU297" s="94">
        <v>1</v>
      </c>
      <c r="AV297" s="94">
        <v>1</v>
      </c>
      <c r="AW297" s="94">
        <v>1</v>
      </c>
      <c r="AX297" s="95">
        <f>SUM(T297:AW297)</f>
        <v>26</v>
      </c>
      <c r="AY297" s="20"/>
      <c r="AZ297" s="96"/>
      <c r="BA297" s="20"/>
      <c r="BB297" s="97" t="s">
        <v>2385</v>
      </c>
    </row>
    <row r="298" spans="1:54" ht="13.5" customHeight="1" x14ac:dyDescent="0.2">
      <c r="A298" s="104" t="s">
        <v>761</v>
      </c>
      <c r="B298" s="86" t="s">
        <v>380</v>
      </c>
      <c r="C298" s="26">
        <v>1188</v>
      </c>
      <c r="D298" s="35" t="s">
        <v>385</v>
      </c>
      <c r="E298" s="26">
        <v>336</v>
      </c>
      <c r="F298" s="26" t="s">
        <v>2256</v>
      </c>
      <c r="G298" s="35" t="s">
        <v>386</v>
      </c>
      <c r="H298" s="37">
        <v>1</v>
      </c>
      <c r="I298" s="37" t="s">
        <v>47</v>
      </c>
      <c r="J298" s="37">
        <v>1</v>
      </c>
      <c r="K298" s="37" t="s">
        <v>47</v>
      </c>
      <c r="L298" s="35" t="str">
        <f>VLOOKUP(Tabla411[[#This Row],[BTL CVE]],tblPDV[#All],13,0)</f>
        <v>FLORES SALDAÑA JAVIER</v>
      </c>
      <c r="M298" s="26" t="s">
        <v>108</v>
      </c>
      <c r="N298" s="26" t="s">
        <v>54</v>
      </c>
      <c r="O298" s="26" t="s">
        <v>49</v>
      </c>
      <c r="P298" s="26" t="s">
        <v>49</v>
      </c>
      <c r="Q298" s="26" t="s">
        <v>50</v>
      </c>
      <c r="R298" s="38">
        <v>46113</v>
      </c>
      <c r="S298" s="38">
        <v>46142</v>
      </c>
      <c r="T298" s="19">
        <v>1</v>
      </c>
      <c r="U298" s="19">
        <v>1</v>
      </c>
      <c r="V298" s="19">
        <v>1</v>
      </c>
      <c r="W298" s="19">
        <v>1</v>
      </c>
      <c r="X298" s="22"/>
      <c r="Y298" s="19">
        <v>1</v>
      </c>
      <c r="Z298" s="19">
        <v>1</v>
      </c>
      <c r="AA298" s="19">
        <v>1</v>
      </c>
      <c r="AB298" s="19">
        <v>1</v>
      </c>
      <c r="AC298" s="19">
        <v>1</v>
      </c>
      <c r="AD298" s="19">
        <v>1</v>
      </c>
      <c r="AE298" s="22"/>
      <c r="AF298" s="19">
        <v>1</v>
      </c>
      <c r="AG298" s="19">
        <v>1</v>
      </c>
      <c r="AH298" s="19">
        <v>1</v>
      </c>
      <c r="AI298" s="19">
        <v>1</v>
      </c>
      <c r="AJ298" s="19">
        <v>1</v>
      </c>
      <c r="AK298" s="19">
        <v>1</v>
      </c>
      <c r="AL298" s="22"/>
      <c r="AM298" s="19">
        <v>1</v>
      </c>
      <c r="AN298" s="19">
        <v>1</v>
      </c>
      <c r="AO298" s="19">
        <v>1</v>
      </c>
      <c r="AP298" s="19">
        <v>1</v>
      </c>
      <c r="AQ298" s="19">
        <v>1</v>
      </c>
      <c r="AR298" s="19">
        <v>1</v>
      </c>
      <c r="AS298" s="22"/>
      <c r="AT298" s="19">
        <v>1</v>
      </c>
      <c r="AU298" s="19">
        <v>1</v>
      </c>
      <c r="AV298" s="19">
        <v>1</v>
      </c>
      <c r="AW298" s="19">
        <v>1</v>
      </c>
      <c r="AX298" s="19">
        <f>SUM(T298:AW298)</f>
        <v>26</v>
      </c>
      <c r="AY298" s="20"/>
      <c r="AZ298" s="19"/>
      <c r="BA298" s="20"/>
      <c r="BB298" s="49"/>
    </row>
    <row r="299" spans="1:54" ht="13.5" customHeight="1" x14ac:dyDescent="0.2">
      <c r="A299" s="104" t="s">
        <v>766</v>
      </c>
      <c r="B299" s="86" t="s">
        <v>380</v>
      </c>
      <c r="C299" s="26">
        <v>1156</v>
      </c>
      <c r="D299" s="35" t="s">
        <v>450</v>
      </c>
      <c r="E299" s="26">
        <v>573</v>
      </c>
      <c r="F299" s="26" t="s">
        <v>2347</v>
      </c>
      <c r="G299" s="35" t="s">
        <v>1572</v>
      </c>
      <c r="H299" s="37">
        <v>1</v>
      </c>
      <c r="I299" s="37" t="s">
        <v>47</v>
      </c>
      <c r="J299" s="37">
        <v>0.5</v>
      </c>
      <c r="K299" s="37" t="s">
        <v>53</v>
      </c>
      <c r="L299" s="35" t="str">
        <f>VLOOKUP(Tabla411[[#This Row],[BTL CVE]],tblPDV[#All],13,0)</f>
        <v xml:space="preserve">GUTIERREZ ROMERO MARUJA BETTY </v>
      </c>
      <c r="M299" s="26" t="s">
        <v>502</v>
      </c>
      <c r="N299" s="26" t="s">
        <v>54</v>
      </c>
      <c r="O299" s="26" t="s">
        <v>49</v>
      </c>
      <c r="P299" s="26" t="s">
        <v>49</v>
      </c>
      <c r="Q299" s="26" t="s">
        <v>50</v>
      </c>
      <c r="R299" s="93">
        <v>46135</v>
      </c>
      <c r="S299" s="93">
        <v>46142</v>
      </c>
      <c r="T299" s="19"/>
      <c r="U299" s="19"/>
      <c r="V299" s="19"/>
      <c r="W299" s="19"/>
      <c r="X299" s="22"/>
      <c r="Y299" s="19"/>
      <c r="Z299" s="19"/>
      <c r="AA299" s="19"/>
      <c r="AB299" s="19"/>
      <c r="AC299" s="19"/>
      <c r="AD299" s="19"/>
      <c r="AE299" s="22"/>
      <c r="AF299" s="19"/>
      <c r="AG299" s="19"/>
      <c r="AH299" s="19"/>
      <c r="AI299" s="19"/>
      <c r="AJ299" s="19"/>
      <c r="AK299" s="19"/>
      <c r="AL299" s="22"/>
      <c r="AM299" s="19"/>
      <c r="AN299" s="19"/>
      <c r="AO299" s="19"/>
      <c r="AP299" s="19">
        <v>1</v>
      </c>
      <c r="AQ299" s="19">
        <v>1</v>
      </c>
      <c r="AR299" s="19">
        <v>1</v>
      </c>
      <c r="AS299" s="22"/>
      <c r="AT299" s="19">
        <v>1</v>
      </c>
      <c r="AU299" s="19">
        <v>1</v>
      </c>
      <c r="AV299" s="19">
        <v>1</v>
      </c>
      <c r="AW299" s="19">
        <v>1</v>
      </c>
      <c r="AX299" s="19">
        <f>SUM(T299:AW299)</f>
        <v>7</v>
      </c>
      <c r="AY299" s="20"/>
      <c r="AZ299" s="19"/>
      <c r="BA299" s="20"/>
      <c r="BB299" s="49"/>
    </row>
    <row r="300" spans="1:54" ht="13.5" customHeight="1" x14ac:dyDescent="0.2">
      <c r="A300" s="104" t="s">
        <v>764</v>
      </c>
      <c r="B300" s="86" t="s">
        <v>380</v>
      </c>
      <c r="C300" s="26">
        <v>1187</v>
      </c>
      <c r="D300" s="35" t="s">
        <v>392</v>
      </c>
      <c r="E300" s="26">
        <v>452</v>
      </c>
      <c r="F300" s="26" t="s">
        <v>2291</v>
      </c>
      <c r="G300" s="35" t="s">
        <v>388</v>
      </c>
      <c r="H300" s="37">
        <v>1</v>
      </c>
      <c r="I300" s="37" t="s">
        <v>47</v>
      </c>
      <c r="J300" s="37">
        <v>1</v>
      </c>
      <c r="K300" s="26" t="s">
        <v>47</v>
      </c>
      <c r="L300" s="35" t="str">
        <f>VLOOKUP(Tabla411[[#This Row],[BTL CVE]],tblPDV[#All],13,0)</f>
        <v>MONTAGNER OLIVARES MIGUEL ANGEL</v>
      </c>
      <c r="M300" s="26" t="s">
        <v>536</v>
      </c>
      <c r="N300" s="26" t="s">
        <v>54</v>
      </c>
      <c r="O300" s="26" t="s">
        <v>49</v>
      </c>
      <c r="P300" s="26" t="s">
        <v>49</v>
      </c>
      <c r="Q300" s="26" t="s">
        <v>50</v>
      </c>
      <c r="R300" s="38">
        <v>46113</v>
      </c>
      <c r="S300" s="38">
        <v>46142</v>
      </c>
      <c r="T300" s="19">
        <v>1</v>
      </c>
      <c r="U300" s="19">
        <v>1</v>
      </c>
      <c r="V300" s="19">
        <v>1</v>
      </c>
      <c r="W300" s="19">
        <v>1</v>
      </c>
      <c r="X300" s="22"/>
      <c r="Y300" s="19">
        <v>1</v>
      </c>
      <c r="Z300" s="19">
        <v>1</v>
      </c>
      <c r="AA300" s="19">
        <v>1</v>
      </c>
      <c r="AB300" s="19">
        <v>1</v>
      </c>
      <c r="AC300" s="19">
        <v>1</v>
      </c>
      <c r="AD300" s="19">
        <v>1</v>
      </c>
      <c r="AE300" s="22"/>
      <c r="AF300" s="19">
        <v>1</v>
      </c>
      <c r="AG300" s="19">
        <v>1</v>
      </c>
      <c r="AH300" s="19">
        <v>1</v>
      </c>
      <c r="AI300" s="19">
        <v>1</v>
      </c>
      <c r="AJ300" s="19">
        <v>1</v>
      </c>
      <c r="AK300" s="19">
        <v>1</v>
      </c>
      <c r="AL300" s="22"/>
      <c r="AM300" s="19">
        <v>1</v>
      </c>
      <c r="AN300" s="19">
        <v>1</v>
      </c>
      <c r="AO300" s="19">
        <v>1</v>
      </c>
      <c r="AP300" s="19">
        <v>1</v>
      </c>
      <c r="AQ300" s="19">
        <v>1</v>
      </c>
      <c r="AR300" s="19">
        <v>1</v>
      </c>
      <c r="AS300" s="22"/>
      <c r="AT300" s="19">
        <v>1</v>
      </c>
      <c r="AU300" s="19">
        <v>1</v>
      </c>
      <c r="AV300" s="19">
        <v>1</v>
      </c>
      <c r="AW300" s="19">
        <v>1</v>
      </c>
      <c r="AX300" s="19">
        <f>SUM(T300:AW300)</f>
        <v>26</v>
      </c>
      <c r="AY300" s="20"/>
      <c r="AZ300" s="19"/>
      <c r="BA300" s="20"/>
      <c r="BB300" s="49"/>
    </row>
    <row r="301" spans="1:54" ht="13.5" customHeight="1" x14ac:dyDescent="0.2">
      <c r="A301" s="104" t="s">
        <v>763</v>
      </c>
      <c r="B301" s="86" t="s">
        <v>380</v>
      </c>
      <c r="C301" s="26">
        <v>1060</v>
      </c>
      <c r="D301" s="35" t="s">
        <v>389</v>
      </c>
      <c r="E301" s="26">
        <v>485</v>
      </c>
      <c r="F301" s="26" t="s">
        <v>2308</v>
      </c>
      <c r="G301" s="35" t="s">
        <v>390</v>
      </c>
      <c r="H301" s="37">
        <v>1</v>
      </c>
      <c r="I301" s="37" t="s">
        <v>47</v>
      </c>
      <c r="J301" s="37">
        <v>1</v>
      </c>
      <c r="K301" s="37" t="s">
        <v>47</v>
      </c>
      <c r="L301" s="35" t="str">
        <f>VLOOKUP(Tabla411[[#This Row],[BTL CVE]],tblPDV[#All],13,0)</f>
        <v xml:space="preserve">LOPEZ GUTIERREZ LUZ EVELIA </v>
      </c>
      <c r="M301" s="26" t="s">
        <v>391</v>
      </c>
      <c r="N301" s="26" t="s">
        <v>54</v>
      </c>
      <c r="O301" s="26" t="s">
        <v>49</v>
      </c>
      <c r="P301" s="26" t="s">
        <v>49</v>
      </c>
      <c r="Q301" s="26" t="s">
        <v>50</v>
      </c>
      <c r="R301" s="38">
        <v>46113</v>
      </c>
      <c r="S301" s="38">
        <v>46142</v>
      </c>
      <c r="T301" s="19">
        <v>1</v>
      </c>
      <c r="U301" s="19">
        <v>1</v>
      </c>
      <c r="V301" s="19">
        <v>1</v>
      </c>
      <c r="W301" s="19">
        <v>1</v>
      </c>
      <c r="X301" s="22"/>
      <c r="Y301" s="19">
        <v>1</v>
      </c>
      <c r="Z301" s="19">
        <v>1</v>
      </c>
      <c r="AA301" s="19">
        <v>1</v>
      </c>
      <c r="AB301" s="19">
        <v>1</v>
      </c>
      <c r="AC301" s="19">
        <v>1</v>
      </c>
      <c r="AD301" s="19">
        <v>1</v>
      </c>
      <c r="AE301" s="22"/>
      <c r="AF301" s="19">
        <v>1</v>
      </c>
      <c r="AG301" s="19">
        <v>1</v>
      </c>
      <c r="AH301" s="19">
        <v>1</v>
      </c>
      <c r="AI301" s="19">
        <v>1</v>
      </c>
      <c r="AJ301" s="19">
        <v>1</v>
      </c>
      <c r="AK301" s="19">
        <v>1</v>
      </c>
      <c r="AL301" s="22"/>
      <c r="AM301" s="19">
        <v>1</v>
      </c>
      <c r="AN301" s="19">
        <v>1</v>
      </c>
      <c r="AO301" s="19">
        <v>1</v>
      </c>
      <c r="AP301" s="19">
        <v>1</v>
      </c>
      <c r="AQ301" s="19">
        <v>1</v>
      </c>
      <c r="AR301" s="19">
        <v>1</v>
      </c>
      <c r="AS301" s="22"/>
      <c r="AT301" s="19">
        <v>1</v>
      </c>
      <c r="AU301" s="19">
        <v>1</v>
      </c>
      <c r="AV301" s="19">
        <v>1</v>
      </c>
      <c r="AW301" s="19">
        <v>1</v>
      </c>
      <c r="AX301" s="19">
        <f>SUM(T301:AW301)</f>
        <v>26</v>
      </c>
      <c r="AY301" s="20"/>
      <c r="AZ301" s="19"/>
      <c r="BA301" s="20"/>
      <c r="BB301" s="49"/>
    </row>
    <row r="302" spans="1:54" ht="13.5" customHeight="1" x14ac:dyDescent="0.2">
      <c r="A302" s="104" t="s">
        <v>762</v>
      </c>
      <c r="B302" s="86" t="s">
        <v>380</v>
      </c>
      <c r="C302" s="26">
        <v>1169</v>
      </c>
      <c r="D302" s="35" t="s">
        <v>387</v>
      </c>
      <c r="E302" s="26">
        <v>509</v>
      </c>
      <c r="F302" s="26" t="s">
        <v>2322</v>
      </c>
      <c r="G302" s="35" t="s">
        <v>1517</v>
      </c>
      <c r="H302" s="37">
        <v>1</v>
      </c>
      <c r="I302" s="37" t="s">
        <v>47</v>
      </c>
      <c r="J302" s="37">
        <v>1</v>
      </c>
      <c r="K302" s="26" t="s">
        <v>47</v>
      </c>
      <c r="L302" s="35" t="str">
        <f>VLOOKUP(Tabla411[[#This Row],[BTL CVE]],tblPDV[#All],13,0)</f>
        <v>MONTAGNER OLIVARES MIGUEL ANGEL</v>
      </c>
      <c r="M302" s="26" t="s">
        <v>536</v>
      </c>
      <c r="N302" s="26" t="s">
        <v>54</v>
      </c>
      <c r="O302" s="26" t="s">
        <v>49</v>
      </c>
      <c r="P302" s="26" t="s">
        <v>49</v>
      </c>
      <c r="Q302" s="26" t="s">
        <v>50</v>
      </c>
      <c r="R302" s="38">
        <v>46113</v>
      </c>
      <c r="S302" s="38">
        <v>46142</v>
      </c>
      <c r="T302" s="19">
        <v>1</v>
      </c>
      <c r="U302" s="19">
        <v>1</v>
      </c>
      <c r="V302" s="19">
        <v>1</v>
      </c>
      <c r="W302" s="19">
        <v>1</v>
      </c>
      <c r="X302" s="22"/>
      <c r="Y302" s="19">
        <v>1</v>
      </c>
      <c r="Z302" s="19">
        <v>1</v>
      </c>
      <c r="AA302" s="19">
        <v>1</v>
      </c>
      <c r="AB302" s="19">
        <v>1</v>
      </c>
      <c r="AC302" s="19">
        <v>1</v>
      </c>
      <c r="AD302" s="19">
        <v>1</v>
      </c>
      <c r="AE302" s="22"/>
      <c r="AF302" s="19">
        <v>1</v>
      </c>
      <c r="AG302" s="19">
        <v>1</v>
      </c>
      <c r="AH302" s="19">
        <v>1</v>
      </c>
      <c r="AI302" s="19">
        <v>1</v>
      </c>
      <c r="AJ302" s="19">
        <v>1</v>
      </c>
      <c r="AK302" s="19">
        <v>1</v>
      </c>
      <c r="AL302" s="22"/>
      <c r="AM302" s="19">
        <v>1</v>
      </c>
      <c r="AN302" s="19">
        <v>1</v>
      </c>
      <c r="AO302" s="19">
        <v>1</v>
      </c>
      <c r="AP302" s="19">
        <v>1</v>
      </c>
      <c r="AQ302" s="19">
        <v>1</v>
      </c>
      <c r="AR302" s="19">
        <v>1</v>
      </c>
      <c r="AS302" s="22"/>
      <c r="AT302" s="19">
        <v>1</v>
      </c>
      <c r="AU302" s="19">
        <v>1</v>
      </c>
      <c r="AV302" s="19">
        <v>1</v>
      </c>
      <c r="AW302" s="19">
        <v>1</v>
      </c>
      <c r="AX302" s="19">
        <f>SUM(T302:AW302)</f>
        <v>26</v>
      </c>
      <c r="AY302" s="20"/>
      <c r="AZ302" s="19"/>
      <c r="BA302" s="20"/>
      <c r="BB302" s="49" t="s">
        <v>1564</v>
      </c>
    </row>
    <row r="303" spans="1:54" ht="13.5" customHeight="1" x14ac:dyDescent="0.2">
      <c r="A303" s="104" t="s">
        <v>765</v>
      </c>
      <c r="B303" s="86" t="s">
        <v>380</v>
      </c>
      <c r="C303" s="26">
        <v>1226</v>
      </c>
      <c r="D303" s="35" t="s">
        <v>394</v>
      </c>
      <c r="E303" s="26">
        <v>502</v>
      </c>
      <c r="F303" s="26" t="s">
        <v>2316</v>
      </c>
      <c r="G303" s="35" t="s">
        <v>2370</v>
      </c>
      <c r="H303" s="37">
        <v>1</v>
      </c>
      <c r="I303" s="37" t="s">
        <v>47</v>
      </c>
      <c r="J303" s="37">
        <v>1</v>
      </c>
      <c r="K303" s="37" t="s">
        <v>47</v>
      </c>
      <c r="L303" s="35" t="str">
        <f>VLOOKUP(Tabla411[[#This Row],[BTL CVE]],tblPDV[#All],13,0)</f>
        <v xml:space="preserve">MONROY GONZALEZ MARIA ZENAIDA </v>
      </c>
      <c r="M303" s="26" t="s">
        <v>536</v>
      </c>
      <c r="N303" s="26" t="s">
        <v>54</v>
      </c>
      <c r="O303" s="26" t="s">
        <v>49</v>
      </c>
      <c r="P303" s="26" t="s">
        <v>49</v>
      </c>
      <c r="Q303" s="26" t="s">
        <v>50</v>
      </c>
      <c r="R303" s="38">
        <v>46113</v>
      </c>
      <c r="S303" s="38">
        <v>46142</v>
      </c>
      <c r="T303" s="19">
        <v>1</v>
      </c>
      <c r="U303" s="19">
        <v>1</v>
      </c>
      <c r="V303" s="19">
        <v>1</v>
      </c>
      <c r="W303" s="19">
        <v>1</v>
      </c>
      <c r="X303" s="22"/>
      <c r="Y303" s="19">
        <v>1</v>
      </c>
      <c r="Z303" s="19">
        <v>1</v>
      </c>
      <c r="AA303" s="19">
        <v>1</v>
      </c>
      <c r="AB303" s="19">
        <v>1</v>
      </c>
      <c r="AC303" s="19">
        <v>1</v>
      </c>
      <c r="AD303" s="19">
        <v>1</v>
      </c>
      <c r="AE303" s="22"/>
      <c r="AF303" s="19">
        <v>1</v>
      </c>
      <c r="AG303" s="19">
        <v>1</v>
      </c>
      <c r="AH303" s="19">
        <v>1</v>
      </c>
      <c r="AI303" s="19">
        <v>1</v>
      </c>
      <c r="AJ303" s="19">
        <v>1</v>
      </c>
      <c r="AK303" s="19">
        <v>1</v>
      </c>
      <c r="AL303" s="22"/>
      <c r="AM303" s="19">
        <v>1</v>
      </c>
      <c r="AN303" s="19">
        <v>1</v>
      </c>
      <c r="AO303" s="19">
        <v>1</v>
      </c>
      <c r="AP303" s="19">
        <v>1</v>
      </c>
      <c r="AQ303" s="19">
        <v>1</v>
      </c>
      <c r="AR303" s="19">
        <v>1</v>
      </c>
      <c r="AS303" s="22"/>
      <c r="AT303" s="19">
        <v>1</v>
      </c>
      <c r="AU303" s="19">
        <v>1</v>
      </c>
      <c r="AV303" s="19">
        <v>1</v>
      </c>
      <c r="AW303" s="19">
        <v>1</v>
      </c>
      <c r="AX303" s="19">
        <f>SUM(T303:AW303)</f>
        <v>26</v>
      </c>
      <c r="AY303" s="20"/>
      <c r="AZ303" s="19"/>
      <c r="BA303" s="20"/>
      <c r="BB303" s="49"/>
    </row>
    <row r="304" spans="1:54" ht="13.5" customHeight="1" x14ac:dyDescent="0.2">
      <c r="A304" s="104" t="s">
        <v>772</v>
      </c>
      <c r="B304" s="86" t="s">
        <v>395</v>
      </c>
      <c r="C304" s="26">
        <v>111</v>
      </c>
      <c r="D304" s="35" t="s">
        <v>540</v>
      </c>
      <c r="E304" s="26">
        <v>199</v>
      </c>
      <c r="F304" s="26" t="s">
        <v>2213</v>
      </c>
      <c r="G304" s="35" t="s">
        <v>2063</v>
      </c>
      <c r="H304" s="37">
        <v>0.5</v>
      </c>
      <c r="I304" s="37" t="s">
        <v>53</v>
      </c>
      <c r="J304" s="37">
        <v>0.5</v>
      </c>
      <c r="K304" s="37" t="s">
        <v>53</v>
      </c>
      <c r="L304" s="35" t="str">
        <f>VLOOKUP(Tabla411[[#This Row],[BTL CVE]],tblPDV[#All],13,0)</f>
        <v xml:space="preserve">BAUTISTA CORONA REYNA </v>
      </c>
      <c r="M304" s="26" t="s">
        <v>505</v>
      </c>
      <c r="N304" s="26" t="s">
        <v>54</v>
      </c>
      <c r="O304" s="26" t="s">
        <v>55</v>
      </c>
      <c r="P304" s="26" t="s">
        <v>55</v>
      </c>
      <c r="Q304" s="26" t="s">
        <v>50</v>
      </c>
      <c r="R304" s="38">
        <v>46113</v>
      </c>
      <c r="S304" s="38">
        <v>46142</v>
      </c>
      <c r="T304" s="19">
        <v>1</v>
      </c>
      <c r="U304" s="19"/>
      <c r="V304" s="19"/>
      <c r="W304" s="19"/>
      <c r="X304" s="22"/>
      <c r="Y304" s="19">
        <v>1</v>
      </c>
      <c r="Z304" s="19">
        <v>1</v>
      </c>
      <c r="AA304" s="19">
        <v>1</v>
      </c>
      <c r="AB304" s="19"/>
      <c r="AC304" s="19"/>
      <c r="AD304" s="19"/>
      <c r="AE304" s="22"/>
      <c r="AF304" s="19">
        <v>1</v>
      </c>
      <c r="AG304" s="19">
        <v>1</v>
      </c>
      <c r="AH304" s="19">
        <v>1</v>
      </c>
      <c r="AI304" s="19"/>
      <c r="AJ304" s="19"/>
      <c r="AK304" s="19"/>
      <c r="AL304" s="22"/>
      <c r="AM304" s="19">
        <v>1</v>
      </c>
      <c r="AN304" s="19">
        <v>1</v>
      </c>
      <c r="AO304" s="19">
        <v>1</v>
      </c>
      <c r="AP304" s="19"/>
      <c r="AQ304" s="19"/>
      <c r="AR304" s="19"/>
      <c r="AS304" s="22"/>
      <c r="AT304" s="19">
        <v>1</v>
      </c>
      <c r="AU304" s="19">
        <v>1</v>
      </c>
      <c r="AV304" s="19">
        <v>1</v>
      </c>
      <c r="AW304" s="19"/>
      <c r="AX304" s="19">
        <f>SUM(T304:AW304)</f>
        <v>13</v>
      </c>
      <c r="AY304" s="20"/>
      <c r="AZ304" s="19"/>
      <c r="BA304" s="20"/>
      <c r="BB304" s="49"/>
    </row>
    <row r="305" spans="1:54" ht="13.5" customHeight="1" x14ac:dyDescent="0.2">
      <c r="A305" s="104" t="s">
        <v>768</v>
      </c>
      <c r="B305" s="86" t="s">
        <v>395</v>
      </c>
      <c r="C305" s="26">
        <v>225</v>
      </c>
      <c r="D305" s="35" t="s">
        <v>384</v>
      </c>
      <c r="E305" s="26">
        <v>304</v>
      </c>
      <c r="F305" s="26" t="s">
        <v>2247</v>
      </c>
      <c r="G305" s="35" t="s">
        <v>2064</v>
      </c>
      <c r="H305" s="37">
        <v>1</v>
      </c>
      <c r="I305" s="37" t="s">
        <v>47</v>
      </c>
      <c r="J305" s="37">
        <v>1</v>
      </c>
      <c r="K305" s="26" t="s">
        <v>47</v>
      </c>
      <c r="L305" s="35" t="str">
        <f>VLOOKUP(Tabla411[[#This Row],[BTL CVE]],tblPDV[#All],13,0)</f>
        <v xml:space="preserve">CARREÑO MONREAL MARIA TERESA </v>
      </c>
      <c r="M305" s="26" t="s">
        <v>133</v>
      </c>
      <c r="N305" s="26" t="s">
        <v>1522</v>
      </c>
      <c r="O305" s="26" t="s">
        <v>49</v>
      </c>
      <c r="P305" s="26" t="s">
        <v>49</v>
      </c>
      <c r="Q305" s="26" t="s">
        <v>50</v>
      </c>
      <c r="R305" s="38">
        <v>46113</v>
      </c>
      <c r="S305" s="38">
        <v>46142</v>
      </c>
      <c r="T305" s="19">
        <v>1</v>
      </c>
      <c r="U305" s="19">
        <v>1</v>
      </c>
      <c r="V305" s="19">
        <v>1</v>
      </c>
      <c r="W305" s="19">
        <v>1</v>
      </c>
      <c r="X305" s="22"/>
      <c r="Y305" s="19">
        <v>1</v>
      </c>
      <c r="Z305" s="19">
        <v>1</v>
      </c>
      <c r="AA305" s="19">
        <v>1</v>
      </c>
      <c r="AB305" s="19">
        <v>1</v>
      </c>
      <c r="AC305" s="19">
        <v>1</v>
      </c>
      <c r="AD305" s="19">
        <v>1</v>
      </c>
      <c r="AE305" s="22"/>
      <c r="AF305" s="19">
        <v>1</v>
      </c>
      <c r="AG305" s="19">
        <v>1</v>
      </c>
      <c r="AH305" s="19">
        <v>1</v>
      </c>
      <c r="AI305" s="19">
        <v>1</v>
      </c>
      <c r="AJ305" s="19">
        <v>1</v>
      </c>
      <c r="AK305" s="19">
        <v>1</v>
      </c>
      <c r="AL305" s="22"/>
      <c r="AM305" s="19">
        <v>1</v>
      </c>
      <c r="AN305" s="19">
        <v>1</v>
      </c>
      <c r="AO305" s="19">
        <v>1</v>
      </c>
      <c r="AP305" s="19">
        <v>1</v>
      </c>
      <c r="AQ305" s="19">
        <v>1</v>
      </c>
      <c r="AR305" s="19">
        <v>1</v>
      </c>
      <c r="AS305" s="22"/>
      <c r="AT305" s="19">
        <v>1</v>
      </c>
      <c r="AU305" s="19">
        <v>1</v>
      </c>
      <c r="AV305" s="19">
        <v>1</v>
      </c>
      <c r="AW305" s="19">
        <v>1</v>
      </c>
      <c r="AX305" s="19">
        <f>SUM(T305:AW305)</f>
        <v>26</v>
      </c>
      <c r="AY305" s="20"/>
      <c r="AZ305" s="19"/>
      <c r="BA305" s="20"/>
      <c r="BB305" s="49"/>
    </row>
    <row r="306" spans="1:54" ht="13.5" customHeight="1" x14ac:dyDescent="0.2">
      <c r="A306" s="104" t="s">
        <v>769</v>
      </c>
      <c r="B306" s="86" t="s">
        <v>395</v>
      </c>
      <c r="C306" s="26">
        <v>103</v>
      </c>
      <c r="D306" s="35" t="s">
        <v>396</v>
      </c>
      <c r="E306" s="26">
        <v>285</v>
      </c>
      <c r="F306" s="26" t="s">
        <v>2239</v>
      </c>
      <c r="G306" s="35" t="s">
        <v>1518</v>
      </c>
      <c r="H306" s="37">
        <v>1</v>
      </c>
      <c r="I306" s="37" t="s">
        <v>47</v>
      </c>
      <c r="J306" s="37">
        <v>1</v>
      </c>
      <c r="K306" s="37" t="s">
        <v>47</v>
      </c>
      <c r="L306" s="35" t="str">
        <f>VLOOKUP(Tabla411[[#This Row],[BTL CVE]],tblPDV[#All],13,0)</f>
        <v>MONTAGNER OLIVARES MIGUEL ANGEL</v>
      </c>
      <c r="M306" s="26" t="s">
        <v>536</v>
      </c>
      <c r="N306" s="26" t="s">
        <v>54</v>
      </c>
      <c r="O306" s="26" t="s">
        <v>49</v>
      </c>
      <c r="P306" s="26" t="s">
        <v>49</v>
      </c>
      <c r="Q306" s="26" t="s">
        <v>50</v>
      </c>
      <c r="R306" s="38">
        <v>46113</v>
      </c>
      <c r="S306" s="38">
        <v>46142</v>
      </c>
      <c r="T306" s="19">
        <v>1</v>
      </c>
      <c r="U306" s="19">
        <v>1</v>
      </c>
      <c r="V306" s="19">
        <v>1</v>
      </c>
      <c r="W306" s="19">
        <v>1</v>
      </c>
      <c r="X306" s="22"/>
      <c r="Y306" s="19">
        <v>1</v>
      </c>
      <c r="Z306" s="19">
        <v>1</v>
      </c>
      <c r="AA306" s="19">
        <v>1</v>
      </c>
      <c r="AB306" s="19">
        <v>1</v>
      </c>
      <c r="AC306" s="19">
        <v>1</v>
      </c>
      <c r="AD306" s="19">
        <v>1</v>
      </c>
      <c r="AE306" s="22"/>
      <c r="AF306" s="19">
        <v>1</v>
      </c>
      <c r="AG306" s="19">
        <v>1</v>
      </c>
      <c r="AH306" s="19">
        <v>1</v>
      </c>
      <c r="AI306" s="19">
        <v>1</v>
      </c>
      <c r="AJ306" s="19">
        <v>1</v>
      </c>
      <c r="AK306" s="19">
        <v>1</v>
      </c>
      <c r="AL306" s="22"/>
      <c r="AM306" s="19">
        <v>1</v>
      </c>
      <c r="AN306" s="19">
        <v>1</v>
      </c>
      <c r="AO306" s="19">
        <v>1</v>
      </c>
      <c r="AP306" s="19">
        <v>1</v>
      </c>
      <c r="AQ306" s="19">
        <v>1</v>
      </c>
      <c r="AR306" s="19">
        <v>1</v>
      </c>
      <c r="AS306" s="22"/>
      <c r="AT306" s="19">
        <v>1</v>
      </c>
      <c r="AU306" s="19">
        <v>1</v>
      </c>
      <c r="AV306" s="19">
        <v>1</v>
      </c>
      <c r="AW306" s="19">
        <v>1</v>
      </c>
      <c r="AX306" s="19">
        <f>SUM(T306:AW306)</f>
        <v>26</v>
      </c>
      <c r="AY306" s="20"/>
      <c r="AZ306" s="19"/>
      <c r="BA306" s="20"/>
      <c r="BB306" s="49"/>
    </row>
    <row r="307" spans="1:54" ht="13.5" customHeight="1" x14ac:dyDescent="0.2">
      <c r="A307" s="104" t="s">
        <v>770</v>
      </c>
      <c r="B307" s="105" t="s">
        <v>395</v>
      </c>
      <c r="C307" s="26">
        <v>249</v>
      </c>
      <c r="D307" s="35" t="s">
        <v>397</v>
      </c>
      <c r="E307" s="26">
        <v>410</v>
      </c>
      <c r="F307" s="26" t="s">
        <v>2276</v>
      </c>
      <c r="G307" s="35" t="s">
        <v>398</v>
      </c>
      <c r="H307" s="37">
        <v>1</v>
      </c>
      <c r="I307" s="37" t="s">
        <v>47</v>
      </c>
      <c r="J307" s="37">
        <v>1</v>
      </c>
      <c r="K307" s="37" t="s">
        <v>47</v>
      </c>
      <c r="L307" s="35" t="str">
        <f>VLOOKUP(Tabla411[[#This Row],[BTL CVE]],tblPDV[#All],13,0)</f>
        <v xml:space="preserve">CARREÑO MONREAL MARIA TERESA </v>
      </c>
      <c r="M307" s="26" t="s">
        <v>128</v>
      </c>
      <c r="N307" s="26" t="s">
        <v>54</v>
      </c>
      <c r="O307" s="26" t="s">
        <v>49</v>
      </c>
      <c r="P307" s="26" t="s">
        <v>49</v>
      </c>
      <c r="Q307" s="26" t="s">
        <v>50</v>
      </c>
      <c r="R307" s="38">
        <v>46113</v>
      </c>
      <c r="S307" s="38">
        <v>46142</v>
      </c>
      <c r="T307" s="19">
        <v>1</v>
      </c>
      <c r="U307" s="19">
        <v>1</v>
      </c>
      <c r="V307" s="19">
        <v>1</v>
      </c>
      <c r="W307" s="19">
        <v>1</v>
      </c>
      <c r="X307" s="22"/>
      <c r="Y307" s="19">
        <v>1</v>
      </c>
      <c r="Z307" s="19">
        <v>1</v>
      </c>
      <c r="AA307" s="19">
        <v>1</v>
      </c>
      <c r="AB307" s="19">
        <v>1</v>
      </c>
      <c r="AC307" s="19">
        <v>1</v>
      </c>
      <c r="AD307" s="19">
        <v>1</v>
      </c>
      <c r="AE307" s="22"/>
      <c r="AF307" s="19">
        <v>1</v>
      </c>
      <c r="AG307" s="19">
        <v>1</v>
      </c>
      <c r="AH307" s="19">
        <v>1</v>
      </c>
      <c r="AI307" s="19">
        <v>1</v>
      </c>
      <c r="AJ307" s="19">
        <v>1</v>
      </c>
      <c r="AK307" s="19">
        <v>1</v>
      </c>
      <c r="AL307" s="22"/>
      <c r="AM307" s="19">
        <v>1</v>
      </c>
      <c r="AN307" s="19">
        <v>1</v>
      </c>
      <c r="AO307" s="19">
        <v>1</v>
      </c>
      <c r="AP307" s="19">
        <v>1</v>
      </c>
      <c r="AQ307" s="19">
        <v>1</v>
      </c>
      <c r="AR307" s="19">
        <v>1</v>
      </c>
      <c r="AS307" s="22"/>
      <c r="AT307" s="19">
        <v>1</v>
      </c>
      <c r="AU307" s="19">
        <v>1</v>
      </c>
      <c r="AV307" s="19">
        <v>1</v>
      </c>
      <c r="AW307" s="19">
        <v>1</v>
      </c>
      <c r="AX307" s="19">
        <f>SUM(T307:AW307)</f>
        <v>26</v>
      </c>
      <c r="AY307" s="20"/>
      <c r="AZ307" s="19"/>
      <c r="BA307" s="20"/>
      <c r="BB307" s="49"/>
    </row>
    <row r="308" spans="1:54" ht="13.5" customHeight="1" x14ac:dyDescent="0.2">
      <c r="A308" s="104" t="s">
        <v>777</v>
      </c>
      <c r="B308" s="105" t="s">
        <v>395</v>
      </c>
      <c r="C308" s="26">
        <v>215</v>
      </c>
      <c r="D308" s="35" t="s">
        <v>456</v>
      </c>
      <c r="E308" s="26">
        <v>161</v>
      </c>
      <c r="F308" s="26" t="s">
        <v>2198</v>
      </c>
      <c r="G308" s="35" t="s">
        <v>2019</v>
      </c>
      <c r="H308" s="37">
        <v>1</v>
      </c>
      <c r="I308" s="37" t="s">
        <v>47</v>
      </c>
      <c r="J308" s="37">
        <v>1</v>
      </c>
      <c r="K308" s="37" t="s">
        <v>47</v>
      </c>
      <c r="L308" s="35" t="str">
        <f>VLOOKUP(Tabla411[[#This Row],[BTL CVE]],tblPDV[#All],13,0)</f>
        <v>FLORES SALDAÑA JAVIER</v>
      </c>
      <c r="M308" s="26" t="s">
        <v>108</v>
      </c>
      <c r="N308" s="26" t="s">
        <v>54</v>
      </c>
      <c r="O308" s="26" t="s">
        <v>49</v>
      </c>
      <c r="P308" s="26" t="s">
        <v>49</v>
      </c>
      <c r="Q308" s="26" t="s">
        <v>50</v>
      </c>
      <c r="R308" s="38">
        <v>46113</v>
      </c>
      <c r="S308" s="38">
        <v>46142</v>
      </c>
      <c r="T308" s="19">
        <v>1</v>
      </c>
      <c r="U308" s="19">
        <v>1</v>
      </c>
      <c r="V308" s="19">
        <v>1</v>
      </c>
      <c r="W308" s="19">
        <v>1</v>
      </c>
      <c r="X308" s="22"/>
      <c r="Y308" s="19">
        <v>1</v>
      </c>
      <c r="Z308" s="19">
        <v>1</v>
      </c>
      <c r="AA308" s="19">
        <v>1</v>
      </c>
      <c r="AB308" s="19">
        <v>1</v>
      </c>
      <c r="AC308" s="19">
        <v>1</v>
      </c>
      <c r="AD308" s="19">
        <v>1</v>
      </c>
      <c r="AE308" s="22"/>
      <c r="AF308" s="19">
        <v>1</v>
      </c>
      <c r="AG308" s="19">
        <v>1</v>
      </c>
      <c r="AH308" s="19">
        <v>1</v>
      </c>
      <c r="AI308" s="19">
        <v>1</v>
      </c>
      <c r="AJ308" s="19">
        <v>1</v>
      </c>
      <c r="AK308" s="19">
        <v>1</v>
      </c>
      <c r="AL308" s="22"/>
      <c r="AM308" s="19">
        <v>1</v>
      </c>
      <c r="AN308" s="19">
        <v>1</v>
      </c>
      <c r="AO308" s="19">
        <v>1</v>
      </c>
      <c r="AP308" s="19">
        <v>1</v>
      </c>
      <c r="AQ308" s="19">
        <v>1</v>
      </c>
      <c r="AR308" s="19">
        <v>1</v>
      </c>
      <c r="AS308" s="22"/>
      <c r="AT308" s="19">
        <v>1</v>
      </c>
      <c r="AU308" s="19">
        <v>1</v>
      </c>
      <c r="AV308" s="19">
        <v>1</v>
      </c>
      <c r="AW308" s="19">
        <v>1</v>
      </c>
      <c r="AX308" s="19">
        <f>SUM(T308:AW308)</f>
        <v>26</v>
      </c>
      <c r="AY308" s="20"/>
      <c r="AZ308" s="19"/>
      <c r="BA308" s="20"/>
      <c r="BB308" s="49"/>
    </row>
    <row r="309" spans="1:54" ht="15" customHeight="1" x14ac:dyDescent="0.2">
      <c r="A309" s="104" t="s">
        <v>771</v>
      </c>
      <c r="B309" s="86" t="s">
        <v>395</v>
      </c>
      <c r="C309" s="26">
        <v>105</v>
      </c>
      <c r="D309" s="35" t="s">
        <v>383</v>
      </c>
      <c r="E309" s="26">
        <v>506</v>
      </c>
      <c r="F309" s="26" t="s">
        <v>2320</v>
      </c>
      <c r="G309" s="35" t="s">
        <v>2065</v>
      </c>
      <c r="H309" s="37">
        <v>1</v>
      </c>
      <c r="I309" s="37" t="s">
        <v>47</v>
      </c>
      <c r="J309" s="37">
        <v>1</v>
      </c>
      <c r="K309" s="37" t="s">
        <v>47</v>
      </c>
      <c r="L309" s="35" t="str">
        <f>VLOOKUP(Tabla411[[#This Row],[BTL CVE]],tblPDV[#All],13,0)</f>
        <v xml:space="preserve">CHAVEZ RAMOS  JONATAN RAYMUNDO </v>
      </c>
      <c r="M309" s="26" t="s">
        <v>536</v>
      </c>
      <c r="N309" s="26" t="s">
        <v>54</v>
      </c>
      <c r="O309" s="26" t="s">
        <v>49</v>
      </c>
      <c r="P309" s="26" t="s">
        <v>49</v>
      </c>
      <c r="Q309" s="26" t="s">
        <v>50</v>
      </c>
      <c r="R309" s="38">
        <v>46113</v>
      </c>
      <c r="S309" s="38">
        <v>46142</v>
      </c>
      <c r="T309" s="19">
        <v>1</v>
      </c>
      <c r="U309" s="19">
        <v>1</v>
      </c>
      <c r="V309" s="19">
        <v>1</v>
      </c>
      <c r="W309" s="19">
        <v>1</v>
      </c>
      <c r="X309" s="22"/>
      <c r="Y309" s="19">
        <v>1</v>
      </c>
      <c r="Z309" s="19">
        <v>1</v>
      </c>
      <c r="AA309" s="19">
        <v>1</v>
      </c>
      <c r="AB309" s="19">
        <v>1</v>
      </c>
      <c r="AC309" s="19">
        <v>1</v>
      </c>
      <c r="AD309" s="19">
        <v>1</v>
      </c>
      <c r="AE309" s="22"/>
      <c r="AF309" s="19">
        <v>1</v>
      </c>
      <c r="AG309" s="19">
        <v>1</v>
      </c>
      <c r="AH309" s="19">
        <v>1</v>
      </c>
      <c r="AI309" s="19">
        <v>1</v>
      </c>
      <c r="AJ309" s="19">
        <v>1</v>
      </c>
      <c r="AK309" s="19">
        <v>1</v>
      </c>
      <c r="AL309" s="22"/>
      <c r="AM309" s="19">
        <v>1</v>
      </c>
      <c r="AN309" s="19">
        <v>1</v>
      </c>
      <c r="AO309" s="19">
        <v>1</v>
      </c>
      <c r="AP309" s="19">
        <v>1</v>
      </c>
      <c r="AQ309" s="19">
        <v>1</v>
      </c>
      <c r="AR309" s="19">
        <v>1</v>
      </c>
      <c r="AS309" s="22"/>
      <c r="AT309" s="19">
        <v>1</v>
      </c>
      <c r="AU309" s="19">
        <v>1</v>
      </c>
      <c r="AV309" s="19">
        <v>1</v>
      </c>
      <c r="AW309" s="19">
        <v>1</v>
      </c>
      <c r="AX309" s="19">
        <f>SUM(T309:AW309)</f>
        <v>26</v>
      </c>
      <c r="AY309" s="20"/>
      <c r="AZ309" s="19"/>
      <c r="BA309" s="20"/>
      <c r="BB309" s="49"/>
    </row>
    <row r="310" spans="1:54" ht="15" customHeight="1" x14ac:dyDescent="0.2">
      <c r="A310" s="104" t="s">
        <v>774</v>
      </c>
      <c r="B310" s="86" t="s">
        <v>395</v>
      </c>
      <c r="C310" s="26">
        <v>247</v>
      </c>
      <c r="D310" s="35" t="s">
        <v>400</v>
      </c>
      <c r="E310" s="26">
        <v>288</v>
      </c>
      <c r="F310" s="26" t="s">
        <v>2242</v>
      </c>
      <c r="G310" s="35" t="s">
        <v>2066</v>
      </c>
      <c r="H310" s="37">
        <v>1</v>
      </c>
      <c r="I310" s="37" t="s">
        <v>47</v>
      </c>
      <c r="J310" s="37">
        <v>1</v>
      </c>
      <c r="K310" s="37" t="s">
        <v>47</v>
      </c>
      <c r="L310" s="35" t="str">
        <f>VLOOKUP(Tabla411[[#This Row],[BTL CVE]],tblPDV[#All],13,0)</f>
        <v xml:space="preserve">AVILA BELTRAN GLORIA MARIBEL </v>
      </c>
      <c r="M310" s="26" t="s">
        <v>117</v>
      </c>
      <c r="N310" s="26" t="s">
        <v>1524</v>
      </c>
      <c r="O310" s="26" t="s">
        <v>49</v>
      </c>
      <c r="P310" s="26" t="s">
        <v>49</v>
      </c>
      <c r="Q310" s="26" t="s">
        <v>50</v>
      </c>
      <c r="R310" s="38">
        <v>46113</v>
      </c>
      <c r="S310" s="38">
        <v>46142</v>
      </c>
      <c r="T310" s="19">
        <v>1</v>
      </c>
      <c r="U310" s="19">
        <v>1</v>
      </c>
      <c r="V310" s="19">
        <v>1</v>
      </c>
      <c r="W310" s="19">
        <v>1</v>
      </c>
      <c r="X310" s="22"/>
      <c r="Y310" s="19">
        <v>1</v>
      </c>
      <c r="Z310" s="19">
        <v>1</v>
      </c>
      <c r="AA310" s="19">
        <v>1</v>
      </c>
      <c r="AB310" s="19">
        <v>1</v>
      </c>
      <c r="AC310" s="19">
        <v>1</v>
      </c>
      <c r="AD310" s="19">
        <v>1</v>
      </c>
      <c r="AE310" s="22"/>
      <c r="AF310" s="19">
        <v>1</v>
      </c>
      <c r="AG310" s="19">
        <v>1</v>
      </c>
      <c r="AH310" s="19">
        <v>1</v>
      </c>
      <c r="AI310" s="19">
        <v>1</v>
      </c>
      <c r="AJ310" s="19">
        <v>1</v>
      </c>
      <c r="AK310" s="19">
        <v>1</v>
      </c>
      <c r="AL310" s="22"/>
      <c r="AM310" s="19">
        <v>1</v>
      </c>
      <c r="AN310" s="19">
        <v>1</v>
      </c>
      <c r="AO310" s="19">
        <v>1</v>
      </c>
      <c r="AP310" s="19">
        <v>1</v>
      </c>
      <c r="AQ310" s="19">
        <v>1</v>
      </c>
      <c r="AR310" s="19">
        <v>1</v>
      </c>
      <c r="AS310" s="22"/>
      <c r="AT310" s="19">
        <v>1</v>
      </c>
      <c r="AU310" s="19">
        <v>1</v>
      </c>
      <c r="AV310" s="19">
        <v>1</v>
      </c>
      <c r="AW310" s="19">
        <v>1</v>
      </c>
      <c r="AX310" s="19">
        <f>SUM(T310:AW310)</f>
        <v>26</v>
      </c>
      <c r="AY310" s="20"/>
      <c r="AZ310" s="19"/>
      <c r="BA310" s="20"/>
      <c r="BB310" s="49"/>
    </row>
    <row r="311" spans="1:54" ht="15" customHeight="1" x14ac:dyDescent="0.2">
      <c r="A311" s="104" t="s">
        <v>773</v>
      </c>
      <c r="B311" s="105" t="s">
        <v>395</v>
      </c>
      <c r="C311" s="26">
        <v>106</v>
      </c>
      <c r="D311" s="35" t="s">
        <v>399</v>
      </c>
      <c r="E311" s="26">
        <v>544</v>
      </c>
      <c r="F311" s="26" t="s">
        <v>2334</v>
      </c>
      <c r="G311" s="35" t="s">
        <v>1534</v>
      </c>
      <c r="H311" s="37">
        <v>1</v>
      </c>
      <c r="I311" s="37" t="s">
        <v>47</v>
      </c>
      <c r="J311" s="37">
        <v>1</v>
      </c>
      <c r="K311" s="26" t="s">
        <v>47</v>
      </c>
      <c r="L311" s="35" t="str">
        <f>VLOOKUP(Tabla411[[#This Row],[BTL CVE]],tblPDV[#All],13,0)</f>
        <v xml:space="preserve">MONROY GONZALEZ MARIA ZENAIDA </v>
      </c>
      <c r="M311" s="26" t="s">
        <v>536</v>
      </c>
      <c r="N311" s="26" t="s">
        <v>54</v>
      </c>
      <c r="O311" s="26" t="s">
        <v>49</v>
      </c>
      <c r="P311" s="26" t="s">
        <v>49</v>
      </c>
      <c r="Q311" s="26" t="s">
        <v>50</v>
      </c>
      <c r="R311" s="38">
        <v>46113</v>
      </c>
      <c r="S311" s="38">
        <v>46142</v>
      </c>
      <c r="T311" s="19">
        <v>1</v>
      </c>
      <c r="U311" s="19">
        <v>1</v>
      </c>
      <c r="V311" s="19">
        <v>1</v>
      </c>
      <c r="W311" s="19">
        <v>1</v>
      </c>
      <c r="X311" s="22"/>
      <c r="Y311" s="19">
        <v>1</v>
      </c>
      <c r="Z311" s="19">
        <v>1</v>
      </c>
      <c r="AA311" s="19">
        <v>1</v>
      </c>
      <c r="AB311" s="19">
        <v>1</v>
      </c>
      <c r="AC311" s="19">
        <v>1</v>
      </c>
      <c r="AD311" s="19">
        <v>1</v>
      </c>
      <c r="AE311" s="22"/>
      <c r="AF311" s="19">
        <v>1</v>
      </c>
      <c r="AG311" s="19">
        <v>1</v>
      </c>
      <c r="AH311" s="19">
        <v>1</v>
      </c>
      <c r="AI311" s="19">
        <v>1</v>
      </c>
      <c r="AJ311" s="19">
        <v>1</v>
      </c>
      <c r="AK311" s="19">
        <v>1</v>
      </c>
      <c r="AL311" s="22"/>
      <c r="AM311" s="19">
        <v>1</v>
      </c>
      <c r="AN311" s="19">
        <v>1</v>
      </c>
      <c r="AO311" s="19">
        <v>1</v>
      </c>
      <c r="AP311" s="19">
        <v>1</v>
      </c>
      <c r="AQ311" s="19">
        <v>1</v>
      </c>
      <c r="AR311" s="19">
        <v>1</v>
      </c>
      <c r="AS311" s="22"/>
      <c r="AT311" s="19">
        <v>1</v>
      </c>
      <c r="AU311" s="19">
        <v>1</v>
      </c>
      <c r="AV311" s="19">
        <v>1</v>
      </c>
      <c r="AW311" s="19">
        <v>1</v>
      </c>
      <c r="AX311" s="19">
        <f>SUM(T311:AW311)</f>
        <v>26</v>
      </c>
      <c r="AY311" s="20"/>
      <c r="AZ311" s="19"/>
      <c r="BA311" s="20"/>
      <c r="BB311" s="49"/>
    </row>
    <row r="312" spans="1:54" ht="15" customHeight="1" x14ac:dyDescent="0.2">
      <c r="A312" s="121" t="s">
        <v>772</v>
      </c>
      <c r="B312" s="112" t="s">
        <v>395</v>
      </c>
      <c r="C312" s="88">
        <v>111</v>
      </c>
      <c r="D312" s="89" t="s">
        <v>540</v>
      </c>
      <c r="E312" s="90">
        <v>208</v>
      </c>
      <c r="F312" s="90" t="s">
        <v>2216</v>
      </c>
      <c r="G312" s="87" t="s">
        <v>2026</v>
      </c>
      <c r="H312" s="37"/>
      <c r="I312" s="37"/>
      <c r="J312" s="37">
        <v>0.5</v>
      </c>
      <c r="K312" s="37" t="s">
        <v>53</v>
      </c>
      <c r="L312" s="91" t="str">
        <f>VLOOKUP(Tabla411[[#This Row],[BTL CVE]],tblPDV[#All],13,0)</f>
        <v xml:space="preserve">BAUTISTA CORONA REYNA </v>
      </c>
      <c r="M312" s="26" t="s">
        <v>505</v>
      </c>
      <c r="N312" s="26" t="s">
        <v>54</v>
      </c>
      <c r="O312" s="26" t="s">
        <v>55</v>
      </c>
      <c r="P312" s="26" t="s">
        <v>49</v>
      </c>
      <c r="Q312" s="26" t="s">
        <v>50</v>
      </c>
      <c r="R312" s="93">
        <v>46113</v>
      </c>
      <c r="S312" s="93">
        <v>46142</v>
      </c>
      <c r="T312" s="94">
        <v>1</v>
      </c>
      <c r="U312" s="94">
        <v>1</v>
      </c>
      <c r="V312" s="94">
        <v>1</v>
      </c>
      <c r="W312" s="94">
        <v>1</v>
      </c>
      <c r="X312" s="22"/>
      <c r="Y312" s="94">
        <v>1</v>
      </c>
      <c r="Z312" s="94">
        <v>1</v>
      </c>
      <c r="AA312" s="94">
        <v>1</v>
      </c>
      <c r="AB312" s="94">
        <v>1</v>
      </c>
      <c r="AC312" s="94">
        <v>1</v>
      </c>
      <c r="AD312" s="94">
        <v>1</v>
      </c>
      <c r="AE312" s="22"/>
      <c r="AF312" s="94">
        <v>1</v>
      </c>
      <c r="AG312" s="94">
        <v>1</v>
      </c>
      <c r="AH312" s="94">
        <v>1</v>
      </c>
      <c r="AI312" s="94">
        <v>1</v>
      </c>
      <c r="AJ312" s="94">
        <v>1</v>
      </c>
      <c r="AK312" s="94">
        <v>1</v>
      </c>
      <c r="AL312" s="22"/>
      <c r="AM312" s="94">
        <v>1</v>
      </c>
      <c r="AN312" s="94">
        <v>1</v>
      </c>
      <c r="AO312" s="94">
        <v>1</v>
      </c>
      <c r="AP312" s="94">
        <v>1</v>
      </c>
      <c r="AQ312" s="94">
        <v>1</v>
      </c>
      <c r="AR312" s="94">
        <v>1</v>
      </c>
      <c r="AS312" s="22"/>
      <c r="AT312" s="94">
        <v>1</v>
      </c>
      <c r="AU312" s="94">
        <v>1</v>
      </c>
      <c r="AV312" s="94">
        <v>1</v>
      </c>
      <c r="AW312" s="94">
        <v>1</v>
      </c>
      <c r="AX312" s="95">
        <f>SUM(T312:AW312)</f>
        <v>26</v>
      </c>
      <c r="AY312" s="20"/>
      <c r="AZ312" s="96"/>
      <c r="BA312" s="20"/>
      <c r="BB312" s="97" t="s">
        <v>2385</v>
      </c>
    </row>
    <row r="313" spans="1:54" ht="15" customHeight="1" x14ac:dyDescent="0.2">
      <c r="A313" s="104" t="s">
        <v>775</v>
      </c>
      <c r="B313" s="86" t="s">
        <v>395</v>
      </c>
      <c r="C313" s="26">
        <v>51</v>
      </c>
      <c r="D313" s="35" t="s">
        <v>401</v>
      </c>
      <c r="E313" s="26">
        <v>371</v>
      </c>
      <c r="F313" s="26" t="s">
        <v>2268</v>
      </c>
      <c r="G313" s="35" t="s">
        <v>402</v>
      </c>
      <c r="H313" s="37">
        <v>1</v>
      </c>
      <c r="I313" s="37" t="s">
        <v>47</v>
      </c>
      <c r="J313" s="37">
        <v>1</v>
      </c>
      <c r="K313" s="37" t="s">
        <v>47</v>
      </c>
      <c r="L313" s="35" t="str">
        <f>VLOOKUP(Tabla411[[#This Row],[BTL CVE]],tblPDV[#All],13,0)</f>
        <v xml:space="preserve">LOPEZ GUTIERREZ LUZ EVELIA </v>
      </c>
      <c r="M313" s="26" t="s">
        <v>391</v>
      </c>
      <c r="N313" s="26" t="s">
        <v>54</v>
      </c>
      <c r="O313" s="26" t="s">
        <v>49</v>
      </c>
      <c r="P313" s="26" t="s">
        <v>49</v>
      </c>
      <c r="Q313" s="26" t="s">
        <v>50</v>
      </c>
      <c r="R313" s="38">
        <v>46113</v>
      </c>
      <c r="S313" s="38">
        <v>46142</v>
      </c>
      <c r="T313" s="19">
        <v>1</v>
      </c>
      <c r="U313" s="19">
        <v>1</v>
      </c>
      <c r="V313" s="19">
        <v>1</v>
      </c>
      <c r="W313" s="19">
        <v>1</v>
      </c>
      <c r="X313" s="22"/>
      <c r="Y313" s="19">
        <v>1</v>
      </c>
      <c r="Z313" s="19">
        <v>1</v>
      </c>
      <c r="AA313" s="19">
        <v>1</v>
      </c>
      <c r="AB313" s="19">
        <v>1</v>
      </c>
      <c r="AC313" s="19">
        <v>1</v>
      </c>
      <c r="AD313" s="19">
        <v>1</v>
      </c>
      <c r="AE313" s="22"/>
      <c r="AF313" s="19">
        <v>1</v>
      </c>
      <c r="AG313" s="19">
        <v>1</v>
      </c>
      <c r="AH313" s="19">
        <v>1</v>
      </c>
      <c r="AI313" s="19">
        <v>1</v>
      </c>
      <c r="AJ313" s="19">
        <v>1</v>
      </c>
      <c r="AK313" s="19">
        <v>1</v>
      </c>
      <c r="AL313" s="22"/>
      <c r="AM313" s="19">
        <v>1</v>
      </c>
      <c r="AN313" s="19">
        <v>1</v>
      </c>
      <c r="AO313" s="19">
        <v>1</v>
      </c>
      <c r="AP313" s="19">
        <v>1</v>
      </c>
      <c r="AQ313" s="19">
        <v>1</v>
      </c>
      <c r="AR313" s="19">
        <v>1</v>
      </c>
      <c r="AS313" s="22"/>
      <c r="AT313" s="19">
        <v>1</v>
      </c>
      <c r="AU313" s="19">
        <v>1</v>
      </c>
      <c r="AV313" s="19">
        <v>1</v>
      </c>
      <c r="AW313" s="19">
        <v>1</v>
      </c>
      <c r="AX313" s="19">
        <f>SUM(T313:AW313)</f>
        <v>26</v>
      </c>
      <c r="AY313" s="20"/>
      <c r="AZ313" s="19"/>
      <c r="BA313" s="20"/>
      <c r="BB313" s="49"/>
    </row>
    <row r="314" spans="1:54" ht="15" customHeight="1" x14ac:dyDescent="0.2">
      <c r="A314" s="104" t="s">
        <v>776</v>
      </c>
      <c r="B314" s="86" t="s">
        <v>395</v>
      </c>
      <c r="C314" s="26">
        <v>226</v>
      </c>
      <c r="D314" s="35" t="s">
        <v>450</v>
      </c>
      <c r="E314" s="26"/>
      <c r="F314" s="26"/>
      <c r="G314" s="35" t="s">
        <v>2098</v>
      </c>
      <c r="H314" s="37">
        <v>1</v>
      </c>
      <c r="I314" s="37" t="s">
        <v>47</v>
      </c>
      <c r="J314" s="37">
        <v>1</v>
      </c>
      <c r="K314" s="37" t="s">
        <v>47</v>
      </c>
      <c r="L314" s="35" t="str">
        <f>VLOOKUP(Tabla411[[#This Row],[BTL CVE]],tblPDV[#All],13,0)</f>
        <v xml:space="preserve">GUTIERREZ ROMERO MARUJA BETTY </v>
      </c>
      <c r="M314" s="26" t="s">
        <v>502</v>
      </c>
      <c r="N314" s="26" t="s">
        <v>54</v>
      </c>
      <c r="O314" s="26" t="s">
        <v>49</v>
      </c>
      <c r="P314" s="26" t="s">
        <v>49</v>
      </c>
      <c r="Q314" s="26" t="s">
        <v>50</v>
      </c>
      <c r="R314" s="38">
        <v>46113</v>
      </c>
      <c r="S314" s="38">
        <v>46142</v>
      </c>
      <c r="T314" s="19">
        <v>1</v>
      </c>
      <c r="U314" s="19">
        <v>1</v>
      </c>
      <c r="V314" s="19">
        <v>1</v>
      </c>
      <c r="W314" s="19">
        <v>1</v>
      </c>
      <c r="X314" s="22"/>
      <c r="Y314" s="19">
        <v>1</v>
      </c>
      <c r="Z314" s="19">
        <v>1</v>
      </c>
      <c r="AA314" s="19">
        <v>1</v>
      </c>
      <c r="AB314" s="19">
        <v>1</v>
      </c>
      <c r="AC314" s="19">
        <v>1</v>
      </c>
      <c r="AD314" s="19">
        <v>1</v>
      </c>
      <c r="AE314" s="22"/>
      <c r="AF314" s="19">
        <v>1</v>
      </c>
      <c r="AG314" s="19">
        <v>1</v>
      </c>
      <c r="AH314" s="19">
        <v>1</v>
      </c>
      <c r="AI314" s="19">
        <v>1</v>
      </c>
      <c r="AJ314" s="19">
        <v>1</v>
      </c>
      <c r="AK314" s="19">
        <v>1</v>
      </c>
      <c r="AL314" s="22"/>
      <c r="AM314" s="19">
        <v>1</v>
      </c>
      <c r="AN314" s="19">
        <v>1</v>
      </c>
      <c r="AO314" s="19">
        <v>1</v>
      </c>
      <c r="AP314" s="19">
        <v>1</v>
      </c>
      <c r="AQ314" s="19">
        <v>1</v>
      </c>
      <c r="AR314" s="19">
        <v>1</v>
      </c>
      <c r="AS314" s="22"/>
      <c r="AT314" s="19">
        <v>1</v>
      </c>
      <c r="AU314" s="19">
        <v>1</v>
      </c>
      <c r="AV314" s="19">
        <v>1</v>
      </c>
      <c r="AW314" s="19">
        <v>1</v>
      </c>
      <c r="AX314" s="19">
        <f>SUM(T314:AW314)</f>
        <v>26</v>
      </c>
      <c r="AY314" s="20"/>
      <c r="AZ314" s="19"/>
      <c r="BA314" s="20"/>
      <c r="BB314" s="49"/>
    </row>
    <row r="315" spans="1:54" ht="15" customHeight="1" x14ac:dyDescent="0.2">
      <c r="A315" s="106" t="s">
        <v>819</v>
      </c>
      <c r="B315" s="108" t="s">
        <v>403</v>
      </c>
      <c r="C315" s="45">
        <v>1813</v>
      </c>
      <c r="D315" s="46" t="s">
        <v>404</v>
      </c>
      <c r="E315" s="45">
        <v>125</v>
      </c>
      <c r="F315" s="45" t="s">
        <v>2181</v>
      </c>
      <c r="G315" s="35" t="s">
        <v>2067</v>
      </c>
      <c r="H315" s="51">
        <v>1</v>
      </c>
      <c r="I315" s="37" t="s">
        <v>47</v>
      </c>
      <c r="J315" s="51">
        <v>1</v>
      </c>
      <c r="K315" s="51" t="s">
        <v>47</v>
      </c>
      <c r="L315" s="46" t="str">
        <f>VLOOKUP(Tabla411[[#This Row],[BTL CVE]],tblPDV[#All],13,0)</f>
        <v xml:space="preserve">MONROY GONZALEZ MARIA ZENAIDA </v>
      </c>
      <c r="M315" s="45" t="s">
        <v>536</v>
      </c>
      <c r="N315" s="45" t="s">
        <v>54</v>
      </c>
      <c r="O315" s="45" t="s">
        <v>49</v>
      </c>
      <c r="P315" s="45" t="s">
        <v>49</v>
      </c>
      <c r="Q315" s="45" t="s">
        <v>50</v>
      </c>
      <c r="R315" s="38">
        <v>46113</v>
      </c>
      <c r="S315" s="38">
        <v>46142</v>
      </c>
      <c r="T315" s="19">
        <v>1</v>
      </c>
      <c r="U315" s="19">
        <v>1</v>
      </c>
      <c r="V315" s="19">
        <v>1</v>
      </c>
      <c r="W315" s="19">
        <v>1</v>
      </c>
      <c r="X315" s="22"/>
      <c r="Y315" s="19">
        <v>1</v>
      </c>
      <c r="Z315" s="19">
        <v>1</v>
      </c>
      <c r="AA315" s="19">
        <v>1</v>
      </c>
      <c r="AB315" s="19">
        <v>1</v>
      </c>
      <c r="AC315" s="19">
        <v>1</v>
      </c>
      <c r="AD315" s="19">
        <v>1</v>
      </c>
      <c r="AE315" s="22"/>
      <c r="AF315" s="19">
        <v>1</v>
      </c>
      <c r="AG315" s="19">
        <v>1</v>
      </c>
      <c r="AH315" s="19">
        <v>1</v>
      </c>
      <c r="AI315" s="19">
        <v>1</v>
      </c>
      <c r="AJ315" s="19">
        <v>1</v>
      </c>
      <c r="AK315" s="19">
        <v>1</v>
      </c>
      <c r="AL315" s="22"/>
      <c r="AM315" s="19">
        <v>1</v>
      </c>
      <c r="AN315" s="19">
        <v>1</v>
      </c>
      <c r="AO315" s="19">
        <v>1</v>
      </c>
      <c r="AP315" s="19">
        <v>1</v>
      </c>
      <c r="AQ315" s="19">
        <v>1</v>
      </c>
      <c r="AR315" s="19">
        <v>1</v>
      </c>
      <c r="AS315" s="22"/>
      <c r="AT315" s="19">
        <v>1</v>
      </c>
      <c r="AU315" s="19">
        <v>1</v>
      </c>
      <c r="AV315" s="19">
        <v>1</v>
      </c>
      <c r="AW315" s="19">
        <v>1</v>
      </c>
      <c r="AX315" s="19">
        <f>SUM(T315:AW315)</f>
        <v>26</v>
      </c>
      <c r="AY315" s="20"/>
      <c r="AZ315" s="47"/>
      <c r="BA315" s="20"/>
      <c r="BB315" s="76"/>
    </row>
    <row r="316" spans="1:54" ht="15" customHeight="1" x14ac:dyDescent="0.2">
      <c r="A316" s="106" t="s">
        <v>820</v>
      </c>
      <c r="B316" s="86" t="s">
        <v>403</v>
      </c>
      <c r="C316" s="26">
        <v>1954</v>
      </c>
      <c r="D316" s="35" t="s">
        <v>405</v>
      </c>
      <c r="E316" s="26">
        <v>479</v>
      </c>
      <c r="F316" s="26" t="s">
        <v>2303</v>
      </c>
      <c r="G316" s="35" t="s">
        <v>1520</v>
      </c>
      <c r="H316" s="51">
        <v>1</v>
      </c>
      <c r="I316" s="37" t="s">
        <v>47</v>
      </c>
      <c r="J316" s="51">
        <v>1</v>
      </c>
      <c r="K316" s="45" t="s">
        <v>47</v>
      </c>
      <c r="L316" s="46" t="str">
        <f>VLOOKUP(Tabla411[[#This Row],[BTL CVE]],tblPDV[#All],13,0)</f>
        <v>MONTAGNER OLIVARES MIGUEL ANGEL</v>
      </c>
      <c r="M316" s="45" t="s">
        <v>536</v>
      </c>
      <c r="N316" s="26" t="s">
        <v>54</v>
      </c>
      <c r="O316" s="26" t="s">
        <v>49</v>
      </c>
      <c r="P316" s="45" t="s">
        <v>49</v>
      </c>
      <c r="Q316" s="45" t="s">
        <v>50</v>
      </c>
      <c r="R316" s="38">
        <v>46113</v>
      </c>
      <c r="S316" s="38">
        <v>46142</v>
      </c>
      <c r="T316" s="19">
        <v>1</v>
      </c>
      <c r="U316" s="19">
        <v>1</v>
      </c>
      <c r="V316" s="19">
        <v>1</v>
      </c>
      <c r="W316" s="19">
        <v>1</v>
      </c>
      <c r="X316" s="22"/>
      <c r="Y316" s="19">
        <v>1</v>
      </c>
      <c r="Z316" s="19">
        <v>1</v>
      </c>
      <c r="AA316" s="19">
        <v>1</v>
      </c>
      <c r="AB316" s="19">
        <v>1</v>
      </c>
      <c r="AC316" s="19">
        <v>1</v>
      </c>
      <c r="AD316" s="19">
        <v>1</v>
      </c>
      <c r="AE316" s="22"/>
      <c r="AF316" s="19">
        <v>1</v>
      </c>
      <c r="AG316" s="19">
        <v>1</v>
      </c>
      <c r="AH316" s="19">
        <v>1</v>
      </c>
      <c r="AI316" s="19">
        <v>1</v>
      </c>
      <c r="AJ316" s="19">
        <v>1</v>
      </c>
      <c r="AK316" s="19">
        <v>1</v>
      </c>
      <c r="AL316" s="22"/>
      <c r="AM316" s="19">
        <v>1</v>
      </c>
      <c r="AN316" s="19">
        <v>1</v>
      </c>
      <c r="AO316" s="19">
        <v>1</v>
      </c>
      <c r="AP316" s="19">
        <v>1</v>
      </c>
      <c r="AQ316" s="19">
        <v>1</v>
      </c>
      <c r="AR316" s="19">
        <v>1</v>
      </c>
      <c r="AS316" s="22"/>
      <c r="AT316" s="19">
        <v>1</v>
      </c>
      <c r="AU316" s="19">
        <v>1</v>
      </c>
      <c r="AV316" s="19">
        <v>1</v>
      </c>
      <c r="AW316" s="19">
        <v>1</v>
      </c>
      <c r="AX316" s="19">
        <f>SUM(T316:AW316)</f>
        <v>26</v>
      </c>
      <c r="AY316" s="67"/>
      <c r="AZ316" s="47"/>
      <c r="BA316" s="67"/>
      <c r="BB316" s="76"/>
    </row>
    <row r="317" spans="1:54" ht="15" customHeight="1" x14ac:dyDescent="0.2">
      <c r="A317" s="106" t="s">
        <v>822</v>
      </c>
      <c r="B317" s="86" t="s">
        <v>403</v>
      </c>
      <c r="C317" s="26">
        <v>1986</v>
      </c>
      <c r="D317" s="35" t="s">
        <v>407</v>
      </c>
      <c r="E317" s="26">
        <v>501</v>
      </c>
      <c r="F317" s="26" t="s">
        <v>2315</v>
      </c>
      <c r="G317" s="35" t="s">
        <v>1519</v>
      </c>
      <c r="H317" s="51">
        <v>1</v>
      </c>
      <c r="I317" s="37" t="s">
        <v>47</v>
      </c>
      <c r="J317" s="51">
        <v>1</v>
      </c>
      <c r="K317" s="51" t="s">
        <v>47</v>
      </c>
      <c r="L317" s="46" t="str">
        <f>VLOOKUP(Tabla411[[#This Row],[BTL CVE]],tblPDV[#All],13,0)</f>
        <v xml:space="preserve">ESTRADA NAVA MIRIAM ROCIO </v>
      </c>
      <c r="M317" s="45" t="s">
        <v>536</v>
      </c>
      <c r="N317" s="26" t="s">
        <v>54</v>
      </c>
      <c r="O317" s="26" t="s">
        <v>49</v>
      </c>
      <c r="P317" s="45" t="s">
        <v>49</v>
      </c>
      <c r="Q317" s="45" t="s">
        <v>50</v>
      </c>
      <c r="R317" s="38">
        <v>46113</v>
      </c>
      <c r="S317" s="38">
        <v>46142</v>
      </c>
      <c r="T317" s="19">
        <v>1</v>
      </c>
      <c r="U317" s="19">
        <v>1</v>
      </c>
      <c r="V317" s="19">
        <v>1</v>
      </c>
      <c r="W317" s="19">
        <v>1</v>
      </c>
      <c r="X317" s="22"/>
      <c r="Y317" s="19">
        <v>1</v>
      </c>
      <c r="Z317" s="19">
        <v>1</v>
      </c>
      <c r="AA317" s="19">
        <v>1</v>
      </c>
      <c r="AB317" s="19">
        <v>1</v>
      </c>
      <c r="AC317" s="19">
        <v>1</v>
      </c>
      <c r="AD317" s="19">
        <v>1</v>
      </c>
      <c r="AE317" s="22"/>
      <c r="AF317" s="19">
        <v>1</v>
      </c>
      <c r="AG317" s="19">
        <v>1</v>
      </c>
      <c r="AH317" s="19">
        <v>1</v>
      </c>
      <c r="AI317" s="19">
        <v>1</v>
      </c>
      <c r="AJ317" s="19">
        <v>1</v>
      </c>
      <c r="AK317" s="19">
        <v>1</v>
      </c>
      <c r="AL317" s="22"/>
      <c r="AM317" s="19">
        <v>1</v>
      </c>
      <c r="AN317" s="19">
        <v>1</v>
      </c>
      <c r="AO317" s="19">
        <v>1</v>
      </c>
      <c r="AP317" s="19">
        <v>1</v>
      </c>
      <c r="AQ317" s="19">
        <v>1</v>
      </c>
      <c r="AR317" s="19">
        <v>1</v>
      </c>
      <c r="AS317" s="22"/>
      <c r="AT317" s="19">
        <v>1</v>
      </c>
      <c r="AU317" s="19">
        <v>1</v>
      </c>
      <c r="AV317" s="19">
        <v>1</v>
      </c>
      <c r="AW317" s="19">
        <v>1</v>
      </c>
      <c r="AX317" s="19">
        <f>SUM(T317:AW317)</f>
        <v>26</v>
      </c>
      <c r="AY317" s="67"/>
      <c r="AZ317" s="47"/>
      <c r="BA317" s="67"/>
      <c r="BB317" s="76"/>
    </row>
    <row r="318" spans="1:54" ht="15" customHeight="1" x14ac:dyDescent="0.2">
      <c r="A318" s="106" t="s">
        <v>821</v>
      </c>
      <c r="B318" s="108" t="s">
        <v>403</v>
      </c>
      <c r="C318" s="45">
        <v>1804</v>
      </c>
      <c r="D318" s="46" t="s">
        <v>406</v>
      </c>
      <c r="E318" s="45">
        <v>313</v>
      </c>
      <c r="F318" s="45" t="s">
        <v>2251</v>
      </c>
      <c r="G318" s="35" t="s">
        <v>2068</v>
      </c>
      <c r="H318" s="37">
        <v>1</v>
      </c>
      <c r="I318" s="37" t="s">
        <v>47</v>
      </c>
      <c r="J318" s="37">
        <v>1</v>
      </c>
      <c r="K318" s="37" t="s">
        <v>47</v>
      </c>
      <c r="L318" s="46" t="str">
        <f>VLOOKUP(Tabla411[[#This Row],[BTL CVE]],tblPDV[#All],13,0)</f>
        <v>CARRILLO XOCHIHUA XOCHITL</v>
      </c>
      <c r="M318" s="26" t="s">
        <v>536</v>
      </c>
      <c r="N318" s="26" t="s">
        <v>54</v>
      </c>
      <c r="O318" s="26" t="s">
        <v>49</v>
      </c>
      <c r="P318" s="26" t="s">
        <v>49</v>
      </c>
      <c r="Q318" s="26" t="s">
        <v>50</v>
      </c>
      <c r="R318" s="38">
        <v>46113</v>
      </c>
      <c r="S318" s="38">
        <v>46142</v>
      </c>
      <c r="T318" s="47">
        <v>1</v>
      </c>
      <c r="U318" s="47">
        <v>1</v>
      </c>
      <c r="V318" s="47">
        <v>1</v>
      </c>
      <c r="W318" s="47">
        <v>1</v>
      </c>
      <c r="X318" s="98"/>
      <c r="Y318" s="47">
        <v>1</v>
      </c>
      <c r="Z318" s="47">
        <v>1</v>
      </c>
      <c r="AA318" s="47">
        <v>1</v>
      </c>
      <c r="AB318" s="47">
        <v>1</v>
      </c>
      <c r="AC318" s="47">
        <v>1</v>
      </c>
      <c r="AD318" s="47">
        <v>1</v>
      </c>
      <c r="AE318" s="98"/>
      <c r="AF318" s="47">
        <v>1</v>
      </c>
      <c r="AG318" s="47">
        <v>1</v>
      </c>
      <c r="AH318" s="47">
        <v>1</v>
      </c>
      <c r="AI318" s="47">
        <v>1</v>
      </c>
      <c r="AJ318" s="47">
        <v>1</v>
      </c>
      <c r="AK318" s="47">
        <v>1</v>
      </c>
      <c r="AL318" s="98"/>
      <c r="AM318" s="47">
        <v>1</v>
      </c>
      <c r="AN318" s="47">
        <v>1</v>
      </c>
      <c r="AO318" s="47">
        <v>1</v>
      </c>
      <c r="AP318" s="47">
        <v>1</v>
      </c>
      <c r="AQ318" s="47">
        <v>1</v>
      </c>
      <c r="AR318" s="47">
        <v>1</v>
      </c>
      <c r="AS318" s="98"/>
      <c r="AT318" s="47">
        <v>1</v>
      </c>
      <c r="AU318" s="47">
        <v>1</v>
      </c>
      <c r="AV318" s="47">
        <v>1</v>
      </c>
      <c r="AW318" s="47">
        <v>1</v>
      </c>
      <c r="AX318" s="47">
        <f>SUM(T318:AW318)</f>
        <v>26</v>
      </c>
      <c r="AY318" s="67"/>
      <c r="AZ318" s="47"/>
      <c r="BA318" s="67"/>
      <c r="BB318" s="76"/>
    </row>
    <row r="319" spans="1:54" ht="15" customHeight="1" x14ac:dyDescent="0.2">
      <c r="A319" s="106" t="s">
        <v>781</v>
      </c>
      <c r="B319" s="108" t="s">
        <v>408</v>
      </c>
      <c r="C319" s="45">
        <v>7</v>
      </c>
      <c r="D319" s="46" t="s">
        <v>488</v>
      </c>
      <c r="E319" s="45">
        <v>579</v>
      </c>
      <c r="F319" s="45" t="s">
        <v>2349</v>
      </c>
      <c r="G319" s="35" t="s">
        <v>2094</v>
      </c>
      <c r="H319" s="37">
        <v>0.5</v>
      </c>
      <c r="I319" s="37" t="s">
        <v>53</v>
      </c>
      <c r="J319" s="37">
        <v>0.5</v>
      </c>
      <c r="K319" s="37" t="s">
        <v>53</v>
      </c>
      <c r="L319" s="46" t="str">
        <f>VLOOKUP(Tabla411[[#This Row],[BTL CVE]],tblPDV[#All],13,0)</f>
        <v xml:space="preserve">ANIMAS SAUCEDO ANA CRISTINA </v>
      </c>
      <c r="M319" s="26" t="s">
        <v>503</v>
      </c>
      <c r="N319" s="26" t="s">
        <v>54</v>
      </c>
      <c r="O319" s="26" t="s">
        <v>66</v>
      </c>
      <c r="P319" s="26" t="s">
        <v>66</v>
      </c>
      <c r="Q319" s="26" t="s">
        <v>50</v>
      </c>
      <c r="R319" s="38">
        <v>46113</v>
      </c>
      <c r="S319" s="38">
        <v>46142</v>
      </c>
      <c r="T319" s="47"/>
      <c r="U319" s="47">
        <v>1</v>
      </c>
      <c r="V319" s="47">
        <v>1</v>
      </c>
      <c r="W319" s="47">
        <v>1</v>
      </c>
      <c r="X319" s="98"/>
      <c r="Y319" s="47"/>
      <c r="Z319" s="47"/>
      <c r="AA319" s="47"/>
      <c r="AB319" s="47">
        <v>1</v>
      </c>
      <c r="AC319" s="47">
        <v>1</v>
      </c>
      <c r="AD319" s="47">
        <v>1</v>
      </c>
      <c r="AE319" s="98"/>
      <c r="AF319" s="47"/>
      <c r="AG319" s="47"/>
      <c r="AH319" s="47"/>
      <c r="AI319" s="47">
        <v>1</v>
      </c>
      <c r="AJ319" s="47">
        <v>1</v>
      </c>
      <c r="AK319" s="47">
        <v>1</v>
      </c>
      <c r="AL319" s="98"/>
      <c r="AM319" s="47"/>
      <c r="AN319" s="47"/>
      <c r="AO319" s="47"/>
      <c r="AP319" s="47">
        <v>1</v>
      </c>
      <c r="AQ319" s="47">
        <v>1</v>
      </c>
      <c r="AR319" s="47">
        <v>1</v>
      </c>
      <c r="AS319" s="98"/>
      <c r="AT319" s="47"/>
      <c r="AU319" s="47"/>
      <c r="AV319" s="47"/>
      <c r="AW319" s="47">
        <v>1</v>
      </c>
      <c r="AX319" s="47">
        <f>SUM(T319:AW319)</f>
        <v>13</v>
      </c>
      <c r="AY319" s="67"/>
      <c r="AZ319" s="47"/>
      <c r="BA319" s="67"/>
      <c r="BB319" s="76"/>
    </row>
    <row r="320" spans="1:54" ht="15" customHeight="1" x14ac:dyDescent="0.2">
      <c r="A320" s="106" t="s">
        <v>782</v>
      </c>
      <c r="B320" s="108" t="s">
        <v>408</v>
      </c>
      <c r="C320" s="45">
        <v>24</v>
      </c>
      <c r="D320" s="46" t="s">
        <v>249</v>
      </c>
      <c r="E320" s="45">
        <v>185</v>
      </c>
      <c r="F320" s="45" t="s">
        <v>2208</v>
      </c>
      <c r="G320" s="35" t="s">
        <v>2008</v>
      </c>
      <c r="H320" s="37">
        <v>0.5</v>
      </c>
      <c r="I320" s="37" t="s">
        <v>53</v>
      </c>
      <c r="J320" s="37">
        <v>0.5</v>
      </c>
      <c r="K320" s="37" t="s">
        <v>53</v>
      </c>
      <c r="L320" s="46" t="str">
        <f>VLOOKUP(Tabla411[[#This Row],[BTL CVE]],tblPDV[#All],13,0)</f>
        <v>ALVAREZ GARCIA ADRIANA YULISMA</v>
      </c>
      <c r="M320" s="26" t="s">
        <v>503</v>
      </c>
      <c r="N320" s="26" t="s">
        <v>54</v>
      </c>
      <c r="O320" s="26" t="s">
        <v>55</v>
      </c>
      <c r="P320" s="26" t="s">
        <v>55</v>
      </c>
      <c r="Q320" s="26" t="s">
        <v>50</v>
      </c>
      <c r="R320" s="38">
        <v>46113</v>
      </c>
      <c r="S320" s="38">
        <v>46142</v>
      </c>
      <c r="T320" s="47">
        <v>1</v>
      </c>
      <c r="U320" s="47"/>
      <c r="V320" s="47"/>
      <c r="W320" s="47"/>
      <c r="X320" s="98"/>
      <c r="Y320" s="47">
        <v>1</v>
      </c>
      <c r="Z320" s="47">
        <v>1</v>
      </c>
      <c r="AA320" s="47">
        <v>1</v>
      </c>
      <c r="AB320" s="47"/>
      <c r="AC320" s="47"/>
      <c r="AD320" s="47"/>
      <c r="AE320" s="98"/>
      <c r="AF320" s="47">
        <v>1</v>
      </c>
      <c r="AG320" s="47">
        <v>1</v>
      </c>
      <c r="AH320" s="47">
        <v>1</v>
      </c>
      <c r="AI320" s="47"/>
      <c r="AJ320" s="47"/>
      <c r="AK320" s="47"/>
      <c r="AL320" s="98"/>
      <c r="AM320" s="47">
        <v>1</v>
      </c>
      <c r="AN320" s="47">
        <v>1</v>
      </c>
      <c r="AO320" s="47">
        <v>1</v>
      </c>
      <c r="AP320" s="47"/>
      <c r="AQ320" s="47"/>
      <c r="AR320" s="47"/>
      <c r="AS320" s="98"/>
      <c r="AT320" s="47">
        <v>1</v>
      </c>
      <c r="AU320" s="47">
        <v>1</v>
      </c>
      <c r="AV320" s="47">
        <v>1</v>
      </c>
      <c r="AW320" s="47"/>
      <c r="AX320" s="47">
        <f>SUM(T320:AW320)</f>
        <v>13</v>
      </c>
      <c r="AY320" s="67"/>
      <c r="AZ320" s="47"/>
      <c r="BA320" s="67"/>
      <c r="BB320" s="76"/>
    </row>
    <row r="321" spans="1:54" ht="15" customHeight="1" x14ac:dyDescent="0.2">
      <c r="A321" s="106" t="s">
        <v>1423</v>
      </c>
      <c r="B321" s="108" t="s">
        <v>408</v>
      </c>
      <c r="C321" s="45">
        <v>133</v>
      </c>
      <c r="D321" s="46" t="s">
        <v>492</v>
      </c>
      <c r="E321" s="45">
        <v>185</v>
      </c>
      <c r="F321" s="45" t="s">
        <v>2208</v>
      </c>
      <c r="G321" s="35" t="s">
        <v>2008</v>
      </c>
      <c r="H321" s="37">
        <v>0.5</v>
      </c>
      <c r="I321" s="37" t="s">
        <v>53</v>
      </c>
      <c r="J321" s="37">
        <v>0.5</v>
      </c>
      <c r="K321" s="37" t="s">
        <v>53</v>
      </c>
      <c r="L321" s="46" t="str">
        <f>VLOOKUP(Tabla411[[#This Row],[BTL CVE]],tblPDV[#All],13,0)</f>
        <v>ALVAREZ GARCIA ADRIANA YULISMA</v>
      </c>
      <c r="M321" s="26" t="s">
        <v>503</v>
      </c>
      <c r="N321" s="26" t="s">
        <v>54</v>
      </c>
      <c r="O321" s="26" t="s">
        <v>66</v>
      </c>
      <c r="P321" s="26" t="s">
        <v>66</v>
      </c>
      <c r="Q321" s="26" t="s">
        <v>50</v>
      </c>
      <c r="R321" s="38">
        <v>46113</v>
      </c>
      <c r="S321" s="38">
        <v>46142</v>
      </c>
      <c r="T321" s="47"/>
      <c r="U321" s="47">
        <v>1</v>
      </c>
      <c r="V321" s="47">
        <v>1</v>
      </c>
      <c r="W321" s="47">
        <v>1</v>
      </c>
      <c r="X321" s="98"/>
      <c r="Y321" s="47"/>
      <c r="Z321" s="47"/>
      <c r="AA321" s="47"/>
      <c r="AB321" s="47">
        <v>1</v>
      </c>
      <c r="AC321" s="47">
        <v>1</v>
      </c>
      <c r="AD321" s="47">
        <v>1</v>
      </c>
      <c r="AE321" s="98"/>
      <c r="AF321" s="47"/>
      <c r="AG321" s="47"/>
      <c r="AH321" s="47"/>
      <c r="AI321" s="47">
        <v>1</v>
      </c>
      <c r="AJ321" s="47">
        <v>1</v>
      </c>
      <c r="AK321" s="47">
        <v>1</v>
      </c>
      <c r="AL321" s="98"/>
      <c r="AM321" s="47"/>
      <c r="AN321" s="47"/>
      <c r="AO321" s="47"/>
      <c r="AP321" s="47">
        <v>1</v>
      </c>
      <c r="AQ321" s="47">
        <v>1</v>
      </c>
      <c r="AR321" s="47">
        <v>1</v>
      </c>
      <c r="AS321" s="98"/>
      <c r="AT321" s="47"/>
      <c r="AU321" s="47"/>
      <c r="AV321" s="47"/>
      <c r="AW321" s="47">
        <v>1</v>
      </c>
      <c r="AX321" s="47">
        <f>SUM(T321:AW321)</f>
        <v>13</v>
      </c>
      <c r="AY321" s="67"/>
      <c r="AZ321" s="47"/>
      <c r="BA321" s="67"/>
      <c r="BB321" s="76"/>
    </row>
    <row r="322" spans="1:54" ht="15" customHeight="1" x14ac:dyDescent="0.2">
      <c r="A322" s="106" t="s">
        <v>780</v>
      </c>
      <c r="B322" s="108" t="s">
        <v>408</v>
      </c>
      <c r="C322" s="45">
        <v>14</v>
      </c>
      <c r="D322" s="46" t="s">
        <v>237</v>
      </c>
      <c r="E322" s="26">
        <v>585</v>
      </c>
      <c r="F322" s="26" t="s">
        <v>2392</v>
      </c>
      <c r="G322" s="35" t="s">
        <v>2363</v>
      </c>
      <c r="H322" s="37">
        <v>0.5</v>
      </c>
      <c r="I322" s="37" t="s">
        <v>53</v>
      </c>
      <c r="J322" s="37">
        <v>0.5</v>
      </c>
      <c r="K322" s="37" t="s">
        <v>53</v>
      </c>
      <c r="L322" s="46" t="str">
        <f>VLOOKUP(Tabla411[[#This Row],[BTL CVE]],tblPDV[#All],13,0)</f>
        <v xml:space="preserve">ANIMAS SAUCEDO ANA CRISTINA </v>
      </c>
      <c r="M322" s="26" t="s">
        <v>503</v>
      </c>
      <c r="N322" s="45" t="s">
        <v>54</v>
      </c>
      <c r="O322" s="124" t="s">
        <v>55</v>
      </c>
      <c r="P322" s="39" t="s">
        <v>55</v>
      </c>
      <c r="Q322" s="26" t="s">
        <v>50</v>
      </c>
      <c r="R322" s="52">
        <v>46113</v>
      </c>
      <c r="S322" s="52">
        <v>46142</v>
      </c>
      <c r="T322" s="47">
        <v>1</v>
      </c>
      <c r="U322" s="47"/>
      <c r="V322" s="47"/>
      <c r="W322" s="47"/>
      <c r="X322" s="98"/>
      <c r="Y322" s="47">
        <v>1</v>
      </c>
      <c r="Z322" s="47">
        <v>1</v>
      </c>
      <c r="AA322" s="47">
        <v>1</v>
      </c>
      <c r="AB322" s="47"/>
      <c r="AC322" s="47"/>
      <c r="AD322" s="47"/>
      <c r="AE322" s="98"/>
      <c r="AF322" s="47">
        <v>1</v>
      </c>
      <c r="AG322" s="47">
        <v>1</v>
      </c>
      <c r="AH322" s="47">
        <v>1</v>
      </c>
      <c r="AI322" s="47"/>
      <c r="AJ322" s="47"/>
      <c r="AK322" s="47"/>
      <c r="AL322" s="98"/>
      <c r="AM322" s="47">
        <v>1</v>
      </c>
      <c r="AN322" s="47">
        <v>1</v>
      </c>
      <c r="AO322" s="47">
        <v>1</v>
      </c>
      <c r="AP322" s="47"/>
      <c r="AQ322" s="47"/>
      <c r="AR322" s="47"/>
      <c r="AS322" s="98"/>
      <c r="AT322" s="47">
        <v>1</v>
      </c>
      <c r="AU322" s="47">
        <v>1</v>
      </c>
      <c r="AV322" s="47">
        <v>1</v>
      </c>
      <c r="AW322" s="47"/>
      <c r="AX322" s="47">
        <f>SUM(T322:AW322)</f>
        <v>13</v>
      </c>
      <c r="AY322" s="67"/>
      <c r="AZ322" s="47"/>
      <c r="BA322" s="67"/>
      <c r="BB322" s="76"/>
    </row>
    <row r="323" spans="1:54" ht="15" customHeight="1" x14ac:dyDescent="0.2">
      <c r="A323" s="106" t="s">
        <v>779</v>
      </c>
      <c r="B323" s="107" t="s">
        <v>408</v>
      </c>
      <c r="C323" s="45">
        <v>272</v>
      </c>
      <c r="D323" s="46" t="s">
        <v>410</v>
      </c>
      <c r="E323" s="26">
        <v>368</v>
      </c>
      <c r="F323" s="26" t="s">
        <v>2391</v>
      </c>
      <c r="G323" s="35" t="s">
        <v>2369</v>
      </c>
      <c r="H323" s="51">
        <v>0.5</v>
      </c>
      <c r="I323" s="37" t="s">
        <v>53</v>
      </c>
      <c r="J323" s="37">
        <v>0.5</v>
      </c>
      <c r="K323" s="37" t="s">
        <v>53</v>
      </c>
      <c r="L323" s="46" t="str">
        <f>VLOOKUP(Tabla411[[#This Row],[BTL CVE]],tblPDV[#All],13,0)</f>
        <v xml:space="preserve">AGUIRRE CAMACHO ATZIN SUSANA </v>
      </c>
      <c r="M323" s="26" t="s">
        <v>536</v>
      </c>
      <c r="N323" s="45" t="s">
        <v>54</v>
      </c>
      <c r="O323" s="45" t="s">
        <v>66</v>
      </c>
      <c r="P323" s="26" t="s">
        <v>66</v>
      </c>
      <c r="Q323" s="26" t="s">
        <v>50</v>
      </c>
      <c r="R323" s="52">
        <v>46113</v>
      </c>
      <c r="S323" s="52">
        <v>46142</v>
      </c>
      <c r="T323" s="47"/>
      <c r="U323" s="47">
        <v>1</v>
      </c>
      <c r="V323" s="47">
        <v>1</v>
      </c>
      <c r="W323" s="47">
        <v>1</v>
      </c>
      <c r="X323" s="98"/>
      <c r="Y323" s="47"/>
      <c r="Z323" s="47"/>
      <c r="AA323" s="47"/>
      <c r="AB323" s="47">
        <v>1</v>
      </c>
      <c r="AC323" s="47">
        <v>1</v>
      </c>
      <c r="AD323" s="47">
        <v>1</v>
      </c>
      <c r="AE323" s="98"/>
      <c r="AF323" s="47"/>
      <c r="AG323" s="47"/>
      <c r="AH323" s="47"/>
      <c r="AI323" s="47">
        <v>1</v>
      </c>
      <c r="AJ323" s="47">
        <v>1</v>
      </c>
      <c r="AK323" s="47">
        <v>1</v>
      </c>
      <c r="AL323" s="98"/>
      <c r="AM323" s="47"/>
      <c r="AN323" s="47"/>
      <c r="AO323" s="47"/>
      <c r="AP323" s="47">
        <v>1</v>
      </c>
      <c r="AQ323" s="47">
        <v>1</v>
      </c>
      <c r="AR323" s="47">
        <v>1</v>
      </c>
      <c r="AS323" s="98"/>
      <c r="AT323" s="47"/>
      <c r="AU323" s="47"/>
      <c r="AV323" s="47"/>
      <c r="AW323" s="47">
        <v>1</v>
      </c>
      <c r="AX323" s="47">
        <f>SUM(T323:AW323)</f>
        <v>13</v>
      </c>
      <c r="AY323" s="67"/>
      <c r="AZ323" s="47"/>
      <c r="BA323" s="67"/>
      <c r="BB323" s="76"/>
    </row>
    <row r="324" spans="1:54" ht="15" customHeight="1" x14ac:dyDescent="0.2">
      <c r="A324" s="104" t="s">
        <v>778</v>
      </c>
      <c r="B324" s="105" t="s">
        <v>408</v>
      </c>
      <c r="C324" s="26">
        <v>692</v>
      </c>
      <c r="D324" s="35" t="s">
        <v>409</v>
      </c>
      <c r="E324" s="26">
        <v>368</v>
      </c>
      <c r="F324" s="45" t="s">
        <v>2391</v>
      </c>
      <c r="G324" s="46" t="s">
        <v>2369</v>
      </c>
      <c r="H324" s="51">
        <v>0.5</v>
      </c>
      <c r="I324" s="37" t="s">
        <v>53</v>
      </c>
      <c r="J324" s="37">
        <v>0.5</v>
      </c>
      <c r="K324" s="37" t="s">
        <v>53</v>
      </c>
      <c r="L324" s="46" t="str">
        <f>VLOOKUP(Tabla411[[#This Row],[BTL CVE]],tblPDV[#All],13,0)</f>
        <v xml:space="preserve">AGUIRRE CAMACHO ATZIN SUSANA </v>
      </c>
      <c r="M324" s="26" t="s">
        <v>536</v>
      </c>
      <c r="N324" s="26" t="s">
        <v>54</v>
      </c>
      <c r="O324" s="26" t="s">
        <v>55</v>
      </c>
      <c r="P324" s="26" t="s">
        <v>55</v>
      </c>
      <c r="Q324" s="26" t="s">
        <v>50</v>
      </c>
      <c r="R324" s="38">
        <v>46113</v>
      </c>
      <c r="S324" s="38">
        <v>46142</v>
      </c>
      <c r="T324" s="47">
        <v>1</v>
      </c>
      <c r="U324" s="47"/>
      <c r="V324" s="47"/>
      <c r="W324" s="47"/>
      <c r="X324" s="98"/>
      <c r="Y324" s="47">
        <v>1</v>
      </c>
      <c r="Z324" s="47">
        <v>1</v>
      </c>
      <c r="AA324" s="47">
        <v>1</v>
      </c>
      <c r="AB324" s="47"/>
      <c r="AC324" s="47"/>
      <c r="AD324" s="47"/>
      <c r="AE324" s="98"/>
      <c r="AF324" s="47">
        <v>1</v>
      </c>
      <c r="AG324" s="47">
        <v>1</v>
      </c>
      <c r="AH324" s="47">
        <v>1</v>
      </c>
      <c r="AI324" s="47"/>
      <c r="AJ324" s="47"/>
      <c r="AK324" s="47"/>
      <c r="AL324" s="98"/>
      <c r="AM324" s="47">
        <v>1</v>
      </c>
      <c r="AN324" s="47">
        <v>1</v>
      </c>
      <c r="AO324" s="47">
        <v>1</v>
      </c>
      <c r="AP324" s="47"/>
      <c r="AQ324" s="47"/>
      <c r="AR324" s="47"/>
      <c r="AS324" s="98"/>
      <c r="AT324" s="47">
        <v>1</v>
      </c>
      <c r="AU324" s="47">
        <v>1</v>
      </c>
      <c r="AV324" s="47">
        <v>1</v>
      </c>
      <c r="AW324" s="47"/>
      <c r="AX324" s="47">
        <f>SUM(T324:AW324)</f>
        <v>13</v>
      </c>
      <c r="AY324" s="67"/>
      <c r="AZ324" s="47"/>
      <c r="BA324" s="67"/>
      <c r="BB324" s="76"/>
    </row>
    <row r="325" spans="1:54" ht="15" customHeight="1" x14ac:dyDescent="0.2">
      <c r="D325" s="63"/>
      <c r="E325" s="103"/>
      <c r="F325" s="103"/>
      <c r="G325" s="64"/>
      <c r="H325" s="64"/>
      <c r="I325" s="64"/>
      <c r="J325" s="64"/>
      <c r="K325" s="64"/>
    </row>
    <row r="326" spans="1:54" ht="15" customHeight="1" x14ac:dyDescent="0.2">
      <c r="D326" s="63"/>
      <c r="E326" s="103"/>
      <c r="F326" s="103"/>
      <c r="G326" s="64"/>
      <c r="H326" s="64"/>
      <c r="I326" s="64"/>
      <c r="J326" s="64"/>
      <c r="K326" s="64"/>
    </row>
  </sheetData>
  <mergeCells count="1">
    <mergeCell ref="T1:AW1"/>
  </mergeCells>
  <phoneticPr fontId="21" type="noConversion"/>
  <pageMargins left="0.7" right="0.7" top="0.75" bottom="0.75" header="0" footer="0"/>
  <pageSetup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091AC6-1E9B-427E-BA93-25940F26D3FF}">
          <x14:formula1>
            <xm:f>PDV!$Q$1:$Q$13</xm:f>
          </x14:formula1>
          <xm:sqref>O324 P33 P35:P56 P101:P267 P269:P317 P58:P99 P4:P31 O4:O315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BE2D-4A96-4640-BEB8-4F0018FDE15A}">
  <sheetPr codeName="Hoja2"/>
  <dimension ref="A1:U328"/>
  <sheetViews>
    <sheetView zoomScale="115" zoomScaleNormal="115" workbookViewId="0">
      <selection activeCell="E343" sqref="E343"/>
    </sheetView>
  </sheetViews>
  <sheetFormatPr baseColWidth="10" defaultColWidth="11.42578125" defaultRowHeight="12" x14ac:dyDescent="0.2"/>
  <cols>
    <col min="1" max="1" width="14.5703125" style="28" bestFit="1" customWidth="1"/>
    <col min="2" max="2" width="18.28515625" style="27" bestFit="1" customWidth="1"/>
    <col min="3" max="3" width="12" style="27" customWidth="1"/>
    <col min="4" max="4" width="41.5703125" style="28" bestFit="1" customWidth="1"/>
    <col min="5" max="5" width="33.85546875" style="28" customWidth="1"/>
    <col min="6" max="6" width="84.85546875" style="28" bestFit="1" customWidth="1"/>
    <col min="7" max="7" width="23.28515625" style="28" customWidth="1"/>
    <col min="8" max="8" width="27.85546875" style="28" customWidth="1"/>
    <col min="9" max="10" width="30.5703125" style="28" customWidth="1"/>
    <col min="11" max="11" width="15.140625" style="28" customWidth="1"/>
    <col min="12" max="12" width="17.85546875" style="28" customWidth="1"/>
    <col min="13" max="13" width="30.5703125" style="28" bestFit="1" customWidth="1"/>
    <col min="14" max="14" width="15.85546875" style="27" bestFit="1" customWidth="1"/>
    <col min="15" max="16384" width="11.42578125" style="28"/>
  </cols>
  <sheetData>
    <row r="1" spans="1:21" s="27" customFormat="1" ht="15" x14ac:dyDescent="0.25">
      <c r="A1" s="23" t="s">
        <v>2118</v>
      </c>
      <c r="B1" s="23" t="s">
        <v>6</v>
      </c>
      <c r="C1" s="23" t="s">
        <v>2119</v>
      </c>
      <c r="D1" s="23" t="s">
        <v>8</v>
      </c>
      <c r="E1" s="23" t="s">
        <v>1633</v>
      </c>
      <c r="F1" s="24" t="s">
        <v>545</v>
      </c>
      <c r="G1" s="23" t="s">
        <v>507</v>
      </c>
      <c r="H1" s="23" t="s">
        <v>1618</v>
      </c>
      <c r="I1" s="23" t="s">
        <v>1630</v>
      </c>
      <c r="J1" s="24" t="s">
        <v>546</v>
      </c>
      <c r="K1" s="24" t="s">
        <v>1632</v>
      </c>
      <c r="L1" s="24" t="s">
        <v>1631</v>
      </c>
      <c r="M1" s="14" t="s">
        <v>1486</v>
      </c>
      <c r="N1" s="14" t="s">
        <v>2120</v>
      </c>
      <c r="O1" s="14" t="s">
        <v>510</v>
      </c>
      <c r="Q1" s="34" t="s">
        <v>13</v>
      </c>
      <c r="R1" s="34" t="s">
        <v>2082</v>
      </c>
      <c r="T1" s="34" t="s">
        <v>2083</v>
      </c>
      <c r="U1" s="5" t="s">
        <v>2082</v>
      </c>
    </row>
    <row r="2" spans="1:21" ht="15" hidden="1" x14ac:dyDescent="0.25">
      <c r="A2" s="10" t="s">
        <v>608</v>
      </c>
      <c r="B2" s="24" t="s">
        <v>104</v>
      </c>
      <c r="C2" s="23" t="s">
        <v>164</v>
      </c>
      <c r="D2" s="7" t="s">
        <v>165</v>
      </c>
      <c r="E2" s="7" t="s">
        <v>1929</v>
      </c>
      <c r="F2" s="8" t="s">
        <v>947</v>
      </c>
      <c r="G2" s="8" t="s">
        <v>536</v>
      </c>
      <c r="H2" s="8" t="s">
        <v>509</v>
      </c>
      <c r="I2" s="8" t="s">
        <v>1620</v>
      </c>
      <c r="J2" s="8" t="s">
        <v>948</v>
      </c>
      <c r="K2" s="24">
        <v>100</v>
      </c>
      <c r="L2" s="24">
        <v>5</v>
      </c>
      <c r="M2" s="9" t="s">
        <v>511</v>
      </c>
      <c r="N2" s="14">
        <v>2</v>
      </c>
      <c r="O2" s="14" t="s">
        <v>1559</v>
      </c>
      <c r="Q2" s="3" t="s">
        <v>49</v>
      </c>
      <c r="R2" s="34" t="s">
        <v>2070</v>
      </c>
      <c r="T2" s="34" t="s">
        <v>1562</v>
      </c>
      <c r="U2" s="3" t="s">
        <v>0</v>
      </c>
    </row>
    <row r="3" spans="1:21" ht="15" hidden="1" x14ac:dyDescent="0.25">
      <c r="A3" s="10" t="s">
        <v>609</v>
      </c>
      <c r="B3" s="24" t="s">
        <v>104</v>
      </c>
      <c r="C3" s="23" t="s">
        <v>166</v>
      </c>
      <c r="D3" s="7" t="s">
        <v>167</v>
      </c>
      <c r="E3" s="7" t="s">
        <v>1930</v>
      </c>
      <c r="F3" s="8" t="s">
        <v>949</v>
      </c>
      <c r="G3" s="8" t="s">
        <v>536</v>
      </c>
      <c r="H3" s="8" t="s">
        <v>509</v>
      </c>
      <c r="I3" s="8" t="s">
        <v>1620</v>
      </c>
      <c r="J3" s="8" t="s">
        <v>950</v>
      </c>
      <c r="K3" s="24">
        <v>100</v>
      </c>
      <c r="L3" s="24">
        <v>5</v>
      </c>
      <c r="M3" s="9" t="s">
        <v>511</v>
      </c>
      <c r="N3" s="14">
        <v>2</v>
      </c>
      <c r="O3" s="14" t="s">
        <v>1559</v>
      </c>
      <c r="Q3" s="3" t="s">
        <v>94</v>
      </c>
      <c r="R3" s="34" t="s">
        <v>2071</v>
      </c>
      <c r="T3" s="34" t="s">
        <v>2084</v>
      </c>
      <c r="U3" s="3" t="s">
        <v>1</v>
      </c>
    </row>
    <row r="4" spans="1:21" ht="15" hidden="1" x14ac:dyDescent="0.25">
      <c r="A4" s="10" t="s">
        <v>788</v>
      </c>
      <c r="B4" s="24" t="s">
        <v>104</v>
      </c>
      <c r="C4" s="29" t="s">
        <v>196</v>
      </c>
      <c r="D4" s="10" t="s">
        <v>197</v>
      </c>
      <c r="E4" s="10" t="s">
        <v>1931</v>
      </c>
      <c r="F4" s="8" t="s">
        <v>981</v>
      </c>
      <c r="G4" s="8" t="s">
        <v>536</v>
      </c>
      <c r="H4" s="8" t="s">
        <v>509</v>
      </c>
      <c r="I4" s="8" t="s">
        <v>1620</v>
      </c>
      <c r="J4" s="8" t="s">
        <v>982</v>
      </c>
      <c r="K4" s="24">
        <v>100</v>
      </c>
      <c r="L4" s="24">
        <v>5</v>
      </c>
      <c r="M4" s="9" t="s">
        <v>511</v>
      </c>
      <c r="N4" s="14">
        <v>2</v>
      </c>
      <c r="O4" s="14" t="s">
        <v>1559</v>
      </c>
      <c r="Q4" s="3" t="s">
        <v>55</v>
      </c>
      <c r="R4" s="34" t="s">
        <v>2072</v>
      </c>
      <c r="T4" s="34" t="s">
        <v>95</v>
      </c>
      <c r="U4" s="3" t="s">
        <v>2088</v>
      </c>
    </row>
    <row r="5" spans="1:21" ht="15" hidden="1" x14ac:dyDescent="0.25">
      <c r="A5" s="10" t="s">
        <v>789</v>
      </c>
      <c r="B5" s="24" t="s">
        <v>104</v>
      </c>
      <c r="C5" s="23" t="s">
        <v>198</v>
      </c>
      <c r="D5" s="7" t="s">
        <v>199</v>
      </c>
      <c r="E5" s="7" t="s">
        <v>1932</v>
      </c>
      <c r="F5" s="8" t="s">
        <v>983</v>
      </c>
      <c r="G5" s="8" t="s">
        <v>536</v>
      </c>
      <c r="H5" s="8" t="s">
        <v>509</v>
      </c>
      <c r="I5" s="8" t="s">
        <v>1620</v>
      </c>
      <c r="J5" s="8" t="s">
        <v>984</v>
      </c>
      <c r="K5" s="24">
        <v>100</v>
      </c>
      <c r="L5" s="24">
        <v>5</v>
      </c>
      <c r="M5" s="9" t="s">
        <v>511</v>
      </c>
      <c r="N5" s="14">
        <v>2</v>
      </c>
      <c r="O5" s="14" t="s">
        <v>1559</v>
      </c>
      <c r="Q5" s="3" t="s">
        <v>66</v>
      </c>
      <c r="R5" s="34" t="s">
        <v>2073</v>
      </c>
      <c r="T5" s="34" t="s">
        <v>2086</v>
      </c>
      <c r="U5" s="3" t="s">
        <v>2</v>
      </c>
    </row>
    <row r="6" spans="1:21" ht="15" x14ac:dyDescent="0.25">
      <c r="A6" s="10" t="s">
        <v>1573</v>
      </c>
      <c r="B6" s="29" t="s">
        <v>90</v>
      </c>
      <c r="C6" s="24"/>
      <c r="D6" s="7" t="s">
        <v>1574</v>
      </c>
      <c r="E6" s="7" t="s">
        <v>1664</v>
      </c>
      <c r="F6" s="8" t="s">
        <v>1576</v>
      </c>
      <c r="G6" s="8" t="s">
        <v>536</v>
      </c>
      <c r="H6" s="8" t="s">
        <v>509</v>
      </c>
      <c r="I6" s="8" t="s">
        <v>1620</v>
      </c>
      <c r="J6" s="8" t="s">
        <v>1575</v>
      </c>
      <c r="K6" s="24">
        <v>100</v>
      </c>
      <c r="L6" s="24">
        <v>5</v>
      </c>
      <c r="M6" s="9" t="s">
        <v>511</v>
      </c>
      <c r="N6" s="14">
        <v>2</v>
      </c>
      <c r="O6" s="14" t="s">
        <v>1595</v>
      </c>
      <c r="Q6" s="3" t="s">
        <v>1563</v>
      </c>
      <c r="R6" s="34" t="s">
        <v>2074</v>
      </c>
      <c r="T6" s="34" t="s">
        <v>2087</v>
      </c>
      <c r="U6" s="3" t="s">
        <v>3</v>
      </c>
    </row>
    <row r="7" spans="1:21" ht="15" hidden="1" x14ac:dyDescent="0.25">
      <c r="A7" s="10" t="s">
        <v>672</v>
      </c>
      <c r="B7" s="29" t="s">
        <v>280</v>
      </c>
      <c r="C7" s="23">
        <v>156</v>
      </c>
      <c r="D7" s="7" t="s">
        <v>286</v>
      </c>
      <c r="E7" s="7" t="s">
        <v>1655</v>
      </c>
      <c r="F7" s="8" t="s">
        <v>1158</v>
      </c>
      <c r="G7" s="8" t="s">
        <v>536</v>
      </c>
      <c r="H7" s="8" t="s">
        <v>509</v>
      </c>
      <c r="I7" s="8" t="s">
        <v>1620</v>
      </c>
      <c r="J7" s="8" t="s">
        <v>1159</v>
      </c>
      <c r="K7" s="24">
        <v>100</v>
      </c>
      <c r="L7" s="24">
        <v>5</v>
      </c>
      <c r="M7" s="9" t="s">
        <v>511</v>
      </c>
      <c r="N7" s="14">
        <v>2</v>
      </c>
      <c r="O7" s="14" t="s">
        <v>1559</v>
      </c>
      <c r="Q7" s="3" t="s">
        <v>539</v>
      </c>
      <c r="R7" s="34" t="s">
        <v>2075</v>
      </c>
      <c r="T7" s="34" t="s">
        <v>2085</v>
      </c>
      <c r="U7" s="3" t="s">
        <v>4</v>
      </c>
    </row>
    <row r="8" spans="1:21" ht="15" hidden="1" x14ac:dyDescent="0.25">
      <c r="A8" s="10" t="s">
        <v>706</v>
      </c>
      <c r="B8" s="29" t="s">
        <v>280</v>
      </c>
      <c r="C8" s="23">
        <v>70</v>
      </c>
      <c r="D8" s="7" t="s">
        <v>323</v>
      </c>
      <c r="E8" s="7" t="s">
        <v>1735</v>
      </c>
      <c r="F8" s="8" t="s">
        <v>1220</v>
      </c>
      <c r="G8" s="8" t="s">
        <v>536</v>
      </c>
      <c r="H8" s="8" t="s">
        <v>509</v>
      </c>
      <c r="I8" s="8" t="s">
        <v>1620</v>
      </c>
      <c r="J8" s="8" t="s">
        <v>1221</v>
      </c>
      <c r="K8" s="24">
        <v>100</v>
      </c>
      <c r="L8" s="24">
        <v>5</v>
      </c>
      <c r="M8" s="9" t="s">
        <v>511</v>
      </c>
      <c r="N8" s="14">
        <v>2</v>
      </c>
      <c r="O8" s="14" t="s">
        <v>1559</v>
      </c>
      <c r="Q8" s="3" t="s">
        <v>1540</v>
      </c>
      <c r="R8" s="34" t="s">
        <v>2076</v>
      </c>
      <c r="T8" s="34" t="s">
        <v>50</v>
      </c>
      <c r="U8" s="3" t="s">
        <v>5</v>
      </c>
    </row>
    <row r="9" spans="1:21" ht="15" hidden="1" x14ac:dyDescent="0.25">
      <c r="A9" s="10" t="s">
        <v>670</v>
      </c>
      <c r="B9" s="29" t="s">
        <v>280</v>
      </c>
      <c r="C9" s="24">
        <v>36</v>
      </c>
      <c r="D9" s="7" t="s">
        <v>283</v>
      </c>
      <c r="E9" s="7" t="s">
        <v>1759</v>
      </c>
      <c r="F9" s="8" t="s">
        <v>1154</v>
      </c>
      <c r="G9" s="8" t="s">
        <v>536</v>
      </c>
      <c r="H9" s="8" t="s">
        <v>509</v>
      </c>
      <c r="I9" s="8" t="s">
        <v>1620</v>
      </c>
      <c r="J9" s="8" t="s">
        <v>1155</v>
      </c>
      <c r="K9" s="24">
        <v>100</v>
      </c>
      <c r="L9" s="24">
        <v>5</v>
      </c>
      <c r="M9" s="9" t="s">
        <v>511</v>
      </c>
      <c r="N9" s="14">
        <v>2</v>
      </c>
      <c r="O9" s="14" t="s">
        <v>1559</v>
      </c>
      <c r="Q9" s="3" t="s">
        <v>543</v>
      </c>
      <c r="R9" s="34" t="s">
        <v>2077</v>
      </c>
    </row>
    <row r="10" spans="1:21" ht="15" hidden="1" x14ac:dyDescent="0.25">
      <c r="A10" s="10" t="s">
        <v>679</v>
      </c>
      <c r="B10" s="29" t="s">
        <v>280</v>
      </c>
      <c r="C10" s="23">
        <v>45</v>
      </c>
      <c r="D10" s="7" t="s">
        <v>293</v>
      </c>
      <c r="E10" s="7" t="s">
        <v>1694</v>
      </c>
      <c r="F10" s="8" t="s">
        <v>1172</v>
      </c>
      <c r="G10" s="8" t="s">
        <v>536</v>
      </c>
      <c r="H10" s="8" t="s">
        <v>509</v>
      </c>
      <c r="I10" s="8" t="s">
        <v>1620</v>
      </c>
      <c r="J10" s="8" t="s">
        <v>1173</v>
      </c>
      <c r="K10" s="24">
        <v>100</v>
      </c>
      <c r="L10" s="24">
        <v>5</v>
      </c>
      <c r="M10" s="9" t="s">
        <v>511</v>
      </c>
      <c r="N10" s="14">
        <v>2</v>
      </c>
      <c r="O10" s="14" t="s">
        <v>1559</v>
      </c>
      <c r="Q10" s="3" t="s">
        <v>542</v>
      </c>
      <c r="R10" s="34" t="s">
        <v>2078</v>
      </c>
    </row>
    <row r="11" spans="1:21" ht="15" hidden="1" x14ac:dyDescent="0.25">
      <c r="A11" s="10" t="s">
        <v>669</v>
      </c>
      <c r="B11" s="29" t="s">
        <v>280</v>
      </c>
      <c r="C11" s="23">
        <v>86</v>
      </c>
      <c r="D11" s="7" t="s">
        <v>281</v>
      </c>
      <c r="E11" s="7" t="s">
        <v>1730</v>
      </c>
      <c r="F11" s="8" t="s">
        <v>1152</v>
      </c>
      <c r="G11" s="8" t="s">
        <v>536</v>
      </c>
      <c r="H11" s="8" t="s">
        <v>509</v>
      </c>
      <c r="I11" s="8" t="s">
        <v>1620</v>
      </c>
      <c r="J11" s="8" t="s">
        <v>1153</v>
      </c>
      <c r="K11" s="24">
        <v>100</v>
      </c>
      <c r="L11" s="24">
        <v>5</v>
      </c>
      <c r="M11" s="9" t="s">
        <v>511</v>
      </c>
      <c r="N11" s="14">
        <v>2</v>
      </c>
      <c r="O11" s="14" t="s">
        <v>1559</v>
      </c>
      <c r="Q11" s="3" t="s">
        <v>147</v>
      </c>
      <c r="R11" s="34" t="s">
        <v>2079</v>
      </c>
    </row>
    <row r="12" spans="1:21" ht="15" hidden="1" x14ac:dyDescent="0.25">
      <c r="A12" s="10" t="s">
        <v>740</v>
      </c>
      <c r="B12" s="29" t="s">
        <v>280</v>
      </c>
      <c r="C12" s="23">
        <v>51</v>
      </c>
      <c r="D12" s="7" t="s">
        <v>361</v>
      </c>
      <c r="E12" s="7" t="s">
        <v>1707</v>
      </c>
      <c r="F12" s="8" t="s">
        <v>1284</v>
      </c>
      <c r="G12" s="8" t="s">
        <v>536</v>
      </c>
      <c r="H12" s="8" t="s">
        <v>509</v>
      </c>
      <c r="I12" s="8" t="s">
        <v>1620</v>
      </c>
      <c r="J12" s="8" t="s">
        <v>1285</v>
      </c>
      <c r="K12" s="24">
        <v>100</v>
      </c>
      <c r="L12" s="24">
        <v>5</v>
      </c>
      <c r="M12" s="9" t="s">
        <v>511</v>
      </c>
      <c r="N12" s="14">
        <v>2</v>
      </c>
      <c r="O12" s="14" t="s">
        <v>1559</v>
      </c>
      <c r="Q12" s="3" t="s">
        <v>153</v>
      </c>
      <c r="R12" s="34" t="s">
        <v>2080</v>
      </c>
    </row>
    <row r="13" spans="1:21" ht="15" hidden="1" x14ac:dyDescent="0.25">
      <c r="A13" s="10" t="s">
        <v>729</v>
      </c>
      <c r="B13" s="29" t="s">
        <v>280</v>
      </c>
      <c r="C13" s="23">
        <v>18</v>
      </c>
      <c r="D13" s="7" t="s">
        <v>351</v>
      </c>
      <c r="E13" s="7" t="s">
        <v>1665</v>
      </c>
      <c r="F13" s="8" t="s">
        <v>1264</v>
      </c>
      <c r="G13" s="8" t="s">
        <v>536</v>
      </c>
      <c r="H13" s="8" t="s">
        <v>509</v>
      </c>
      <c r="I13" s="8" t="s">
        <v>1620</v>
      </c>
      <c r="J13" s="8" t="s">
        <v>1265</v>
      </c>
      <c r="K13" s="24">
        <v>100</v>
      </c>
      <c r="L13" s="24">
        <v>5</v>
      </c>
      <c r="M13" s="9" t="s">
        <v>511</v>
      </c>
      <c r="N13" s="14">
        <v>2</v>
      </c>
      <c r="O13" s="14" t="s">
        <v>1559</v>
      </c>
      <c r="Q13" s="3" t="s">
        <v>150</v>
      </c>
      <c r="R13" s="34" t="s">
        <v>2081</v>
      </c>
    </row>
    <row r="14" spans="1:21" ht="13.5" hidden="1" x14ac:dyDescent="0.25">
      <c r="A14" s="10" t="s">
        <v>681</v>
      </c>
      <c r="B14" s="29" t="s">
        <v>280</v>
      </c>
      <c r="C14" s="23">
        <v>50</v>
      </c>
      <c r="D14" s="7" t="s">
        <v>295</v>
      </c>
      <c r="E14" s="7" t="s">
        <v>1677</v>
      </c>
      <c r="F14" s="8" t="s">
        <v>1176</v>
      </c>
      <c r="G14" s="8" t="s">
        <v>536</v>
      </c>
      <c r="H14" s="8" t="s">
        <v>509</v>
      </c>
      <c r="I14" s="8" t="s">
        <v>1620</v>
      </c>
      <c r="J14" s="8" t="s">
        <v>1177</v>
      </c>
      <c r="K14" s="24">
        <v>100</v>
      </c>
      <c r="L14" s="24">
        <v>5</v>
      </c>
      <c r="M14" s="9" t="s">
        <v>511</v>
      </c>
      <c r="N14" s="14">
        <v>2</v>
      </c>
      <c r="O14" s="14" t="s">
        <v>1559</v>
      </c>
    </row>
    <row r="15" spans="1:21" ht="13.5" hidden="1" x14ac:dyDescent="0.25">
      <c r="A15" s="10" t="s">
        <v>727</v>
      </c>
      <c r="B15" s="29" t="s">
        <v>280</v>
      </c>
      <c r="C15" s="23">
        <v>71</v>
      </c>
      <c r="D15" s="7" t="s">
        <v>349</v>
      </c>
      <c r="E15" s="7" t="s">
        <v>1714</v>
      </c>
      <c r="F15" s="8" t="s">
        <v>1260</v>
      </c>
      <c r="G15" s="8" t="s">
        <v>536</v>
      </c>
      <c r="H15" s="8" t="s">
        <v>509</v>
      </c>
      <c r="I15" s="8" t="s">
        <v>1620</v>
      </c>
      <c r="J15" s="8" t="s">
        <v>1261</v>
      </c>
      <c r="K15" s="24">
        <v>100</v>
      </c>
      <c r="L15" s="24">
        <v>5</v>
      </c>
      <c r="M15" s="9" t="s">
        <v>511</v>
      </c>
      <c r="N15" s="14">
        <v>2</v>
      </c>
      <c r="O15" s="14" t="s">
        <v>1559</v>
      </c>
    </row>
    <row r="16" spans="1:21" ht="13.5" hidden="1" x14ac:dyDescent="0.25">
      <c r="A16" s="10" t="s">
        <v>758</v>
      </c>
      <c r="B16" s="29" t="s">
        <v>380</v>
      </c>
      <c r="C16" s="23">
        <v>1190</v>
      </c>
      <c r="D16" s="7" t="s">
        <v>382</v>
      </c>
      <c r="E16" s="7" t="s">
        <v>1713</v>
      </c>
      <c r="F16" s="8" t="s">
        <v>1309</v>
      </c>
      <c r="G16" s="8" t="s">
        <v>536</v>
      </c>
      <c r="H16" s="8" t="s">
        <v>509</v>
      </c>
      <c r="I16" s="8" t="s">
        <v>1620</v>
      </c>
      <c r="J16" s="8" t="s">
        <v>1310</v>
      </c>
      <c r="K16" s="24">
        <v>100</v>
      </c>
      <c r="L16" s="24">
        <v>5</v>
      </c>
      <c r="M16" s="9" t="s">
        <v>511</v>
      </c>
      <c r="N16" s="14">
        <v>2</v>
      </c>
      <c r="O16" s="14" t="s">
        <v>1559</v>
      </c>
    </row>
    <row r="17" spans="1:15" ht="13.5" hidden="1" x14ac:dyDescent="0.25">
      <c r="A17" s="10" t="s">
        <v>779</v>
      </c>
      <c r="B17" s="29" t="s">
        <v>408</v>
      </c>
      <c r="C17" s="23">
        <v>272</v>
      </c>
      <c r="D17" s="7" t="s">
        <v>410</v>
      </c>
      <c r="E17" s="7" t="s">
        <v>1661</v>
      </c>
      <c r="F17" s="8" t="s">
        <v>1361</v>
      </c>
      <c r="G17" s="8" t="s">
        <v>536</v>
      </c>
      <c r="H17" s="8" t="s">
        <v>509</v>
      </c>
      <c r="I17" s="8" t="s">
        <v>1620</v>
      </c>
      <c r="J17" s="8" t="s">
        <v>1362</v>
      </c>
      <c r="K17" s="24">
        <v>100</v>
      </c>
      <c r="L17" s="24">
        <v>5</v>
      </c>
      <c r="M17" s="9" t="s">
        <v>511</v>
      </c>
      <c r="N17" s="14">
        <v>2</v>
      </c>
      <c r="O17" s="14" t="s">
        <v>1559</v>
      </c>
    </row>
    <row r="18" spans="1:15" ht="13.5" hidden="1" x14ac:dyDescent="0.25">
      <c r="A18" s="10" t="s">
        <v>778</v>
      </c>
      <c r="B18" s="29" t="s">
        <v>408</v>
      </c>
      <c r="C18" s="23">
        <v>692</v>
      </c>
      <c r="D18" s="7" t="s">
        <v>409</v>
      </c>
      <c r="E18" s="7" t="s">
        <v>1710</v>
      </c>
      <c r="F18" s="8" t="s">
        <v>1359</v>
      </c>
      <c r="G18" s="8" t="s">
        <v>536</v>
      </c>
      <c r="H18" s="8" t="s">
        <v>509</v>
      </c>
      <c r="I18" s="8" t="s">
        <v>1620</v>
      </c>
      <c r="J18" s="8" t="s">
        <v>1360</v>
      </c>
      <c r="K18" s="24">
        <v>100</v>
      </c>
      <c r="L18" s="24">
        <v>5</v>
      </c>
      <c r="M18" s="9" t="s">
        <v>511</v>
      </c>
      <c r="N18" s="14">
        <v>2</v>
      </c>
      <c r="O18" s="14" t="s">
        <v>1559</v>
      </c>
    </row>
    <row r="19" spans="1:15" ht="13.5" hidden="1" x14ac:dyDescent="0.25">
      <c r="A19" s="10" t="s">
        <v>556</v>
      </c>
      <c r="B19" s="29" t="s">
        <v>44</v>
      </c>
      <c r="C19" s="23" t="s">
        <v>71</v>
      </c>
      <c r="D19" s="7" t="s">
        <v>72</v>
      </c>
      <c r="E19" s="7" t="s">
        <v>1877</v>
      </c>
      <c r="F19" s="8" t="s">
        <v>841</v>
      </c>
      <c r="G19" s="8" t="s">
        <v>503</v>
      </c>
      <c r="H19" s="8" t="s">
        <v>1605</v>
      </c>
      <c r="I19" s="8" t="s">
        <v>1623</v>
      </c>
      <c r="J19" s="8" t="s">
        <v>842</v>
      </c>
      <c r="K19" s="24">
        <v>100</v>
      </c>
      <c r="L19" s="24">
        <v>5</v>
      </c>
      <c r="M19" s="43" t="s">
        <v>2099</v>
      </c>
      <c r="N19" s="14">
        <v>8954</v>
      </c>
      <c r="O19" s="14" t="s">
        <v>1559</v>
      </c>
    </row>
    <row r="20" spans="1:15" ht="13.5" hidden="1" x14ac:dyDescent="0.25">
      <c r="A20" s="10" t="s">
        <v>549</v>
      </c>
      <c r="B20" s="29" t="s">
        <v>44</v>
      </c>
      <c r="C20" s="23" t="s">
        <v>56</v>
      </c>
      <c r="D20" s="7" t="s">
        <v>57</v>
      </c>
      <c r="E20" s="7" t="s">
        <v>1866</v>
      </c>
      <c r="F20" s="8" t="s">
        <v>827</v>
      </c>
      <c r="G20" s="8" t="s">
        <v>503</v>
      </c>
      <c r="H20" s="8" t="s">
        <v>1605</v>
      </c>
      <c r="I20" s="8" t="s">
        <v>1623</v>
      </c>
      <c r="J20" s="8" t="s">
        <v>828</v>
      </c>
      <c r="K20" s="24">
        <v>100</v>
      </c>
      <c r="L20" s="24">
        <v>5</v>
      </c>
      <c r="M20" s="43" t="s">
        <v>2099</v>
      </c>
      <c r="N20" s="14">
        <v>8954</v>
      </c>
      <c r="O20" s="14" t="s">
        <v>1559</v>
      </c>
    </row>
    <row r="21" spans="1:15" ht="13.5" hidden="1" x14ac:dyDescent="0.25">
      <c r="A21" s="10" t="s">
        <v>1368</v>
      </c>
      <c r="B21" s="24" t="s">
        <v>104</v>
      </c>
      <c r="C21" s="23" t="s">
        <v>463</v>
      </c>
      <c r="D21" s="7" t="s">
        <v>464</v>
      </c>
      <c r="E21" s="7" t="s">
        <v>1912</v>
      </c>
      <c r="F21" s="8" t="s">
        <v>1387</v>
      </c>
      <c r="G21" s="8" t="s">
        <v>503</v>
      </c>
      <c r="H21" s="8" t="s">
        <v>1605</v>
      </c>
      <c r="I21" s="8" t="s">
        <v>1623</v>
      </c>
      <c r="J21" s="8" t="s">
        <v>1388</v>
      </c>
      <c r="K21" s="24">
        <v>100</v>
      </c>
      <c r="L21" s="24">
        <v>5</v>
      </c>
      <c r="M21" s="43" t="s">
        <v>2099</v>
      </c>
      <c r="N21" s="14">
        <v>8954</v>
      </c>
      <c r="O21" s="14" t="s">
        <v>1560</v>
      </c>
    </row>
    <row r="22" spans="1:15" ht="13.5" hidden="1" x14ac:dyDescent="0.25">
      <c r="A22" s="10" t="s">
        <v>1416</v>
      </c>
      <c r="B22" s="29" t="s">
        <v>104</v>
      </c>
      <c r="C22" s="23" t="s">
        <v>471</v>
      </c>
      <c r="D22" s="7" t="s">
        <v>472</v>
      </c>
      <c r="E22" s="7" t="s">
        <v>1945</v>
      </c>
      <c r="F22" s="8" t="s">
        <v>1428</v>
      </c>
      <c r="G22" s="8" t="s">
        <v>503</v>
      </c>
      <c r="H22" s="8" t="s">
        <v>1605</v>
      </c>
      <c r="I22" s="8" t="s">
        <v>1623</v>
      </c>
      <c r="J22" s="8" t="s">
        <v>1429</v>
      </c>
      <c r="K22" s="24">
        <v>100</v>
      </c>
      <c r="L22" s="24">
        <v>5</v>
      </c>
      <c r="M22" s="43" t="s">
        <v>2099</v>
      </c>
      <c r="N22" s="14">
        <v>8954</v>
      </c>
      <c r="O22" s="14" t="s">
        <v>1559</v>
      </c>
    </row>
    <row r="23" spans="1:15" ht="13.5" hidden="1" x14ac:dyDescent="0.25">
      <c r="A23" s="10" t="s">
        <v>630</v>
      </c>
      <c r="B23" s="24" t="s">
        <v>104</v>
      </c>
      <c r="C23" s="23" t="s">
        <v>467</v>
      </c>
      <c r="D23" s="7" t="s">
        <v>468</v>
      </c>
      <c r="E23" s="7" t="s">
        <v>1872</v>
      </c>
      <c r="F23" s="8" t="s">
        <v>1527</v>
      </c>
      <c r="G23" s="8" t="s">
        <v>503</v>
      </c>
      <c r="H23" s="8" t="s">
        <v>1605</v>
      </c>
      <c r="I23" s="8" t="s">
        <v>1623</v>
      </c>
      <c r="J23" s="8" t="s">
        <v>999</v>
      </c>
      <c r="K23" s="24">
        <v>100</v>
      </c>
      <c r="L23" s="24">
        <v>5</v>
      </c>
      <c r="M23" s="43" t="s">
        <v>2099</v>
      </c>
      <c r="N23" s="14">
        <v>8954</v>
      </c>
      <c r="O23" s="14" t="s">
        <v>1559</v>
      </c>
    </row>
    <row r="24" spans="1:15" ht="13.5" hidden="1" x14ac:dyDescent="0.25">
      <c r="A24" s="10" t="s">
        <v>631</v>
      </c>
      <c r="B24" s="24" t="s">
        <v>104</v>
      </c>
      <c r="C24" s="23" t="s">
        <v>473</v>
      </c>
      <c r="D24" s="7" t="s">
        <v>474</v>
      </c>
      <c r="E24" s="7" t="s">
        <v>1869</v>
      </c>
      <c r="F24" s="8" t="s">
        <v>1004</v>
      </c>
      <c r="G24" s="8" t="s">
        <v>503</v>
      </c>
      <c r="H24" s="8" t="s">
        <v>1605</v>
      </c>
      <c r="I24" s="8" t="s">
        <v>1623</v>
      </c>
      <c r="J24" s="8" t="s">
        <v>1005</v>
      </c>
      <c r="K24" s="24">
        <v>100</v>
      </c>
      <c r="L24" s="24">
        <v>5</v>
      </c>
      <c r="M24" s="43" t="s">
        <v>2099</v>
      </c>
      <c r="N24" s="14">
        <v>8954</v>
      </c>
      <c r="O24" s="14" t="s">
        <v>1559</v>
      </c>
    </row>
    <row r="25" spans="1:15" ht="13.5" hidden="1" x14ac:dyDescent="0.25">
      <c r="A25" s="10" t="s">
        <v>790</v>
      </c>
      <c r="B25" s="24" t="s">
        <v>104</v>
      </c>
      <c r="C25" s="23" t="s">
        <v>469</v>
      </c>
      <c r="D25" s="7" t="s">
        <v>470</v>
      </c>
      <c r="E25" s="7" t="s">
        <v>1947</v>
      </c>
      <c r="F25" s="8" t="s">
        <v>1002</v>
      </c>
      <c r="G25" s="8" t="s">
        <v>503</v>
      </c>
      <c r="H25" s="8" t="s">
        <v>1605</v>
      </c>
      <c r="I25" s="8" t="s">
        <v>1623</v>
      </c>
      <c r="J25" s="8" t="s">
        <v>1003</v>
      </c>
      <c r="K25" s="24">
        <v>100</v>
      </c>
      <c r="L25" s="24">
        <v>5</v>
      </c>
      <c r="M25" s="43" t="s">
        <v>2099</v>
      </c>
      <c r="N25" s="14">
        <v>8954</v>
      </c>
      <c r="O25" s="14" t="s">
        <v>1559</v>
      </c>
    </row>
    <row r="26" spans="1:15" ht="13.5" hidden="1" x14ac:dyDescent="0.25">
      <c r="A26" s="10" t="s">
        <v>1367</v>
      </c>
      <c r="B26" s="24" t="s">
        <v>104</v>
      </c>
      <c r="C26" s="23" t="s">
        <v>459</v>
      </c>
      <c r="D26" s="7" t="s">
        <v>460</v>
      </c>
      <c r="E26" s="7" t="s">
        <v>1950</v>
      </c>
      <c r="F26" s="8" t="s">
        <v>1385</v>
      </c>
      <c r="G26" s="8" t="s">
        <v>503</v>
      </c>
      <c r="H26" s="8" t="s">
        <v>1605</v>
      </c>
      <c r="I26" s="8" t="s">
        <v>1623</v>
      </c>
      <c r="J26" s="8" t="s">
        <v>1386</v>
      </c>
      <c r="K26" s="24">
        <v>100</v>
      </c>
      <c r="L26" s="24">
        <v>5</v>
      </c>
      <c r="M26" s="43" t="s">
        <v>2099</v>
      </c>
      <c r="N26" s="14">
        <v>8954</v>
      </c>
      <c r="O26" s="14" t="s">
        <v>1560</v>
      </c>
    </row>
    <row r="27" spans="1:15" ht="13.5" hidden="1" x14ac:dyDescent="0.25">
      <c r="A27" s="10" t="s">
        <v>632</v>
      </c>
      <c r="B27" s="24" t="s">
        <v>104</v>
      </c>
      <c r="C27" s="23" t="s">
        <v>476</v>
      </c>
      <c r="D27" s="7" t="s">
        <v>477</v>
      </c>
      <c r="E27" s="7" t="s">
        <v>1943</v>
      </c>
      <c r="F27" s="8" t="s">
        <v>1006</v>
      </c>
      <c r="G27" s="8" t="s">
        <v>503</v>
      </c>
      <c r="H27" s="8" t="s">
        <v>1605</v>
      </c>
      <c r="I27" s="8" t="s">
        <v>1623</v>
      </c>
      <c r="J27" s="8" t="s">
        <v>1007</v>
      </c>
      <c r="K27" s="24">
        <v>100</v>
      </c>
      <c r="L27" s="24">
        <v>5</v>
      </c>
      <c r="M27" s="43" t="s">
        <v>2099</v>
      </c>
      <c r="N27" s="14">
        <v>8954</v>
      </c>
      <c r="O27" s="14" t="s">
        <v>1559</v>
      </c>
    </row>
    <row r="28" spans="1:15" ht="13.5" hidden="1" x14ac:dyDescent="0.25">
      <c r="A28" s="10" t="s">
        <v>633</v>
      </c>
      <c r="B28" s="24" t="s">
        <v>104</v>
      </c>
      <c r="C28" s="23" t="s">
        <v>480</v>
      </c>
      <c r="D28" s="7" t="s">
        <v>481</v>
      </c>
      <c r="E28" s="7" t="s">
        <v>1946</v>
      </c>
      <c r="F28" s="8" t="s">
        <v>1008</v>
      </c>
      <c r="G28" s="8" t="s">
        <v>503</v>
      </c>
      <c r="H28" s="8" t="s">
        <v>1605</v>
      </c>
      <c r="I28" s="8" t="s">
        <v>1623</v>
      </c>
      <c r="J28" s="8" t="s">
        <v>1009</v>
      </c>
      <c r="K28" s="24">
        <v>100</v>
      </c>
      <c r="L28" s="24">
        <v>5</v>
      </c>
      <c r="M28" s="43" t="s">
        <v>2099</v>
      </c>
      <c r="N28" s="14">
        <v>8954</v>
      </c>
      <c r="O28" s="14" t="s">
        <v>1559</v>
      </c>
    </row>
    <row r="29" spans="1:15" ht="13.5" hidden="1" x14ac:dyDescent="0.25">
      <c r="A29" s="10" t="s">
        <v>629</v>
      </c>
      <c r="B29" s="24" t="s">
        <v>104</v>
      </c>
      <c r="C29" s="23" t="s">
        <v>465</v>
      </c>
      <c r="D29" s="7" t="s">
        <v>466</v>
      </c>
      <c r="E29" s="7" t="s">
        <v>1861</v>
      </c>
      <c r="F29" s="8" t="s">
        <v>997</v>
      </c>
      <c r="G29" s="8" t="s">
        <v>503</v>
      </c>
      <c r="H29" s="8" t="s">
        <v>1605</v>
      </c>
      <c r="I29" s="8" t="s">
        <v>1623</v>
      </c>
      <c r="J29" s="8" t="s">
        <v>998</v>
      </c>
      <c r="K29" s="24">
        <v>100</v>
      </c>
      <c r="L29" s="24">
        <v>5</v>
      </c>
      <c r="M29" s="43" t="s">
        <v>2099</v>
      </c>
      <c r="N29" s="14">
        <v>8954</v>
      </c>
      <c r="O29" s="14" t="s">
        <v>1559</v>
      </c>
    </row>
    <row r="30" spans="1:15" ht="13.5" hidden="1" x14ac:dyDescent="0.25">
      <c r="A30" s="10" t="s">
        <v>604</v>
      </c>
      <c r="B30" s="24" t="s">
        <v>104</v>
      </c>
      <c r="C30" s="23" t="s">
        <v>156</v>
      </c>
      <c r="D30" s="7" t="s">
        <v>157</v>
      </c>
      <c r="E30" s="7" t="s">
        <v>1868</v>
      </c>
      <c r="F30" s="8" t="s">
        <v>939</v>
      </c>
      <c r="G30" s="8" t="s">
        <v>503</v>
      </c>
      <c r="H30" s="8" t="s">
        <v>1605</v>
      </c>
      <c r="I30" s="8" t="s">
        <v>1623</v>
      </c>
      <c r="J30" s="8" t="s">
        <v>940</v>
      </c>
      <c r="K30" s="24">
        <v>100</v>
      </c>
      <c r="L30" s="24">
        <v>5</v>
      </c>
      <c r="M30" s="43" t="s">
        <v>2099</v>
      </c>
      <c r="N30" s="14">
        <v>8954</v>
      </c>
      <c r="O30" s="14" t="s">
        <v>1559</v>
      </c>
    </row>
    <row r="31" spans="1:15" ht="13.5" hidden="1" x14ac:dyDescent="0.25">
      <c r="A31" s="10" t="s">
        <v>605</v>
      </c>
      <c r="B31" s="24" t="s">
        <v>104</v>
      </c>
      <c r="C31" s="23" t="s">
        <v>158</v>
      </c>
      <c r="D31" s="7" t="s">
        <v>159</v>
      </c>
      <c r="E31" s="7" t="s">
        <v>1870</v>
      </c>
      <c r="F31" s="8" t="s">
        <v>941</v>
      </c>
      <c r="G31" s="8" t="s">
        <v>503</v>
      </c>
      <c r="H31" s="8" t="s">
        <v>1605</v>
      </c>
      <c r="I31" s="8" t="s">
        <v>1623</v>
      </c>
      <c r="J31" s="8" t="s">
        <v>942</v>
      </c>
      <c r="K31" s="24">
        <v>100</v>
      </c>
      <c r="L31" s="24">
        <v>5</v>
      </c>
      <c r="M31" s="43" t="s">
        <v>2099</v>
      </c>
      <c r="N31" s="14">
        <v>8954</v>
      </c>
      <c r="O31" s="14" t="s">
        <v>1559</v>
      </c>
    </row>
    <row r="32" spans="1:15" ht="13.5" hidden="1" x14ac:dyDescent="0.25">
      <c r="A32" s="10" t="s">
        <v>665</v>
      </c>
      <c r="B32" s="29" t="s">
        <v>230</v>
      </c>
      <c r="C32" s="23">
        <v>2978</v>
      </c>
      <c r="D32" s="7" t="s">
        <v>249</v>
      </c>
      <c r="E32" s="7" t="s">
        <v>1885</v>
      </c>
      <c r="F32" s="8" t="s">
        <v>1078</v>
      </c>
      <c r="G32" s="8" t="s">
        <v>503</v>
      </c>
      <c r="H32" s="8" t="s">
        <v>1605</v>
      </c>
      <c r="I32" s="8" t="s">
        <v>1623</v>
      </c>
      <c r="J32" s="8" t="s">
        <v>1079</v>
      </c>
      <c r="K32" s="24">
        <v>100</v>
      </c>
      <c r="L32" s="24">
        <v>5</v>
      </c>
      <c r="M32" s="43" t="s">
        <v>2099</v>
      </c>
      <c r="N32" s="14">
        <v>8954</v>
      </c>
      <c r="O32" s="14" t="s">
        <v>1559</v>
      </c>
    </row>
    <row r="33" spans="1:15" ht="13.5" hidden="1" x14ac:dyDescent="0.25">
      <c r="A33" s="10" t="s">
        <v>664</v>
      </c>
      <c r="B33" s="29" t="s">
        <v>230</v>
      </c>
      <c r="C33" s="29">
        <v>2959</v>
      </c>
      <c r="D33" s="7" t="s">
        <v>250</v>
      </c>
      <c r="E33" s="7" t="s">
        <v>1876</v>
      </c>
      <c r="F33" s="8" t="s">
        <v>1076</v>
      </c>
      <c r="G33" s="8" t="s">
        <v>503</v>
      </c>
      <c r="H33" s="8" t="s">
        <v>1605</v>
      </c>
      <c r="I33" s="8" t="s">
        <v>1623</v>
      </c>
      <c r="J33" s="8" t="s">
        <v>1077</v>
      </c>
      <c r="K33" s="24">
        <v>100</v>
      </c>
      <c r="L33" s="24">
        <v>5</v>
      </c>
      <c r="M33" s="43" t="s">
        <v>2099</v>
      </c>
      <c r="N33" s="14">
        <v>8954</v>
      </c>
      <c r="O33" s="14" t="s">
        <v>1559</v>
      </c>
    </row>
    <row r="34" spans="1:15" ht="13.5" hidden="1" x14ac:dyDescent="0.25">
      <c r="A34" s="10" t="s">
        <v>655</v>
      </c>
      <c r="B34" s="29" t="s">
        <v>230</v>
      </c>
      <c r="C34" s="23">
        <v>2912</v>
      </c>
      <c r="D34" s="7" t="s">
        <v>236</v>
      </c>
      <c r="E34" s="7" t="s">
        <v>1889</v>
      </c>
      <c r="F34" s="8" t="s">
        <v>1058</v>
      </c>
      <c r="G34" s="8" t="s">
        <v>503</v>
      </c>
      <c r="H34" s="8" t="s">
        <v>1605</v>
      </c>
      <c r="I34" s="8" t="s">
        <v>1623</v>
      </c>
      <c r="J34" s="8" t="s">
        <v>1059</v>
      </c>
      <c r="K34" s="24">
        <v>100</v>
      </c>
      <c r="L34" s="24">
        <v>5</v>
      </c>
      <c r="M34" s="43" t="s">
        <v>2099</v>
      </c>
      <c r="N34" s="14">
        <v>8954</v>
      </c>
      <c r="O34" s="14" t="s">
        <v>1559</v>
      </c>
    </row>
    <row r="35" spans="1:15" ht="13.5" hidden="1" x14ac:dyDescent="0.25">
      <c r="A35" s="10" t="s">
        <v>654</v>
      </c>
      <c r="B35" s="29" t="s">
        <v>230</v>
      </c>
      <c r="C35" s="23">
        <v>2926</v>
      </c>
      <c r="D35" s="7" t="s">
        <v>235</v>
      </c>
      <c r="E35" s="7" t="s">
        <v>1887</v>
      </c>
      <c r="F35" s="8" t="s">
        <v>1056</v>
      </c>
      <c r="G35" s="8" t="s">
        <v>503</v>
      </c>
      <c r="H35" s="8" t="s">
        <v>1605</v>
      </c>
      <c r="I35" s="8" t="s">
        <v>1623</v>
      </c>
      <c r="J35" s="8" t="s">
        <v>1057</v>
      </c>
      <c r="K35" s="24">
        <v>100</v>
      </c>
      <c r="L35" s="24">
        <v>5</v>
      </c>
      <c r="M35" s="43" t="s">
        <v>2099</v>
      </c>
      <c r="N35" s="14">
        <v>8954</v>
      </c>
      <c r="O35" s="14" t="s">
        <v>1559</v>
      </c>
    </row>
    <row r="36" spans="1:15" ht="13.5" hidden="1" x14ac:dyDescent="0.25">
      <c r="A36" s="10" t="s">
        <v>658</v>
      </c>
      <c r="B36" s="29" t="s">
        <v>230</v>
      </c>
      <c r="C36" s="23">
        <v>2952</v>
      </c>
      <c r="D36" s="7" t="s">
        <v>241</v>
      </c>
      <c r="E36" s="7" t="s">
        <v>1886</v>
      </c>
      <c r="F36" s="8" t="s">
        <v>1064</v>
      </c>
      <c r="G36" s="8" t="s">
        <v>503</v>
      </c>
      <c r="H36" s="8" t="s">
        <v>1605</v>
      </c>
      <c r="I36" s="8" t="s">
        <v>1623</v>
      </c>
      <c r="J36" s="8" t="s">
        <v>1065</v>
      </c>
      <c r="K36" s="24">
        <v>100</v>
      </c>
      <c r="L36" s="24">
        <v>5</v>
      </c>
      <c r="M36" s="43" t="s">
        <v>2099</v>
      </c>
      <c r="N36" s="14">
        <v>8954</v>
      </c>
      <c r="O36" s="14" t="s">
        <v>1559</v>
      </c>
    </row>
    <row r="37" spans="1:15" ht="13.5" hidden="1" x14ac:dyDescent="0.25">
      <c r="A37" s="10" t="s">
        <v>656</v>
      </c>
      <c r="B37" s="29" t="s">
        <v>230</v>
      </c>
      <c r="C37" s="23">
        <v>2975</v>
      </c>
      <c r="D37" s="7" t="s">
        <v>237</v>
      </c>
      <c r="E37" s="7" t="s">
        <v>1873</v>
      </c>
      <c r="F37" s="8" t="s">
        <v>1060</v>
      </c>
      <c r="G37" s="8" t="s">
        <v>503</v>
      </c>
      <c r="H37" s="8" t="s">
        <v>1605</v>
      </c>
      <c r="I37" s="8" t="s">
        <v>1623</v>
      </c>
      <c r="J37" s="8" t="s">
        <v>1061</v>
      </c>
      <c r="K37" s="24">
        <v>100</v>
      </c>
      <c r="L37" s="24">
        <v>5</v>
      </c>
      <c r="M37" s="43" t="s">
        <v>2099</v>
      </c>
      <c r="N37" s="14">
        <v>8954</v>
      </c>
      <c r="O37" s="14" t="s">
        <v>1559</v>
      </c>
    </row>
    <row r="38" spans="1:15" ht="13.5" hidden="1" x14ac:dyDescent="0.25">
      <c r="A38" s="10" t="s">
        <v>659</v>
      </c>
      <c r="B38" s="29" t="s">
        <v>230</v>
      </c>
      <c r="C38" s="23">
        <v>2979</v>
      </c>
      <c r="D38" s="7" t="s">
        <v>243</v>
      </c>
      <c r="E38" s="7" t="s">
        <v>1890</v>
      </c>
      <c r="F38" s="8" t="s">
        <v>1066</v>
      </c>
      <c r="G38" s="8" t="s">
        <v>503</v>
      </c>
      <c r="H38" s="8" t="s">
        <v>1605</v>
      </c>
      <c r="I38" s="8" t="s">
        <v>1623</v>
      </c>
      <c r="J38" s="8" t="s">
        <v>1067</v>
      </c>
      <c r="K38" s="24">
        <v>100</v>
      </c>
      <c r="L38" s="24">
        <v>5</v>
      </c>
      <c r="M38" s="43" t="s">
        <v>2099</v>
      </c>
      <c r="N38" s="14">
        <v>8954</v>
      </c>
      <c r="O38" s="14" t="s">
        <v>1559</v>
      </c>
    </row>
    <row r="39" spans="1:15" ht="13.5" hidden="1" x14ac:dyDescent="0.25">
      <c r="A39" s="10" t="s">
        <v>1454</v>
      </c>
      <c r="B39" s="29" t="s">
        <v>264</v>
      </c>
      <c r="C39" s="23">
        <v>31</v>
      </c>
      <c r="D39" s="7" t="s">
        <v>266</v>
      </c>
      <c r="E39" s="7" t="s">
        <v>1878</v>
      </c>
      <c r="F39" s="8" t="s">
        <v>1478</v>
      </c>
      <c r="G39" s="8" t="s">
        <v>503</v>
      </c>
      <c r="H39" s="8" t="s">
        <v>1605</v>
      </c>
      <c r="I39" s="8" t="s">
        <v>1623</v>
      </c>
      <c r="J39" s="8" t="s">
        <v>1479</v>
      </c>
      <c r="K39" s="24">
        <v>100</v>
      </c>
      <c r="L39" s="24">
        <v>5</v>
      </c>
      <c r="M39" s="43" t="s">
        <v>2099</v>
      </c>
      <c r="N39" s="14">
        <v>8954</v>
      </c>
      <c r="O39" s="14" t="s">
        <v>1559</v>
      </c>
    </row>
    <row r="40" spans="1:15" ht="13.5" hidden="1" x14ac:dyDescent="0.25">
      <c r="A40" s="10" t="s">
        <v>782</v>
      </c>
      <c r="B40" s="29" t="s">
        <v>408</v>
      </c>
      <c r="C40" s="23">
        <v>24</v>
      </c>
      <c r="D40" s="7" t="s">
        <v>249</v>
      </c>
      <c r="E40" s="7" t="s">
        <v>1884</v>
      </c>
      <c r="F40" s="8" t="s">
        <v>1363</v>
      </c>
      <c r="G40" s="8" t="s">
        <v>503</v>
      </c>
      <c r="H40" s="8" t="s">
        <v>1605</v>
      </c>
      <c r="I40" s="8" t="s">
        <v>1623</v>
      </c>
      <c r="J40" s="8" t="s">
        <v>1364</v>
      </c>
      <c r="K40" s="24">
        <v>100</v>
      </c>
      <c r="L40" s="24">
        <v>5</v>
      </c>
      <c r="M40" s="43" t="s">
        <v>2099</v>
      </c>
      <c r="N40" s="14">
        <v>8954</v>
      </c>
      <c r="O40" s="14" t="s">
        <v>1559</v>
      </c>
    </row>
    <row r="41" spans="1:15" ht="13.5" hidden="1" x14ac:dyDescent="0.25">
      <c r="A41" s="10" t="s">
        <v>1423</v>
      </c>
      <c r="B41" s="29" t="s">
        <v>408</v>
      </c>
      <c r="C41" s="23">
        <v>133</v>
      </c>
      <c r="D41" s="7" t="s">
        <v>492</v>
      </c>
      <c r="E41" s="7" t="s">
        <v>1882</v>
      </c>
      <c r="F41" s="8" t="s">
        <v>1442</v>
      </c>
      <c r="G41" s="8" t="s">
        <v>503</v>
      </c>
      <c r="H41" s="8" t="s">
        <v>1605</v>
      </c>
      <c r="I41" s="8" t="s">
        <v>1623</v>
      </c>
      <c r="J41" s="8" t="s">
        <v>1443</v>
      </c>
      <c r="K41" s="24">
        <v>100</v>
      </c>
      <c r="L41" s="24">
        <v>5</v>
      </c>
      <c r="M41" s="43" t="s">
        <v>2099</v>
      </c>
      <c r="N41" s="14">
        <v>8954</v>
      </c>
      <c r="O41" s="14" t="s">
        <v>1559</v>
      </c>
    </row>
    <row r="42" spans="1:15" ht="13.5" hidden="1" x14ac:dyDescent="0.25">
      <c r="A42" s="10" t="s">
        <v>559</v>
      </c>
      <c r="B42" s="29" t="s">
        <v>44</v>
      </c>
      <c r="C42" s="23" t="s">
        <v>457</v>
      </c>
      <c r="D42" s="7" t="s">
        <v>458</v>
      </c>
      <c r="E42" s="7" t="s">
        <v>1875</v>
      </c>
      <c r="F42" s="8" t="s">
        <v>847</v>
      </c>
      <c r="G42" s="8" t="s">
        <v>503</v>
      </c>
      <c r="H42" s="8" t="s">
        <v>1605</v>
      </c>
      <c r="I42" s="8" t="s">
        <v>1623</v>
      </c>
      <c r="J42" s="8" t="s">
        <v>848</v>
      </c>
      <c r="K42" s="24">
        <v>100</v>
      </c>
      <c r="L42" s="24">
        <v>5</v>
      </c>
      <c r="M42" s="42" t="s">
        <v>512</v>
      </c>
      <c r="N42" s="14">
        <v>350</v>
      </c>
      <c r="O42" s="14" t="s">
        <v>1559</v>
      </c>
    </row>
    <row r="43" spans="1:15" ht="13.5" hidden="1" x14ac:dyDescent="0.25">
      <c r="A43" s="10" t="s">
        <v>548</v>
      </c>
      <c r="B43" s="29" t="s">
        <v>44</v>
      </c>
      <c r="C43" s="23" t="s">
        <v>51</v>
      </c>
      <c r="D43" s="7" t="s">
        <v>52</v>
      </c>
      <c r="E43" s="7" t="s">
        <v>1880</v>
      </c>
      <c r="F43" s="8" t="s">
        <v>825</v>
      </c>
      <c r="G43" s="8" t="s">
        <v>503</v>
      </c>
      <c r="H43" s="8" t="s">
        <v>1605</v>
      </c>
      <c r="I43" s="8" t="s">
        <v>1623</v>
      </c>
      <c r="J43" s="8" t="s">
        <v>826</v>
      </c>
      <c r="K43" s="24">
        <v>100</v>
      </c>
      <c r="L43" s="24">
        <v>5</v>
      </c>
      <c r="M43" s="42" t="s">
        <v>512</v>
      </c>
      <c r="N43" s="14">
        <v>350</v>
      </c>
      <c r="O43" s="14" t="s">
        <v>1559</v>
      </c>
    </row>
    <row r="44" spans="1:15" ht="13.5" hidden="1" x14ac:dyDescent="0.25">
      <c r="A44" s="10" t="s">
        <v>618</v>
      </c>
      <c r="B44" s="24" t="s">
        <v>104</v>
      </c>
      <c r="C44" s="23" t="s">
        <v>461</v>
      </c>
      <c r="D44" s="7" t="s">
        <v>462</v>
      </c>
      <c r="E44" s="7" t="s">
        <v>1892</v>
      </c>
      <c r="F44" s="8" t="s">
        <v>971</v>
      </c>
      <c r="G44" s="8" t="s">
        <v>503</v>
      </c>
      <c r="H44" s="8" t="s">
        <v>1605</v>
      </c>
      <c r="I44" s="8" t="s">
        <v>1623</v>
      </c>
      <c r="J44" s="8" t="s">
        <v>972</v>
      </c>
      <c r="K44" s="24">
        <v>100</v>
      </c>
      <c r="L44" s="24">
        <v>5</v>
      </c>
      <c r="M44" s="42" t="s">
        <v>512</v>
      </c>
      <c r="N44" s="14">
        <v>350</v>
      </c>
      <c r="O44" s="14" t="s">
        <v>1559</v>
      </c>
    </row>
    <row r="45" spans="1:15" ht="13.5" hidden="1" x14ac:dyDescent="0.25">
      <c r="A45" s="10" t="s">
        <v>1370</v>
      </c>
      <c r="B45" s="24" t="s">
        <v>104</v>
      </c>
      <c r="C45" s="24" t="s">
        <v>499</v>
      </c>
      <c r="D45" s="7" t="s">
        <v>475</v>
      </c>
      <c r="E45" s="7" t="s">
        <v>1949</v>
      </c>
      <c r="F45" s="8" t="s">
        <v>1391</v>
      </c>
      <c r="G45" s="8" t="s">
        <v>503</v>
      </c>
      <c r="H45" s="8" t="s">
        <v>1605</v>
      </c>
      <c r="I45" s="8" t="s">
        <v>1623</v>
      </c>
      <c r="J45" s="8" t="s">
        <v>1392</v>
      </c>
      <c r="K45" s="24">
        <v>100</v>
      </c>
      <c r="L45" s="24">
        <v>5</v>
      </c>
      <c r="M45" s="42" t="s">
        <v>512</v>
      </c>
      <c r="N45" s="14">
        <v>350</v>
      </c>
      <c r="O45" s="14" t="s">
        <v>1560</v>
      </c>
    </row>
    <row r="46" spans="1:15" ht="13.5" hidden="1" x14ac:dyDescent="0.25">
      <c r="A46" s="10" t="s">
        <v>617</v>
      </c>
      <c r="B46" s="24" t="s">
        <v>104</v>
      </c>
      <c r="C46" s="23" t="s">
        <v>478</v>
      </c>
      <c r="D46" s="7" t="s">
        <v>479</v>
      </c>
      <c r="E46" s="7" t="s">
        <v>1888</v>
      </c>
      <c r="F46" s="8" t="s">
        <v>969</v>
      </c>
      <c r="G46" s="8" t="s">
        <v>503</v>
      </c>
      <c r="H46" s="8" t="s">
        <v>1605</v>
      </c>
      <c r="I46" s="8" t="s">
        <v>1623</v>
      </c>
      <c r="J46" s="8" t="s">
        <v>970</v>
      </c>
      <c r="K46" s="24">
        <v>100</v>
      </c>
      <c r="L46" s="24">
        <v>5</v>
      </c>
      <c r="M46" s="42" t="s">
        <v>512</v>
      </c>
      <c r="N46" s="14">
        <v>350</v>
      </c>
      <c r="O46" s="14" t="s">
        <v>1559</v>
      </c>
    </row>
    <row r="47" spans="1:15" ht="13.5" hidden="1" x14ac:dyDescent="0.25">
      <c r="A47" s="10" t="s">
        <v>587</v>
      </c>
      <c r="B47" s="24" t="s">
        <v>104</v>
      </c>
      <c r="C47" s="23" t="s">
        <v>111</v>
      </c>
      <c r="D47" s="7" t="s">
        <v>112</v>
      </c>
      <c r="E47" s="7" t="s">
        <v>1941</v>
      </c>
      <c r="F47" s="8" t="s">
        <v>901</v>
      </c>
      <c r="G47" s="8" t="s">
        <v>503</v>
      </c>
      <c r="H47" s="8" t="s">
        <v>1605</v>
      </c>
      <c r="I47" s="8" t="s">
        <v>1623</v>
      </c>
      <c r="J47" s="8" t="s">
        <v>902</v>
      </c>
      <c r="K47" s="24">
        <v>100</v>
      </c>
      <c r="L47" s="24">
        <v>5</v>
      </c>
      <c r="M47" s="42" t="s">
        <v>512</v>
      </c>
      <c r="N47" s="14">
        <v>350</v>
      </c>
      <c r="O47" s="14" t="s">
        <v>1559</v>
      </c>
    </row>
    <row r="48" spans="1:15" ht="13.5" hidden="1" x14ac:dyDescent="0.25">
      <c r="A48" s="10" t="s">
        <v>620</v>
      </c>
      <c r="B48" s="24" t="s">
        <v>104</v>
      </c>
      <c r="C48" s="23" t="s">
        <v>190</v>
      </c>
      <c r="D48" s="7" t="s">
        <v>191</v>
      </c>
      <c r="E48" s="7" t="s">
        <v>1871</v>
      </c>
      <c r="F48" s="8" t="s">
        <v>975</v>
      </c>
      <c r="G48" s="8" t="s">
        <v>503</v>
      </c>
      <c r="H48" s="8" t="s">
        <v>1605</v>
      </c>
      <c r="I48" s="8" t="s">
        <v>1623</v>
      </c>
      <c r="J48" s="8" t="s">
        <v>976</v>
      </c>
      <c r="K48" s="24">
        <v>100</v>
      </c>
      <c r="L48" s="24">
        <v>5</v>
      </c>
      <c r="M48" s="42" t="s">
        <v>512</v>
      </c>
      <c r="N48" s="14">
        <v>350</v>
      </c>
      <c r="O48" s="14" t="s">
        <v>1559</v>
      </c>
    </row>
    <row r="49" spans="1:15" ht="13.5" hidden="1" x14ac:dyDescent="0.25">
      <c r="A49" s="10" t="s">
        <v>612</v>
      </c>
      <c r="B49" s="24" t="s">
        <v>104</v>
      </c>
      <c r="C49" s="23" t="s">
        <v>173</v>
      </c>
      <c r="D49" s="7" t="s">
        <v>174</v>
      </c>
      <c r="E49" s="7" t="s">
        <v>1942</v>
      </c>
      <c r="F49" s="8" t="s">
        <v>955</v>
      </c>
      <c r="G49" s="8" t="s">
        <v>503</v>
      </c>
      <c r="H49" s="8" t="s">
        <v>1605</v>
      </c>
      <c r="I49" s="8" t="s">
        <v>1623</v>
      </c>
      <c r="J49" s="8" t="s">
        <v>956</v>
      </c>
      <c r="K49" s="24">
        <v>100</v>
      </c>
      <c r="L49" s="24">
        <v>5</v>
      </c>
      <c r="M49" s="42" t="s">
        <v>512</v>
      </c>
      <c r="N49" s="14">
        <v>350</v>
      </c>
      <c r="O49" s="14" t="s">
        <v>1559</v>
      </c>
    </row>
    <row r="50" spans="1:15" ht="13.5" hidden="1" x14ac:dyDescent="0.25">
      <c r="A50" s="10" t="s">
        <v>1417</v>
      </c>
      <c r="B50" s="29" t="s">
        <v>104</v>
      </c>
      <c r="C50" s="23" t="s">
        <v>482</v>
      </c>
      <c r="D50" s="7" t="s">
        <v>483</v>
      </c>
      <c r="E50" s="7" t="s">
        <v>1944</v>
      </c>
      <c r="F50" s="8" t="s">
        <v>1430</v>
      </c>
      <c r="G50" s="8" t="s">
        <v>503</v>
      </c>
      <c r="H50" s="8" t="s">
        <v>1605</v>
      </c>
      <c r="I50" s="8" t="s">
        <v>1623</v>
      </c>
      <c r="J50" s="8" t="s">
        <v>1431</v>
      </c>
      <c r="K50" s="24">
        <v>100</v>
      </c>
      <c r="L50" s="24">
        <v>5</v>
      </c>
      <c r="M50" s="42" t="s">
        <v>512</v>
      </c>
      <c r="N50" s="14">
        <v>350</v>
      </c>
      <c r="O50" s="14" t="s">
        <v>1559</v>
      </c>
    </row>
    <row r="51" spans="1:15" ht="13.5" hidden="1" x14ac:dyDescent="0.25">
      <c r="A51" s="10" t="s">
        <v>586</v>
      </c>
      <c r="B51" s="24" t="s">
        <v>104</v>
      </c>
      <c r="C51" s="23" t="s">
        <v>109</v>
      </c>
      <c r="D51" s="7" t="s">
        <v>110</v>
      </c>
      <c r="E51" s="7" t="s">
        <v>1940</v>
      </c>
      <c r="F51" s="8" t="s">
        <v>899</v>
      </c>
      <c r="G51" s="8" t="s">
        <v>503</v>
      </c>
      <c r="H51" s="8" t="s">
        <v>1605</v>
      </c>
      <c r="I51" s="8" t="s">
        <v>1623</v>
      </c>
      <c r="J51" s="8" t="s">
        <v>900</v>
      </c>
      <c r="K51" s="24">
        <v>100</v>
      </c>
      <c r="L51" s="24">
        <v>5</v>
      </c>
      <c r="M51" s="42" t="s">
        <v>512</v>
      </c>
      <c r="N51" s="14">
        <v>350</v>
      </c>
      <c r="O51" s="14" t="s">
        <v>1559</v>
      </c>
    </row>
    <row r="52" spans="1:15" ht="13.5" hidden="1" x14ac:dyDescent="0.25">
      <c r="A52" s="10" t="s">
        <v>1371</v>
      </c>
      <c r="B52" s="24" t="s">
        <v>104</v>
      </c>
      <c r="C52" s="23" t="s">
        <v>484</v>
      </c>
      <c r="D52" s="7" t="s">
        <v>485</v>
      </c>
      <c r="E52" s="7" t="s">
        <v>1911</v>
      </c>
      <c r="F52" s="8" t="s">
        <v>1393</v>
      </c>
      <c r="G52" s="8" t="s">
        <v>503</v>
      </c>
      <c r="H52" s="8" t="s">
        <v>1605</v>
      </c>
      <c r="I52" s="8" t="s">
        <v>1623</v>
      </c>
      <c r="J52" s="8" t="s">
        <v>1394</v>
      </c>
      <c r="K52" s="24">
        <v>100</v>
      </c>
      <c r="L52" s="24">
        <v>5</v>
      </c>
      <c r="M52" s="42" t="s">
        <v>512</v>
      </c>
      <c r="N52" s="14">
        <v>350</v>
      </c>
      <c r="O52" s="14" t="s">
        <v>1560</v>
      </c>
    </row>
    <row r="53" spans="1:15" ht="13.5" hidden="1" x14ac:dyDescent="0.25">
      <c r="A53" s="10" t="s">
        <v>651</v>
      </c>
      <c r="B53" s="29" t="s">
        <v>230</v>
      </c>
      <c r="C53" s="23">
        <v>2950</v>
      </c>
      <c r="D53" s="7" t="s">
        <v>234</v>
      </c>
      <c r="E53" s="7" t="s">
        <v>1865</v>
      </c>
      <c r="F53" s="8" t="s">
        <v>1050</v>
      </c>
      <c r="G53" s="8" t="s">
        <v>503</v>
      </c>
      <c r="H53" s="8" t="s">
        <v>1605</v>
      </c>
      <c r="I53" s="8" t="s">
        <v>1623</v>
      </c>
      <c r="J53" s="8" t="s">
        <v>1051</v>
      </c>
      <c r="K53" s="24">
        <v>100</v>
      </c>
      <c r="L53" s="24">
        <v>5</v>
      </c>
      <c r="M53" s="42" t="s">
        <v>512</v>
      </c>
      <c r="N53" s="14">
        <v>350</v>
      </c>
      <c r="O53" s="14" t="s">
        <v>1559</v>
      </c>
    </row>
    <row r="54" spans="1:15" ht="13.5" hidden="1" x14ac:dyDescent="0.25">
      <c r="A54" s="10" t="s">
        <v>652</v>
      </c>
      <c r="B54" s="29" t="s">
        <v>230</v>
      </c>
      <c r="C54" s="23">
        <v>2951</v>
      </c>
      <c r="D54" s="7" t="s">
        <v>488</v>
      </c>
      <c r="E54" s="7" t="s">
        <v>1860</v>
      </c>
      <c r="F54" s="8" t="s">
        <v>1052</v>
      </c>
      <c r="G54" s="8" t="s">
        <v>503</v>
      </c>
      <c r="H54" s="8" t="s">
        <v>1605</v>
      </c>
      <c r="I54" s="8" t="s">
        <v>1623</v>
      </c>
      <c r="J54" s="8" t="s">
        <v>1053</v>
      </c>
      <c r="K54" s="24">
        <v>100</v>
      </c>
      <c r="L54" s="24">
        <v>5</v>
      </c>
      <c r="M54" s="42" t="s">
        <v>512</v>
      </c>
      <c r="N54" s="14">
        <v>350</v>
      </c>
      <c r="O54" s="14" t="s">
        <v>1559</v>
      </c>
    </row>
    <row r="55" spans="1:15" ht="13.5" hidden="1" x14ac:dyDescent="0.25">
      <c r="A55" s="10" t="s">
        <v>666</v>
      </c>
      <c r="B55" s="29" t="s">
        <v>230</v>
      </c>
      <c r="C55" s="23">
        <v>2946</v>
      </c>
      <c r="D55" s="7" t="s">
        <v>487</v>
      </c>
      <c r="E55" s="7" t="s">
        <v>1858</v>
      </c>
      <c r="F55" s="8" t="s">
        <v>1080</v>
      </c>
      <c r="G55" s="8" t="s">
        <v>503</v>
      </c>
      <c r="H55" s="8" t="s">
        <v>1605</v>
      </c>
      <c r="I55" s="8" t="s">
        <v>1623</v>
      </c>
      <c r="J55" s="8" t="s">
        <v>1081</v>
      </c>
      <c r="K55" s="24">
        <v>100</v>
      </c>
      <c r="L55" s="24">
        <v>5</v>
      </c>
      <c r="M55" s="42" t="s">
        <v>512</v>
      </c>
      <c r="N55" s="14">
        <v>350</v>
      </c>
      <c r="O55" s="14" t="s">
        <v>1559</v>
      </c>
    </row>
    <row r="56" spans="1:15" ht="13.5" hidden="1" x14ac:dyDescent="0.25">
      <c r="A56" s="10" t="s">
        <v>649</v>
      </c>
      <c r="B56" s="29" t="s">
        <v>230</v>
      </c>
      <c r="C56" s="23">
        <v>2961</v>
      </c>
      <c r="D56" s="7" t="s">
        <v>231</v>
      </c>
      <c r="E56" s="7" t="s">
        <v>1879</v>
      </c>
      <c r="F56" s="8" t="s">
        <v>1046</v>
      </c>
      <c r="G56" s="8" t="s">
        <v>503</v>
      </c>
      <c r="H56" s="8" t="s">
        <v>1605</v>
      </c>
      <c r="I56" s="8" t="s">
        <v>1623</v>
      </c>
      <c r="J56" s="8" t="s">
        <v>1047</v>
      </c>
      <c r="K56" s="24">
        <v>100</v>
      </c>
      <c r="L56" s="24">
        <v>5</v>
      </c>
      <c r="M56" s="42" t="s">
        <v>512</v>
      </c>
      <c r="N56" s="14">
        <v>350</v>
      </c>
      <c r="O56" s="14" t="s">
        <v>1559</v>
      </c>
    </row>
    <row r="57" spans="1:15" ht="13.5" hidden="1" x14ac:dyDescent="0.25">
      <c r="A57" s="10" t="s">
        <v>653</v>
      </c>
      <c r="B57" s="29" t="s">
        <v>230</v>
      </c>
      <c r="C57" s="23">
        <v>2924</v>
      </c>
      <c r="D57" s="7" t="s">
        <v>486</v>
      </c>
      <c r="E57" s="7" t="s">
        <v>1864</v>
      </c>
      <c r="F57" s="8" t="s">
        <v>1054</v>
      </c>
      <c r="G57" s="8" t="s">
        <v>503</v>
      </c>
      <c r="H57" s="8" t="s">
        <v>1605</v>
      </c>
      <c r="I57" s="8" t="s">
        <v>1623</v>
      </c>
      <c r="J57" s="8" t="s">
        <v>1055</v>
      </c>
      <c r="K57" s="24">
        <v>100</v>
      </c>
      <c r="L57" s="24">
        <v>5</v>
      </c>
      <c r="M57" s="42" t="s">
        <v>512</v>
      </c>
      <c r="N57" s="14">
        <v>350</v>
      </c>
      <c r="O57" s="14" t="s">
        <v>1559</v>
      </c>
    </row>
    <row r="58" spans="1:15" ht="13.5" hidden="1" x14ac:dyDescent="0.25">
      <c r="A58" s="10" t="s">
        <v>1377</v>
      </c>
      <c r="B58" s="29" t="s">
        <v>230</v>
      </c>
      <c r="C58" s="23">
        <v>2981</v>
      </c>
      <c r="D58" s="7" t="s">
        <v>489</v>
      </c>
      <c r="E58" s="7" t="s">
        <v>1859</v>
      </c>
      <c r="F58" s="8" t="s">
        <v>1405</v>
      </c>
      <c r="G58" s="8" t="s">
        <v>503</v>
      </c>
      <c r="H58" s="8" t="s">
        <v>1605</v>
      </c>
      <c r="I58" s="8" t="s">
        <v>1623</v>
      </c>
      <c r="J58" s="8" t="s">
        <v>1406</v>
      </c>
      <c r="K58" s="24">
        <v>100</v>
      </c>
      <c r="L58" s="24">
        <v>5</v>
      </c>
      <c r="M58" s="42" t="s">
        <v>512</v>
      </c>
      <c r="N58" s="14">
        <v>350</v>
      </c>
      <c r="O58" s="14" t="s">
        <v>1559</v>
      </c>
    </row>
    <row r="59" spans="1:15" ht="13.5" hidden="1" x14ac:dyDescent="0.25">
      <c r="A59" s="10" t="s">
        <v>668</v>
      </c>
      <c r="B59" s="29" t="s">
        <v>230</v>
      </c>
      <c r="C59" s="29">
        <v>2996</v>
      </c>
      <c r="D59" s="10" t="s">
        <v>490</v>
      </c>
      <c r="E59" s="10" t="s">
        <v>1863</v>
      </c>
      <c r="F59" s="8" t="s">
        <v>1084</v>
      </c>
      <c r="G59" s="8" t="s">
        <v>503</v>
      </c>
      <c r="H59" s="8" t="s">
        <v>1605</v>
      </c>
      <c r="I59" s="8" t="s">
        <v>1623</v>
      </c>
      <c r="J59" s="8" t="s">
        <v>1085</v>
      </c>
      <c r="K59" s="24">
        <v>100</v>
      </c>
      <c r="L59" s="24">
        <v>5</v>
      </c>
      <c r="M59" s="42" t="s">
        <v>512</v>
      </c>
      <c r="N59" s="14">
        <v>350</v>
      </c>
      <c r="O59" s="14" t="s">
        <v>1559</v>
      </c>
    </row>
    <row r="60" spans="1:15" ht="13.5" hidden="1" x14ac:dyDescent="0.25">
      <c r="A60" s="10" t="s">
        <v>809</v>
      </c>
      <c r="B60" s="29" t="s">
        <v>264</v>
      </c>
      <c r="C60" s="29">
        <v>189</v>
      </c>
      <c r="D60" s="10" t="s">
        <v>277</v>
      </c>
      <c r="E60" s="10" t="s">
        <v>1883</v>
      </c>
      <c r="F60" s="8" t="s">
        <v>1138</v>
      </c>
      <c r="G60" s="8" t="s">
        <v>503</v>
      </c>
      <c r="H60" s="8" t="s">
        <v>1605</v>
      </c>
      <c r="I60" s="8" t="s">
        <v>1623</v>
      </c>
      <c r="J60" s="8" t="s">
        <v>1139</v>
      </c>
      <c r="K60" s="24">
        <v>100</v>
      </c>
      <c r="L60" s="24">
        <v>5</v>
      </c>
      <c r="M60" s="42" t="s">
        <v>512</v>
      </c>
      <c r="N60" s="14">
        <v>350</v>
      </c>
      <c r="O60" s="14" t="s">
        <v>1559</v>
      </c>
    </row>
    <row r="61" spans="1:15" ht="13.5" hidden="1" x14ac:dyDescent="0.25">
      <c r="A61" s="10" t="s">
        <v>767</v>
      </c>
      <c r="B61" s="29" t="s">
        <v>380</v>
      </c>
      <c r="C61" s="23">
        <v>1230</v>
      </c>
      <c r="D61" s="7" t="s">
        <v>491</v>
      </c>
      <c r="E61" s="7" t="s">
        <v>1867</v>
      </c>
      <c r="F61" s="8" t="s">
        <v>1330</v>
      </c>
      <c r="G61" s="8" t="s">
        <v>503</v>
      </c>
      <c r="H61" s="8" t="s">
        <v>1605</v>
      </c>
      <c r="I61" s="8" t="s">
        <v>1623</v>
      </c>
      <c r="J61" s="8" t="s">
        <v>1331</v>
      </c>
      <c r="K61" s="24">
        <v>100</v>
      </c>
      <c r="L61" s="24">
        <v>5</v>
      </c>
      <c r="M61" s="42" t="s">
        <v>512</v>
      </c>
      <c r="N61" s="14">
        <v>350</v>
      </c>
      <c r="O61" s="14" t="s">
        <v>1559</v>
      </c>
    </row>
    <row r="62" spans="1:15" ht="13.5" hidden="1" x14ac:dyDescent="0.25">
      <c r="A62" s="10" t="s">
        <v>781</v>
      </c>
      <c r="B62" s="29" t="s">
        <v>408</v>
      </c>
      <c r="C62" s="23">
        <v>7</v>
      </c>
      <c r="D62" s="7" t="s">
        <v>488</v>
      </c>
      <c r="E62" s="7" t="s">
        <v>1862</v>
      </c>
      <c r="F62" s="8" t="s">
        <v>1132</v>
      </c>
      <c r="G62" s="8" t="s">
        <v>503</v>
      </c>
      <c r="H62" s="8" t="s">
        <v>1605</v>
      </c>
      <c r="I62" s="8" t="s">
        <v>1623</v>
      </c>
      <c r="J62" s="8" t="s">
        <v>1133</v>
      </c>
      <c r="K62" s="24">
        <v>100</v>
      </c>
      <c r="L62" s="24">
        <v>5</v>
      </c>
      <c r="M62" s="42" t="s">
        <v>512</v>
      </c>
      <c r="N62" s="14">
        <v>350</v>
      </c>
      <c r="O62" s="14" t="s">
        <v>1559</v>
      </c>
    </row>
    <row r="63" spans="1:15" ht="13.5" hidden="1" x14ac:dyDescent="0.25">
      <c r="A63" s="10" t="s">
        <v>780</v>
      </c>
      <c r="B63" s="29" t="s">
        <v>408</v>
      </c>
      <c r="C63" s="23">
        <v>14</v>
      </c>
      <c r="D63" s="7" t="s">
        <v>237</v>
      </c>
      <c r="E63" s="7" t="s">
        <v>1874</v>
      </c>
      <c r="F63" s="8" t="s">
        <v>1098</v>
      </c>
      <c r="G63" s="8" t="s">
        <v>503</v>
      </c>
      <c r="H63" s="8" t="s">
        <v>1605</v>
      </c>
      <c r="I63" s="8" t="s">
        <v>1623</v>
      </c>
      <c r="J63" s="8" t="s">
        <v>1099</v>
      </c>
      <c r="K63" s="24">
        <v>100</v>
      </c>
      <c r="L63" s="24">
        <v>5</v>
      </c>
      <c r="M63" s="42" t="s">
        <v>512</v>
      </c>
      <c r="N63" s="14">
        <v>350</v>
      </c>
      <c r="O63" s="14" t="s">
        <v>1559</v>
      </c>
    </row>
    <row r="64" spans="1:15" ht="13.5" hidden="1" x14ac:dyDescent="0.25">
      <c r="A64" s="10" t="s">
        <v>611</v>
      </c>
      <c r="B64" s="24" t="s">
        <v>104</v>
      </c>
      <c r="C64" s="23" t="s">
        <v>171</v>
      </c>
      <c r="D64" s="7" t="s">
        <v>172</v>
      </c>
      <c r="E64" s="7" t="s">
        <v>1847</v>
      </c>
      <c r="F64" s="8" t="s">
        <v>953</v>
      </c>
      <c r="G64" s="8" t="s">
        <v>117</v>
      </c>
      <c r="H64" s="8" t="s">
        <v>1609</v>
      </c>
      <c r="I64" s="8" t="s">
        <v>1626</v>
      </c>
      <c r="J64" s="8" t="s">
        <v>954</v>
      </c>
      <c r="K64" s="24">
        <v>100</v>
      </c>
      <c r="L64" s="24">
        <v>5</v>
      </c>
      <c r="M64" s="9" t="s">
        <v>514</v>
      </c>
      <c r="N64" s="14">
        <v>209</v>
      </c>
      <c r="O64" s="14" t="s">
        <v>1559</v>
      </c>
    </row>
    <row r="65" spans="1:15" ht="13.5" hidden="1" x14ac:dyDescent="0.25">
      <c r="A65" s="10" t="s">
        <v>610</v>
      </c>
      <c r="B65" s="24" t="s">
        <v>104</v>
      </c>
      <c r="C65" s="23" t="s">
        <v>168</v>
      </c>
      <c r="D65" s="7" t="s">
        <v>169</v>
      </c>
      <c r="E65" s="7" t="s">
        <v>1850</v>
      </c>
      <c r="F65" s="8" t="s">
        <v>951</v>
      </c>
      <c r="G65" s="8" t="s">
        <v>117</v>
      </c>
      <c r="H65" s="8" t="s">
        <v>1609</v>
      </c>
      <c r="I65" s="8" t="s">
        <v>1626</v>
      </c>
      <c r="J65" s="8" t="s">
        <v>952</v>
      </c>
      <c r="K65" s="24">
        <v>100</v>
      </c>
      <c r="L65" s="24">
        <v>5</v>
      </c>
      <c r="M65" s="9" t="s">
        <v>514</v>
      </c>
      <c r="N65" s="14">
        <v>209</v>
      </c>
      <c r="O65" s="14" t="s">
        <v>1559</v>
      </c>
    </row>
    <row r="66" spans="1:15" ht="13.5" hidden="1" x14ac:dyDescent="0.25">
      <c r="A66" s="10" t="s">
        <v>589</v>
      </c>
      <c r="B66" s="24" t="s">
        <v>104</v>
      </c>
      <c r="C66" s="23" t="s">
        <v>115</v>
      </c>
      <c r="D66" s="7" t="s">
        <v>116</v>
      </c>
      <c r="E66" s="7" t="s">
        <v>1848</v>
      </c>
      <c r="F66" s="8" t="s">
        <v>905</v>
      </c>
      <c r="G66" s="8" t="s">
        <v>117</v>
      </c>
      <c r="H66" s="8" t="s">
        <v>1609</v>
      </c>
      <c r="I66" s="8" t="s">
        <v>1626</v>
      </c>
      <c r="J66" s="8" t="s">
        <v>906</v>
      </c>
      <c r="K66" s="24">
        <v>100</v>
      </c>
      <c r="L66" s="24">
        <v>5</v>
      </c>
      <c r="M66" s="9" t="s">
        <v>514</v>
      </c>
      <c r="N66" s="14">
        <v>209</v>
      </c>
      <c r="O66" s="14" t="s">
        <v>1559</v>
      </c>
    </row>
    <row r="67" spans="1:15" ht="13.5" hidden="1" x14ac:dyDescent="0.25">
      <c r="A67" s="10" t="s">
        <v>1445</v>
      </c>
      <c r="B67" s="29" t="s">
        <v>264</v>
      </c>
      <c r="C67" s="29">
        <v>1</v>
      </c>
      <c r="D67" s="10" t="s">
        <v>265</v>
      </c>
      <c r="E67" s="10" t="s">
        <v>1742</v>
      </c>
      <c r="F67" s="8" t="s">
        <v>1464</v>
      </c>
      <c r="G67" s="8" t="s">
        <v>117</v>
      </c>
      <c r="H67" s="8" t="s">
        <v>1609</v>
      </c>
      <c r="I67" s="8" t="s">
        <v>1626</v>
      </c>
      <c r="J67" s="8" t="s">
        <v>1465</v>
      </c>
      <c r="K67" s="24">
        <v>100</v>
      </c>
      <c r="L67" s="24">
        <v>5</v>
      </c>
      <c r="M67" s="9" t="s">
        <v>514</v>
      </c>
      <c r="N67" s="14">
        <v>209</v>
      </c>
      <c r="O67" s="14" t="s">
        <v>1559</v>
      </c>
    </row>
    <row r="68" spans="1:15" ht="13.5" hidden="1" x14ac:dyDescent="0.25">
      <c r="A68" s="10" t="s">
        <v>1457</v>
      </c>
      <c r="B68" s="29" t="s">
        <v>264</v>
      </c>
      <c r="C68" s="23">
        <v>117</v>
      </c>
      <c r="D68" s="7" t="s">
        <v>272</v>
      </c>
      <c r="E68" s="7" t="s">
        <v>1849</v>
      </c>
      <c r="F68" s="8" t="s">
        <v>1484</v>
      </c>
      <c r="G68" s="8" t="s">
        <v>117</v>
      </c>
      <c r="H68" s="8" t="s">
        <v>1609</v>
      </c>
      <c r="I68" s="8" t="s">
        <v>1626</v>
      </c>
      <c r="J68" s="8" t="s">
        <v>1485</v>
      </c>
      <c r="K68" s="24">
        <v>100</v>
      </c>
      <c r="L68" s="24">
        <v>5</v>
      </c>
      <c r="M68" s="9" t="s">
        <v>514</v>
      </c>
      <c r="N68" s="14">
        <v>209</v>
      </c>
      <c r="O68" s="14" t="s">
        <v>1559</v>
      </c>
    </row>
    <row r="69" spans="1:15" ht="13.5" hidden="1" x14ac:dyDescent="0.25">
      <c r="A69" s="10" t="s">
        <v>774</v>
      </c>
      <c r="B69" s="29" t="s">
        <v>395</v>
      </c>
      <c r="C69" s="23">
        <v>247</v>
      </c>
      <c r="D69" s="7" t="s">
        <v>400</v>
      </c>
      <c r="E69" s="7" t="s">
        <v>1851</v>
      </c>
      <c r="F69" s="8" t="s">
        <v>1344</v>
      </c>
      <c r="G69" s="8" t="s">
        <v>117</v>
      </c>
      <c r="H69" s="8" t="s">
        <v>1609</v>
      </c>
      <c r="I69" s="8" t="s">
        <v>1626</v>
      </c>
      <c r="J69" s="8" t="s">
        <v>1345</v>
      </c>
      <c r="K69" s="24">
        <v>100</v>
      </c>
      <c r="L69" s="24">
        <v>5</v>
      </c>
      <c r="M69" s="9" t="s">
        <v>514</v>
      </c>
      <c r="N69" s="14">
        <v>209</v>
      </c>
      <c r="O69" s="14" t="s">
        <v>1559</v>
      </c>
    </row>
    <row r="70" spans="1:15" ht="13.5" hidden="1" x14ac:dyDescent="0.25">
      <c r="A70" s="10" t="s">
        <v>564</v>
      </c>
      <c r="B70" s="29" t="s">
        <v>77</v>
      </c>
      <c r="C70" s="24">
        <v>6700</v>
      </c>
      <c r="D70" s="7" t="s">
        <v>78</v>
      </c>
      <c r="E70" s="7" t="s">
        <v>1915</v>
      </c>
      <c r="F70" s="8" t="s">
        <v>857</v>
      </c>
      <c r="G70" s="8" t="s">
        <v>505</v>
      </c>
      <c r="H70" s="8" t="s">
        <v>1602</v>
      </c>
      <c r="I70" s="8" t="s">
        <v>1619</v>
      </c>
      <c r="J70" s="8" t="s">
        <v>858</v>
      </c>
      <c r="K70" s="24">
        <v>100</v>
      </c>
      <c r="L70" s="24">
        <v>5</v>
      </c>
      <c r="M70" s="9" t="s">
        <v>518</v>
      </c>
      <c r="N70" s="14">
        <v>38</v>
      </c>
      <c r="O70" s="14" t="s">
        <v>1559</v>
      </c>
    </row>
    <row r="71" spans="1:15" ht="13.5" hidden="1" x14ac:dyDescent="0.25">
      <c r="A71" s="10" t="s">
        <v>574</v>
      </c>
      <c r="B71" s="29" t="s">
        <v>84</v>
      </c>
      <c r="C71" s="23">
        <v>414</v>
      </c>
      <c r="D71" s="7" t="s">
        <v>89</v>
      </c>
      <c r="E71" s="7" t="s">
        <v>1648</v>
      </c>
      <c r="F71" s="8" t="s">
        <v>877</v>
      </c>
      <c r="G71" s="8" t="s">
        <v>505</v>
      </c>
      <c r="H71" s="8" t="s">
        <v>1602</v>
      </c>
      <c r="I71" s="8" t="s">
        <v>1619</v>
      </c>
      <c r="J71" s="8" t="s">
        <v>878</v>
      </c>
      <c r="K71" s="24">
        <v>100</v>
      </c>
      <c r="L71" s="24">
        <v>5</v>
      </c>
      <c r="M71" s="9" t="s">
        <v>518</v>
      </c>
      <c r="N71" s="14">
        <v>38</v>
      </c>
      <c r="O71" s="14" t="s">
        <v>1559</v>
      </c>
    </row>
    <row r="72" spans="1:15" ht="13.5" hidden="1" x14ac:dyDescent="0.25">
      <c r="A72" s="10" t="s">
        <v>786</v>
      </c>
      <c r="B72" s="24" t="s">
        <v>104</v>
      </c>
      <c r="C72" s="23" t="s">
        <v>182</v>
      </c>
      <c r="D72" s="7" t="s">
        <v>183</v>
      </c>
      <c r="E72" s="7" t="s">
        <v>1927</v>
      </c>
      <c r="F72" s="8" t="s">
        <v>963</v>
      </c>
      <c r="G72" s="8" t="s">
        <v>505</v>
      </c>
      <c r="H72" s="8" t="s">
        <v>1602</v>
      </c>
      <c r="I72" s="8" t="s">
        <v>1619</v>
      </c>
      <c r="J72" s="8" t="s">
        <v>964</v>
      </c>
      <c r="K72" s="24">
        <v>100</v>
      </c>
      <c r="L72" s="24">
        <v>5</v>
      </c>
      <c r="M72" s="9" t="s">
        <v>518</v>
      </c>
      <c r="N72" s="14">
        <v>38</v>
      </c>
      <c r="O72" s="14" t="s">
        <v>1559</v>
      </c>
    </row>
    <row r="73" spans="1:15" ht="13.5" hidden="1" x14ac:dyDescent="0.25">
      <c r="A73" s="10" t="s">
        <v>590</v>
      </c>
      <c r="B73" s="24" t="s">
        <v>104</v>
      </c>
      <c r="C73" s="23" t="s">
        <v>118</v>
      </c>
      <c r="D73" s="7" t="s">
        <v>119</v>
      </c>
      <c r="E73" s="7" t="s">
        <v>1644</v>
      </c>
      <c r="F73" s="8" t="s">
        <v>907</v>
      </c>
      <c r="G73" s="8" t="s">
        <v>505</v>
      </c>
      <c r="H73" s="8" t="s">
        <v>1602</v>
      </c>
      <c r="I73" s="8" t="s">
        <v>1619</v>
      </c>
      <c r="J73" s="8" t="s">
        <v>908</v>
      </c>
      <c r="K73" s="24">
        <v>100</v>
      </c>
      <c r="L73" s="24">
        <v>5</v>
      </c>
      <c r="M73" s="9" t="s">
        <v>518</v>
      </c>
      <c r="N73" s="14">
        <v>38</v>
      </c>
      <c r="O73" s="14" t="s">
        <v>1559</v>
      </c>
    </row>
    <row r="74" spans="1:15" ht="13.5" hidden="1" x14ac:dyDescent="0.25">
      <c r="A74" s="10" t="s">
        <v>600</v>
      </c>
      <c r="B74" s="24" t="s">
        <v>104</v>
      </c>
      <c r="C74" s="23" t="s">
        <v>207</v>
      </c>
      <c r="D74" s="7" t="s">
        <v>208</v>
      </c>
      <c r="E74" s="7" t="s">
        <v>1928</v>
      </c>
      <c r="F74" s="8" t="s">
        <v>927</v>
      </c>
      <c r="G74" s="8" t="s">
        <v>505</v>
      </c>
      <c r="H74" s="8" t="s">
        <v>1602</v>
      </c>
      <c r="I74" s="8" t="s">
        <v>1619</v>
      </c>
      <c r="J74" s="8" t="s">
        <v>928</v>
      </c>
      <c r="K74" s="24">
        <v>100</v>
      </c>
      <c r="L74" s="24">
        <v>5</v>
      </c>
      <c r="M74" s="9" t="s">
        <v>518</v>
      </c>
      <c r="N74" s="14">
        <v>38</v>
      </c>
      <c r="O74" s="14" t="s">
        <v>1559</v>
      </c>
    </row>
    <row r="75" spans="1:15" ht="13.5" hidden="1" x14ac:dyDescent="0.25">
      <c r="A75" s="10" t="s">
        <v>640</v>
      </c>
      <c r="B75" s="29" t="s">
        <v>211</v>
      </c>
      <c r="C75" s="24" t="s">
        <v>212</v>
      </c>
      <c r="D75" s="7" t="s">
        <v>212</v>
      </c>
      <c r="E75" s="7" t="s">
        <v>1643</v>
      </c>
      <c r="F75" s="8" t="s">
        <v>1022</v>
      </c>
      <c r="G75" s="8" t="s">
        <v>505</v>
      </c>
      <c r="H75" s="8" t="s">
        <v>1602</v>
      </c>
      <c r="I75" s="8" t="s">
        <v>1619</v>
      </c>
      <c r="J75" s="8" t="s">
        <v>1023</v>
      </c>
      <c r="K75" s="24">
        <v>100</v>
      </c>
      <c r="L75" s="24">
        <v>5</v>
      </c>
      <c r="M75" s="9" t="s">
        <v>518</v>
      </c>
      <c r="N75" s="14">
        <v>38</v>
      </c>
      <c r="O75" s="14" t="s">
        <v>1559</v>
      </c>
    </row>
    <row r="76" spans="1:15" ht="13.5" hidden="1" x14ac:dyDescent="0.25">
      <c r="A76" s="10" t="s">
        <v>641</v>
      </c>
      <c r="B76" s="29" t="s">
        <v>211</v>
      </c>
      <c r="C76" s="24" t="s">
        <v>214</v>
      </c>
      <c r="D76" s="7" t="s">
        <v>214</v>
      </c>
      <c r="E76" s="7" t="s">
        <v>1650</v>
      </c>
      <c r="F76" s="8" t="s">
        <v>1024</v>
      </c>
      <c r="G76" s="8" t="s">
        <v>505</v>
      </c>
      <c r="H76" s="8" t="s">
        <v>1602</v>
      </c>
      <c r="I76" s="8" t="s">
        <v>1619</v>
      </c>
      <c r="J76" s="8" t="s">
        <v>1025</v>
      </c>
      <c r="K76" s="24">
        <v>100</v>
      </c>
      <c r="L76" s="24">
        <v>5</v>
      </c>
      <c r="M76" s="9" t="s">
        <v>518</v>
      </c>
      <c r="N76" s="14">
        <v>38</v>
      </c>
      <c r="O76" s="14" t="s">
        <v>1559</v>
      </c>
    </row>
    <row r="77" spans="1:15" ht="13.5" hidden="1" x14ac:dyDescent="0.25">
      <c r="A77" s="10" t="s">
        <v>801</v>
      </c>
      <c r="B77" s="29" t="s">
        <v>251</v>
      </c>
      <c r="C77" s="23">
        <v>422</v>
      </c>
      <c r="D77" s="7" t="s">
        <v>260</v>
      </c>
      <c r="E77" s="7" t="s">
        <v>1641</v>
      </c>
      <c r="F77" s="8" t="s">
        <v>1102</v>
      </c>
      <c r="G77" s="8" t="s">
        <v>505</v>
      </c>
      <c r="H77" s="8" t="s">
        <v>1602</v>
      </c>
      <c r="I77" s="8" t="s">
        <v>1619</v>
      </c>
      <c r="J77" s="8" t="s">
        <v>1103</v>
      </c>
      <c r="K77" s="24">
        <v>100</v>
      </c>
      <c r="L77" s="24">
        <v>5</v>
      </c>
      <c r="M77" s="9" t="s">
        <v>518</v>
      </c>
      <c r="N77" s="14">
        <v>38</v>
      </c>
      <c r="O77" s="14" t="s">
        <v>1559</v>
      </c>
    </row>
    <row r="78" spans="1:15" ht="13.5" hidden="1" x14ac:dyDescent="0.25">
      <c r="A78" s="10" t="s">
        <v>796</v>
      </c>
      <c r="B78" s="29" t="s">
        <v>251</v>
      </c>
      <c r="C78" s="23">
        <v>441</v>
      </c>
      <c r="D78" s="7" t="s">
        <v>254</v>
      </c>
      <c r="E78" s="7" t="s">
        <v>1649</v>
      </c>
      <c r="F78" s="8" t="s">
        <v>1090</v>
      </c>
      <c r="G78" s="8" t="s">
        <v>505</v>
      </c>
      <c r="H78" s="8" t="s">
        <v>1602</v>
      </c>
      <c r="I78" s="8" t="s">
        <v>1619</v>
      </c>
      <c r="J78" s="8" t="s">
        <v>1091</v>
      </c>
      <c r="K78" s="24">
        <v>100</v>
      </c>
      <c r="L78" s="24">
        <v>5</v>
      </c>
      <c r="M78" s="9" t="s">
        <v>518</v>
      </c>
      <c r="N78" s="14">
        <v>38</v>
      </c>
      <c r="O78" s="14" t="s">
        <v>1559</v>
      </c>
    </row>
    <row r="79" spans="1:15" ht="13.5" hidden="1" x14ac:dyDescent="0.25">
      <c r="A79" s="10" t="s">
        <v>1456</v>
      </c>
      <c r="B79" s="29" t="s">
        <v>264</v>
      </c>
      <c r="C79" s="29">
        <v>72</v>
      </c>
      <c r="D79" s="10" t="s">
        <v>279</v>
      </c>
      <c r="E79" s="10" t="s">
        <v>1647</v>
      </c>
      <c r="F79" s="8" t="s">
        <v>1482</v>
      </c>
      <c r="G79" s="8" t="s">
        <v>505</v>
      </c>
      <c r="H79" s="8" t="s">
        <v>1602</v>
      </c>
      <c r="I79" s="8" t="s">
        <v>1619</v>
      </c>
      <c r="J79" s="8" t="s">
        <v>1483</v>
      </c>
      <c r="K79" s="24">
        <v>100</v>
      </c>
      <c r="L79" s="24">
        <v>5</v>
      </c>
      <c r="M79" s="9" t="s">
        <v>518</v>
      </c>
      <c r="N79" s="14">
        <v>38</v>
      </c>
      <c r="O79" s="14" t="s">
        <v>1559</v>
      </c>
    </row>
    <row r="80" spans="1:15" ht="13.5" hidden="1" x14ac:dyDescent="0.25">
      <c r="A80" s="10" t="s">
        <v>1380</v>
      </c>
      <c r="B80" s="29" t="s">
        <v>280</v>
      </c>
      <c r="C80" s="23">
        <v>160</v>
      </c>
      <c r="D80" s="7" t="s">
        <v>495</v>
      </c>
      <c r="E80" s="7" t="s">
        <v>1903</v>
      </c>
      <c r="F80" s="8" t="s">
        <v>1411</v>
      </c>
      <c r="G80" s="8" t="s">
        <v>505</v>
      </c>
      <c r="H80" s="8" t="s">
        <v>1602</v>
      </c>
      <c r="I80" s="8" t="s">
        <v>1619</v>
      </c>
      <c r="J80" s="8" t="s">
        <v>1412</v>
      </c>
      <c r="K80" s="24">
        <v>100</v>
      </c>
      <c r="L80" s="24">
        <v>5</v>
      </c>
      <c r="M80" s="9" t="s">
        <v>518</v>
      </c>
      <c r="N80" s="14">
        <v>38</v>
      </c>
      <c r="O80" s="14" t="s">
        <v>1560</v>
      </c>
    </row>
    <row r="81" spans="1:15" ht="13.5" hidden="1" x14ac:dyDescent="0.25">
      <c r="A81" s="10" t="s">
        <v>1420</v>
      </c>
      <c r="B81" s="29" t="s">
        <v>280</v>
      </c>
      <c r="C81" s="23">
        <v>147</v>
      </c>
      <c r="D81" s="7" t="s">
        <v>529</v>
      </c>
      <c r="E81" s="7" t="s">
        <v>1642</v>
      </c>
      <c r="F81" s="8" t="s">
        <v>1436</v>
      </c>
      <c r="G81" s="8" t="s">
        <v>505</v>
      </c>
      <c r="H81" s="8" t="s">
        <v>1602</v>
      </c>
      <c r="I81" s="8" t="s">
        <v>1619</v>
      </c>
      <c r="J81" s="8" t="s">
        <v>1437</v>
      </c>
      <c r="K81" s="24">
        <v>100</v>
      </c>
      <c r="L81" s="24">
        <v>5</v>
      </c>
      <c r="M81" s="9" t="s">
        <v>518</v>
      </c>
      <c r="N81" s="14">
        <v>38</v>
      </c>
      <c r="O81" s="14" t="s">
        <v>1559</v>
      </c>
    </row>
    <row r="82" spans="1:15" ht="13.5" hidden="1" x14ac:dyDescent="0.25">
      <c r="A82" s="10" t="s">
        <v>1421</v>
      </c>
      <c r="B82" s="29" t="s">
        <v>280</v>
      </c>
      <c r="C82" s="23">
        <v>151</v>
      </c>
      <c r="D82" s="7" t="s">
        <v>531</v>
      </c>
      <c r="E82" s="7" t="s">
        <v>1651</v>
      </c>
      <c r="F82" s="8" t="s">
        <v>1438</v>
      </c>
      <c r="G82" s="8" t="s">
        <v>505</v>
      </c>
      <c r="H82" s="8" t="s">
        <v>1602</v>
      </c>
      <c r="I82" s="8" t="s">
        <v>1619</v>
      </c>
      <c r="J82" s="8" t="s">
        <v>1439</v>
      </c>
      <c r="K82" s="24">
        <v>100</v>
      </c>
      <c r="L82" s="24">
        <v>5</v>
      </c>
      <c r="M82" s="9" t="s">
        <v>518</v>
      </c>
      <c r="N82" s="14">
        <v>38</v>
      </c>
      <c r="O82" s="14" t="s">
        <v>1559</v>
      </c>
    </row>
    <row r="83" spans="1:15" ht="13.5" hidden="1" x14ac:dyDescent="0.25">
      <c r="A83" s="10" t="s">
        <v>816</v>
      </c>
      <c r="B83" s="29" t="s">
        <v>380</v>
      </c>
      <c r="C83" s="23">
        <v>1113</v>
      </c>
      <c r="D83" s="7" t="s">
        <v>393</v>
      </c>
      <c r="E83" s="7" t="s">
        <v>1645</v>
      </c>
      <c r="F83" s="8" t="s">
        <v>1323</v>
      </c>
      <c r="G83" s="8" t="s">
        <v>505</v>
      </c>
      <c r="H83" s="8" t="s">
        <v>1602</v>
      </c>
      <c r="I83" s="8" t="s">
        <v>1619</v>
      </c>
      <c r="J83" s="8" t="s">
        <v>1324</v>
      </c>
      <c r="K83" s="24">
        <v>100</v>
      </c>
      <c r="L83" s="24">
        <v>5</v>
      </c>
      <c r="M83" s="9" t="s">
        <v>518</v>
      </c>
      <c r="N83" s="14">
        <v>38</v>
      </c>
      <c r="O83" s="14" t="s">
        <v>1559</v>
      </c>
    </row>
    <row r="84" spans="1:15" ht="13.5" hidden="1" x14ac:dyDescent="0.25">
      <c r="A84" s="10" t="s">
        <v>772</v>
      </c>
      <c r="B84" s="29" t="s">
        <v>395</v>
      </c>
      <c r="C84" s="23">
        <v>111</v>
      </c>
      <c r="D84" s="7" t="s">
        <v>540</v>
      </c>
      <c r="E84" s="7" t="s">
        <v>1646</v>
      </c>
      <c r="F84" s="8" t="s">
        <v>1340</v>
      </c>
      <c r="G84" s="8" t="s">
        <v>505</v>
      </c>
      <c r="H84" s="8" t="s">
        <v>1602</v>
      </c>
      <c r="I84" s="8" t="s">
        <v>1619</v>
      </c>
      <c r="J84" s="8" t="s">
        <v>1341</v>
      </c>
      <c r="K84" s="24">
        <v>100</v>
      </c>
      <c r="L84" s="24">
        <v>5</v>
      </c>
      <c r="M84" s="9" t="s">
        <v>518</v>
      </c>
      <c r="N84" s="14">
        <v>38</v>
      </c>
      <c r="O84" s="14" t="s">
        <v>1559</v>
      </c>
    </row>
    <row r="85" spans="1:15" ht="13.5" hidden="1" x14ac:dyDescent="0.25">
      <c r="A85" s="10" t="s">
        <v>606</v>
      </c>
      <c r="B85" s="24" t="s">
        <v>104</v>
      </c>
      <c r="C85" s="23" t="s">
        <v>160</v>
      </c>
      <c r="D85" s="7" t="s">
        <v>161</v>
      </c>
      <c r="E85" s="7" t="s">
        <v>1852</v>
      </c>
      <c r="F85" s="8" t="s">
        <v>943</v>
      </c>
      <c r="G85" s="8" t="s">
        <v>133</v>
      </c>
      <c r="H85" s="8" t="s">
        <v>1609</v>
      </c>
      <c r="I85" s="8" t="s">
        <v>1626</v>
      </c>
      <c r="J85" s="8" t="s">
        <v>944</v>
      </c>
      <c r="K85" s="24">
        <v>100</v>
      </c>
      <c r="L85" s="24">
        <v>5</v>
      </c>
      <c r="M85" s="9" t="s">
        <v>127</v>
      </c>
      <c r="N85" s="14">
        <v>17</v>
      </c>
      <c r="O85" s="14" t="s">
        <v>1559</v>
      </c>
    </row>
    <row r="86" spans="1:15" ht="13.5" hidden="1" x14ac:dyDescent="0.25">
      <c r="A86" s="10" t="s">
        <v>596</v>
      </c>
      <c r="B86" s="24" t="s">
        <v>104</v>
      </c>
      <c r="C86" s="23" t="s">
        <v>134</v>
      </c>
      <c r="D86" s="7" t="s">
        <v>135</v>
      </c>
      <c r="E86" s="7" t="s">
        <v>1856</v>
      </c>
      <c r="F86" s="8" t="s">
        <v>919</v>
      </c>
      <c r="G86" s="8" t="s">
        <v>133</v>
      </c>
      <c r="H86" s="8" t="s">
        <v>1609</v>
      </c>
      <c r="I86" s="8" t="s">
        <v>1626</v>
      </c>
      <c r="J86" s="8" t="s">
        <v>920</v>
      </c>
      <c r="K86" s="24">
        <v>100</v>
      </c>
      <c r="L86" s="24">
        <v>5</v>
      </c>
      <c r="M86" s="9" t="s">
        <v>127</v>
      </c>
      <c r="N86" s="14">
        <v>17</v>
      </c>
      <c r="O86" s="14" t="s">
        <v>1559</v>
      </c>
    </row>
    <row r="87" spans="1:15" ht="13.5" hidden="1" x14ac:dyDescent="0.25">
      <c r="A87" s="10" t="s">
        <v>595</v>
      </c>
      <c r="B87" s="24" t="s">
        <v>104</v>
      </c>
      <c r="C87" s="23" t="s">
        <v>131</v>
      </c>
      <c r="D87" s="7" t="s">
        <v>132</v>
      </c>
      <c r="E87" s="7" t="s">
        <v>1853</v>
      </c>
      <c r="F87" s="8" t="s">
        <v>917</v>
      </c>
      <c r="G87" s="8" t="s">
        <v>133</v>
      </c>
      <c r="H87" s="8" t="s">
        <v>1609</v>
      </c>
      <c r="I87" s="8" t="s">
        <v>1626</v>
      </c>
      <c r="J87" s="8" t="s">
        <v>918</v>
      </c>
      <c r="K87" s="24">
        <v>100</v>
      </c>
      <c r="L87" s="24">
        <v>5</v>
      </c>
      <c r="M87" s="9" t="s">
        <v>127</v>
      </c>
      <c r="N87" s="14">
        <v>17</v>
      </c>
      <c r="O87" s="14" t="s">
        <v>1559</v>
      </c>
    </row>
    <row r="88" spans="1:15" ht="13.5" hidden="1" x14ac:dyDescent="0.25">
      <c r="A88" s="10" t="s">
        <v>593</v>
      </c>
      <c r="B88" s="24" t="s">
        <v>104</v>
      </c>
      <c r="C88" s="23" t="s">
        <v>125</v>
      </c>
      <c r="D88" s="7" t="s">
        <v>126</v>
      </c>
      <c r="E88" s="7" t="s">
        <v>1894</v>
      </c>
      <c r="F88" s="8" t="s">
        <v>913</v>
      </c>
      <c r="G88" s="8" t="s">
        <v>128</v>
      </c>
      <c r="H88" s="8" t="s">
        <v>1609</v>
      </c>
      <c r="I88" s="8" t="s">
        <v>1626</v>
      </c>
      <c r="J88" s="8" t="s">
        <v>914</v>
      </c>
      <c r="K88" s="24">
        <v>100</v>
      </c>
      <c r="L88" s="24">
        <v>5</v>
      </c>
      <c r="M88" s="9" t="s">
        <v>127</v>
      </c>
      <c r="N88" s="14">
        <v>17</v>
      </c>
      <c r="O88" s="14" t="s">
        <v>1559</v>
      </c>
    </row>
    <row r="89" spans="1:15" ht="13.5" hidden="1" x14ac:dyDescent="0.25">
      <c r="A89" s="10" t="s">
        <v>598</v>
      </c>
      <c r="B89" s="24" t="s">
        <v>104</v>
      </c>
      <c r="C89" s="23" t="s">
        <v>139</v>
      </c>
      <c r="D89" s="7" t="s">
        <v>140</v>
      </c>
      <c r="E89" s="7" t="s">
        <v>1893</v>
      </c>
      <c r="F89" s="8" t="s">
        <v>923</v>
      </c>
      <c r="G89" s="8" t="s">
        <v>128</v>
      </c>
      <c r="H89" s="8" t="s">
        <v>1609</v>
      </c>
      <c r="I89" s="8" t="s">
        <v>1626</v>
      </c>
      <c r="J89" s="8" t="s">
        <v>924</v>
      </c>
      <c r="K89" s="24">
        <v>100</v>
      </c>
      <c r="L89" s="24">
        <v>5</v>
      </c>
      <c r="M89" s="9" t="s">
        <v>127</v>
      </c>
      <c r="N89" s="14">
        <v>17</v>
      </c>
      <c r="O89" s="14" t="s">
        <v>1559</v>
      </c>
    </row>
    <row r="90" spans="1:15" ht="13.5" hidden="1" x14ac:dyDescent="0.25">
      <c r="A90" s="10" t="s">
        <v>597</v>
      </c>
      <c r="B90" s="24" t="s">
        <v>104</v>
      </c>
      <c r="C90" s="23" t="s">
        <v>136</v>
      </c>
      <c r="D90" s="7" t="s">
        <v>137</v>
      </c>
      <c r="E90" s="7" t="s">
        <v>1948</v>
      </c>
      <c r="F90" s="8" t="s">
        <v>921</v>
      </c>
      <c r="G90" s="8" t="s">
        <v>128</v>
      </c>
      <c r="H90" s="8" t="s">
        <v>1609</v>
      </c>
      <c r="I90" s="8" t="s">
        <v>1626</v>
      </c>
      <c r="J90" s="8" t="s">
        <v>922</v>
      </c>
      <c r="K90" s="24">
        <v>100</v>
      </c>
      <c r="L90" s="24">
        <v>5</v>
      </c>
      <c r="M90" s="9" t="s">
        <v>127</v>
      </c>
      <c r="N90" s="14">
        <v>17</v>
      </c>
      <c r="O90" s="14" t="s">
        <v>1559</v>
      </c>
    </row>
    <row r="91" spans="1:15" ht="13.5" hidden="1" x14ac:dyDescent="0.25">
      <c r="A91" s="10" t="s">
        <v>760</v>
      </c>
      <c r="B91" s="29" t="s">
        <v>380</v>
      </c>
      <c r="C91" s="23">
        <v>1145</v>
      </c>
      <c r="D91" s="7" t="s">
        <v>384</v>
      </c>
      <c r="E91" s="7" t="s">
        <v>1854</v>
      </c>
      <c r="F91" s="8" t="s">
        <v>1313</v>
      </c>
      <c r="G91" s="8" t="s">
        <v>133</v>
      </c>
      <c r="H91" s="8" t="s">
        <v>1609</v>
      </c>
      <c r="I91" s="8" t="s">
        <v>1626</v>
      </c>
      <c r="J91" s="8" t="s">
        <v>1314</v>
      </c>
      <c r="K91" s="24">
        <v>100</v>
      </c>
      <c r="L91" s="24">
        <v>5</v>
      </c>
      <c r="M91" s="9" t="s">
        <v>127</v>
      </c>
      <c r="N91" s="14">
        <v>17</v>
      </c>
      <c r="O91" s="14" t="s">
        <v>1559</v>
      </c>
    </row>
    <row r="92" spans="1:15" ht="13.5" hidden="1" x14ac:dyDescent="0.25">
      <c r="A92" s="10" t="s">
        <v>768</v>
      </c>
      <c r="B92" s="29" t="s">
        <v>395</v>
      </c>
      <c r="C92" s="23">
        <v>225</v>
      </c>
      <c r="D92" s="7" t="s">
        <v>384</v>
      </c>
      <c r="E92" s="7" t="s">
        <v>1855</v>
      </c>
      <c r="F92" s="8" t="s">
        <v>1313</v>
      </c>
      <c r="G92" s="8" t="s">
        <v>133</v>
      </c>
      <c r="H92" s="8" t="s">
        <v>1609</v>
      </c>
      <c r="I92" s="8" t="s">
        <v>1626</v>
      </c>
      <c r="J92" s="8" t="s">
        <v>1314</v>
      </c>
      <c r="K92" s="24">
        <v>100</v>
      </c>
      <c r="L92" s="24">
        <v>5</v>
      </c>
      <c r="M92" s="9" t="s">
        <v>127</v>
      </c>
      <c r="N92" s="14">
        <v>17</v>
      </c>
      <c r="O92" s="14" t="s">
        <v>1559</v>
      </c>
    </row>
    <row r="93" spans="1:15" ht="13.5" hidden="1" x14ac:dyDescent="0.25">
      <c r="A93" s="10" t="s">
        <v>770</v>
      </c>
      <c r="B93" s="29" t="s">
        <v>395</v>
      </c>
      <c r="C93" s="23">
        <v>249</v>
      </c>
      <c r="D93" s="7" t="s">
        <v>397</v>
      </c>
      <c r="E93" s="7" t="s">
        <v>1891</v>
      </c>
      <c r="F93" s="8" t="s">
        <v>1336</v>
      </c>
      <c r="G93" s="8" t="s">
        <v>128</v>
      </c>
      <c r="H93" s="8" t="s">
        <v>1609</v>
      </c>
      <c r="I93" s="8" t="s">
        <v>1626</v>
      </c>
      <c r="J93" s="8" t="s">
        <v>1337</v>
      </c>
      <c r="K93" s="24">
        <v>100</v>
      </c>
      <c r="L93" s="24">
        <v>5</v>
      </c>
      <c r="M93" s="9" t="s">
        <v>127</v>
      </c>
      <c r="N93" s="14">
        <v>17</v>
      </c>
      <c r="O93" s="14" t="s">
        <v>1559</v>
      </c>
    </row>
    <row r="94" spans="1:15" ht="13.5" hidden="1" x14ac:dyDescent="0.25">
      <c r="A94" s="10" t="s">
        <v>561</v>
      </c>
      <c r="B94" s="29" t="s">
        <v>44</v>
      </c>
      <c r="C94" s="23" t="s">
        <v>416</v>
      </c>
      <c r="D94" s="7" t="s">
        <v>417</v>
      </c>
      <c r="E94" s="7" t="s">
        <v>1922</v>
      </c>
      <c r="F94" s="8" t="s">
        <v>851</v>
      </c>
      <c r="G94" s="8" t="s">
        <v>536</v>
      </c>
      <c r="H94" s="8" t="s">
        <v>509</v>
      </c>
      <c r="I94" s="8" t="s">
        <v>1620</v>
      </c>
      <c r="J94" s="8" t="s">
        <v>852</v>
      </c>
      <c r="K94" s="24">
        <v>100</v>
      </c>
      <c r="L94" s="24">
        <v>5</v>
      </c>
      <c r="M94" s="9" t="s">
        <v>1558</v>
      </c>
      <c r="N94" s="14">
        <v>553</v>
      </c>
      <c r="O94" s="14" t="s">
        <v>1559</v>
      </c>
    </row>
    <row r="95" spans="1:15" ht="13.5" hidden="1" x14ac:dyDescent="0.25">
      <c r="A95" s="10" t="s">
        <v>565</v>
      </c>
      <c r="B95" s="29" t="s">
        <v>77</v>
      </c>
      <c r="C95" s="24">
        <v>400</v>
      </c>
      <c r="D95" s="7" t="s">
        <v>79</v>
      </c>
      <c r="E95" s="7" t="s">
        <v>1921</v>
      </c>
      <c r="F95" s="8" t="s">
        <v>859</v>
      </c>
      <c r="G95" s="8" t="s">
        <v>536</v>
      </c>
      <c r="H95" s="8" t="s">
        <v>509</v>
      </c>
      <c r="I95" s="8" t="s">
        <v>1620</v>
      </c>
      <c r="J95" s="8" t="s">
        <v>860</v>
      </c>
      <c r="K95" s="24">
        <v>100</v>
      </c>
      <c r="L95" s="24">
        <v>5</v>
      </c>
      <c r="M95" s="9" t="s">
        <v>1558</v>
      </c>
      <c r="N95" s="14">
        <v>553</v>
      </c>
      <c r="O95" s="14" t="s">
        <v>1559</v>
      </c>
    </row>
    <row r="96" spans="1:15" ht="13.5" hidden="1" x14ac:dyDescent="0.25">
      <c r="A96" s="10" t="s">
        <v>575</v>
      </c>
      <c r="B96" s="29" t="s">
        <v>84</v>
      </c>
      <c r="C96" s="23">
        <v>403</v>
      </c>
      <c r="D96" s="7" t="s">
        <v>381</v>
      </c>
      <c r="E96" s="7" t="s">
        <v>1755</v>
      </c>
      <c r="F96" s="8" t="s">
        <v>879</v>
      </c>
      <c r="G96" s="8" t="s">
        <v>536</v>
      </c>
      <c r="H96" s="8" t="s">
        <v>509</v>
      </c>
      <c r="I96" s="8" t="s">
        <v>1620</v>
      </c>
      <c r="J96" s="8" t="s">
        <v>880</v>
      </c>
      <c r="K96" s="24">
        <v>100</v>
      </c>
      <c r="L96" s="24">
        <v>5</v>
      </c>
      <c r="M96" s="9" t="s">
        <v>1558</v>
      </c>
      <c r="N96" s="14">
        <v>553</v>
      </c>
      <c r="O96" s="14" t="s">
        <v>1559</v>
      </c>
    </row>
    <row r="97" spans="1:15" ht="13.5" hidden="1" x14ac:dyDescent="0.25">
      <c r="A97" s="10" t="s">
        <v>576</v>
      </c>
      <c r="B97" s="29" t="s">
        <v>84</v>
      </c>
      <c r="C97" s="32">
        <v>455</v>
      </c>
      <c r="D97" s="11" t="s">
        <v>96</v>
      </c>
      <c r="E97" s="11" t="s">
        <v>1907</v>
      </c>
      <c r="F97" s="8" t="s">
        <v>1458</v>
      </c>
      <c r="G97" s="8" t="s">
        <v>536</v>
      </c>
      <c r="H97" s="8" t="s">
        <v>509</v>
      </c>
      <c r="I97" s="8" t="s">
        <v>1620</v>
      </c>
      <c r="J97" s="8" t="s">
        <v>1459</v>
      </c>
      <c r="K97" s="24">
        <v>100</v>
      </c>
      <c r="L97" s="24">
        <v>5</v>
      </c>
      <c r="M97" s="9" t="s">
        <v>1558</v>
      </c>
      <c r="N97" s="14">
        <v>553</v>
      </c>
      <c r="O97" s="14" t="s">
        <v>1560</v>
      </c>
    </row>
    <row r="98" spans="1:15" ht="13.5" hidden="1" x14ac:dyDescent="0.25">
      <c r="A98" s="10" t="s">
        <v>783</v>
      </c>
      <c r="B98" s="24" t="s">
        <v>104</v>
      </c>
      <c r="C98" s="24"/>
      <c r="D98" s="7" t="s">
        <v>411</v>
      </c>
      <c r="E98" s="7" t="s">
        <v>1743</v>
      </c>
      <c r="F98" s="8" t="s">
        <v>1000</v>
      </c>
      <c r="G98" s="8" t="s">
        <v>536</v>
      </c>
      <c r="H98" s="8" t="s">
        <v>509</v>
      </c>
      <c r="I98" s="8" t="s">
        <v>1620</v>
      </c>
      <c r="J98" s="8" t="s">
        <v>1001</v>
      </c>
      <c r="K98" s="24">
        <v>100</v>
      </c>
      <c r="L98" s="24">
        <v>5</v>
      </c>
      <c r="M98" s="9" t="s">
        <v>1558</v>
      </c>
      <c r="N98" s="14">
        <v>553</v>
      </c>
      <c r="O98" s="14" t="s">
        <v>1559</v>
      </c>
    </row>
    <row r="99" spans="1:15" ht="13.5" hidden="1" x14ac:dyDescent="0.25">
      <c r="A99" s="10" t="s">
        <v>1376</v>
      </c>
      <c r="B99" s="29" t="s">
        <v>226</v>
      </c>
      <c r="C99" s="33">
        <v>446</v>
      </c>
      <c r="D99" s="21" t="s">
        <v>436</v>
      </c>
      <c r="E99" s="21" t="s">
        <v>1908</v>
      </c>
      <c r="F99" s="8" t="s">
        <v>1403</v>
      </c>
      <c r="G99" s="8" t="s">
        <v>536</v>
      </c>
      <c r="H99" s="8" t="s">
        <v>509</v>
      </c>
      <c r="I99" s="8" t="s">
        <v>1620</v>
      </c>
      <c r="J99" s="8" t="s">
        <v>1404</v>
      </c>
      <c r="K99" s="24">
        <v>100</v>
      </c>
      <c r="L99" s="24">
        <v>5</v>
      </c>
      <c r="M99" s="9" t="s">
        <v>1558</v>
      </c>
      <c r="N99" s="14">
        <v>553</v>
      </c>
      <c r="O99" s="14" t="s">
        <v>1560</v>
      </c>
    </row>
    <row r="100" spans="1:15" ht="13.5" hidden="1" x14ac:dyDescent="0.25">
      <c r="A100" s="10" t="s">
        <v>804</v>
      </c>
      <c r="B100" s="29" t="s">
        <v>251</v>
      </c>
      <c r="C100" s="23">
        <v>375</v>
      </c>
      <c r="D100" s="7" t="s">
        <v>438</v>
      </c>
      <c r="E100" s="7" t="s">
        <v>1955</v>
      </c>
      <c r="F100" s="8" t="s">
        <v>1108</v>
      </c>
      <c r="G100" s="8" t="s">
        <v>536</v>
      </c>
      <c r="H100" s="8" t="s">
        <v>509</v>
      </c>
      <c r="I100" s="8" t="s">
        <v>1620</v>
      </c>
      <c r="J100" s="8" t="s">
        <v>1109</v>
      </c>
      <c r="K100" s="24">
        <v>100</v>
      </c>
      <c r="L100" s="24">
        <v>5</v>
      </c>
      <c r="M100" s="9" t="s">
        <v>1558</v>
      </c>
      <c r="N100" s="14">
        <v>553</v>
      </c>
      <c r="O100" s="14" t="s">
        <v>1559</v>
      </c>
    </row>
    <row r="101" spans="1:15" ht="13.5" hidden="1" x14ac:dyDescent="0.25">
      <c r="A101" s="10" t="s">
        <v>1450</v>
      </c>
      <c r="B101" s="29" t="s">
        <v>264</v>
      </c>
      <c r="C101" s="29">
        <v>4</v>
      </c>
      <c r="D101" s="10" t="s">
        <v>273</v>
      </c>
      <c r="E101" s="10" t="s">
        <v>1773</v>
      </c>
      <c r="F101" s="8" t="s">
        <v>1474</v>
      </c>
      <c r="G101" s="8" t="s">
        <v>536</v>
      </c>
      <c r="H101" s="8" t="s">
        <v>509</v>
      </c>
      <c r="I101" s="8" t="s">
        <v>1620</v>
      </c>
      <c r="J101" s="8" t="s">
        <v>1475</v>
      </c>
      <c r="K101" s="24">
        <v>100</v>
      </c>
      <c r="L101" s="24">
        <v>5</v>
      </c>
      <c r="M101" s="9" t="s">
        <v>1558</v>
      </c>
      <c r="N101" s="14">
        <v>553</v>
      </c>
      <c r="O101" s="14" t="s">
        <v>1559</v>
      </c>
    </row>
    <row r="102" spans="1:15" ht="13.5" hidden="1" x14ac:dyDescent="0.25">
      <c r="A102" s="10" t="s">
        <v>579</v>
      </c>
      <c r="B102" s="29" t="s">
        <v>90</v>
      </c>
      <c r="C102" s="23">
        <v>1006</v>
      </c>
      <c r="D102" s="7" t="s">
        <v>97</v>
      </c>
      <c r="E102" s="7" t="s">
        <v>1750</v>
      </c>
      <c r="F102" s="8" t="s">
        <v>885</v>
      </c>
      <c r="G102" s="8" t="s">
        <v>536</v>
      </c>
      <c r="H102" s="8" t="s">
        <v>509</v>
      </c>
      <c r="I102" s="8" t="s">
        <v>1620</v>
      </c>
      <c r="J102" s="8" t="s">
        <v>886</v>
      </c>
      <c r="K102" s="24">
        <v>100</v>
      </c>
      <c r="L102" s="24">
        <v>5</v>
      </c>
      <c r="M102" s="9" t="s">
        <v>1558</v>
      </c>
      <c r="N102" s="14">
        <v>553</v>
      </c>
      <c r="O102" s="14" t="s">
        <v>1559</v>
      </c>
    </row>
    <row r="103" spans="1:15" ht="13.5" hidden="1" x14ac:dyDescent="0.25">
      <c r="A103" s="10" t="s">
        <v>578</v>
      </c>
      <c r="B103" s="29" t="s">
        <v>90</v>
      </c>
      <c r="C103" s="23"/>
      <c r="D103" s="7" t="s">
        <v>96</v>
      </c>
      <c r="E103" s="7" t="s">
        <v>1772</v>
      </c>
      <c r="F103" s="8" t="s">
        <v>883</v>
      </c>
      <c r="G103" s="8" t="s">
        <v>536</v>
      </c>
      <c r="H103" s="8" t="s">
        <v>509</v>
      </c>
      <c r="I103" s="8" t="s">
        <v>1620</v>
      </c>
      <c r="J103" s="8" t="s">
        <v>884</v>
      </c>
      <c r="K103" s="24">
        <v>100</v>
      </c>
      <c r="L103" s="24">
        <v>5</v>
      </c>
      <c r="M103" s="9" t="s">
        <v>1558</v>
      </c>
      <c r="N103" s="14">
        <v>553</v>
      </c>
      <c r="O103" s="14" t="s">
        <v>1559</v>
      </c>
    </row>
    <row r="104" spans="1:15" ht="13.5" hidden="1" x14ac:dyDescent="0.25">
      <c r="A104" s="10" t="s">
        <v>728</v>
      </c>
      <c r="B104" s="29" t="s">
        <v>280</v>
      </c>
      <c r="C104" s="23">
        <v>28</v>
      </c>
      <c r="D104" s="7" t="s">
        <v>350</v>
      </c>
      <c r="E104" s="7" t="s">
        <v>1781</v>
      </c>
      <c r="F104" s="8" t="s">
        <v>1262</v>
      </c>
      <c r="G104" s="8" t="s">
        <v>536</v>
      </c>
      <c r="H104" s="8" t="s">
        <v>509</v>
      </c>
      <c r="I104" s="8" t="s">
        <v>1620</v>
      </c>
      <c r="J104" s="8" t="s">
        <v>1263</v>
      </c>
      <c r="K104" s="24">
        <v>100</v>
      </c>
      <c r="L104" s="24">
        <v>5</v>
      </c>
      <c r="M104" s="9" t="s">
        <v>1558</v>
      </c>
      <c r="N104" s="14">
        <v>553</v>
      </c>
      <c r="O104" s="14" t="s">
        <v>1559</v>
      </c>
    </row>
    <row r="105" spans="1:15" ht="13.5" hidden="1" x14ac:dyDescent="0.25">
      <c r="A105" s="10" t="s">
        <v>705</v>
      </c>
      <c r="B105" s="29" t="s">
        <v>280</v>
      </c>
      <c r="C105" s="23">
        <v>37</v>
      </c>
      <c r="D105" s="7" t="s">
        <v>322</v>
      </c>
      <c r="E105" s="7" t="s">
        <v>1782</v>
      </c>
      <c r="F105" s="8" t="s">
        <v>1218</v>
      </c>
      <c r="G105" s="8" t="s">
        <v>536</v>
      </c>
      <c r="H105" s="8" t="s">
        <v>509</v>
      </c>
      <c r="I105" s="8" t="s">
        <v>1620</v>
      </c>
      <c r="J105" s="8" t="s">
        <v>1219</v>
      </c>
      <c r="K105" s="24">
        <v>100</v>
      </c>
      <c r="L105" s="24">
        <v>5</v>
      </c>
      <c r="M105" s="9" t="s">
        <v>1558</v>
      </c>
      <c r="N105" s="14">
        <v>553</v>
      </c>
      <c r="O105" s="14" t="s">
        <v>1559</v>
      </c>
    </row>
    <row r="106" spans="1:15" ht="13.5" hidden="1" x14ac:dyDescent="0.25">
      <c r="A106" s="10" t="s">
        <v>1419</v>
      </c>
      <c r="B106" s="29" t="s">
        <v>280</v>
      </c>
      <c r="C106" s="23">
        <v>53</v>
      </c>
      <c r="D106" s="7" t="s">
        <v>532</v>
      </c>
      <c r="E106" s="7" t="s">
        <v>1754</v>
      </c>
      <c r="F106" s="8" t="s">
        <v>1434</v>
      </c>
      <c r="G106" s="8" t="s">
        <v>536</v>
      </c>
      <c r="H106" s="8" t="s">
        <v>509</v>
      </c>
      <c r="I106" s="8" t="s">
        <v>1620</v>
      </c>
      <c r="J106" s="8" t="s">
        <v>1435</v>
      </c>
      <c r="K106" s="24">
        <v>100</v>
      </c>
      <c r="L106" s="24">
        <v>5</v>
      </c>
      <c r="M106" s="9" t="s">
        <v>1558</v>
      </c>
      <c r="N106" s="14">
        <v>553</v>
      </c>
      <c r="O106" s="14" t="s">
        <v>1559</v>
      </c>
    </row>
    <row r="107" spans="1:15" ht="13.5" hidden="1" x14ac:dyDescent="0.25">
      <c r="A107" s="10" t="s">
        <v>677</v>
      </c>
      <c r="B107" s="29" t="s">
        <v>280</v>
      </c>
      <c r="C107" s="23">
        <v>129</v>
      </c>
      <c r="D107" s="7" t="s">
        <v>291</v>
      </c>
      <c r="E107" s="7" t="s">
        <v>1776</v>
      </c>
      <c r="F107" s="8" t="s">
        <v>1168</v>
      </c>
      <c r="G107" s="8" t="s">
        <v>536</v>
      </c>
      <c r="H107" s="8" t="s">
        <v>509</v>
      </c>
      <c r="I107" s="8" t="s">
        <v>1620</v>
      </c>
      <c r="J107" s="8" t="s">
        <v>1169</v>
      </c>
      <c r="K107" s="24">
        <v>100</v>
      </c>
      <c r="L107" s="24">
        <v>5</v>
      </c>
      <c r="M107" s="9" t="s">
        <v>1558</v>
      </c>
      <c r="N107" s="14">
        <v>553</v>
      </c>
      <c r="O107" s="14" t="s">
        <v>1559</v>
      </c>
    </row>
    <row r="108" spans="1:15" ht="13.5" hidden="1" x14ac:dyDescent="0.25">
      <c r="A108" s="10" t="s">
        <v>678</v>
      </c>
      <c r="B108" s="29" t="s">
        <v>280</v>
      </c>
      <c r="C108" s="23">
        <v>90</v>
      </c>
      <c r="D108" s="7" t="s">
        <v>292</v>
      </c>
      <c r="E108" s="7" t="s">
        <v>1770</v>
      </c>
      <c r="F108" s="8" t="s">
        <v>1170</v>
      </c>
      <c r="G108" s="8" t="s">
        <v>536</v>
      </c>
      <c r="H108" s="8" t="s">
        <v>509</v>
      </c>
      <c r="I108" s="8" t="s">
        <v>1620</v>
      </c>
      <c r="J108" s="8" t="s">
        <v>1171</v>
      </c>
      <c r="K108" s="24">
        <v>100</v>
      </c>
      <c r="L108" s="24">
        <v>5</v>
      </c>
      <c r="M108" s="9" t="s">
        <v>1558</v>
      </c>
      <c r="N108" s="14">
        <v>553</v>
      </c>
      <c r="O108" s="14" t="s">
        <v>1559</v>
      </c>
    </row>
    <row r="109" spans="1:15" ht="13.5" hidden="1" x14ac:dyDescent="0.25">
      <c r="A109" s="10" t="s">
        <v>699</v>
      </c>
      <c r="B109" s="29" t="s">
        <v>280</v>
      </c>
      <c r="C109" s="23">
        <v>116</v>
      </c>
      <c r="D109" s="7" t="s">
        <v>316</v>
      </c>
      <c r="E109" s="7" t="s">
        <v>1778</v>
      </c>
      <c r="F109" s="8" t="s">
        <v>1208</v>
      </c>
      <c r="G109" s="8" t="s">
        <v>536</v>
      </c>
      <c r="H109" s="8" t="s">
        <v>509</v>
      </c>
      <c r="I109" s="8" t="s">
        <v>1620</v>
      </c>
      <c r="J109" s="8" t="s">
        <v>1209</v>
      </c>
      <c r="K109" s="24">
        <v>100</v>
      </c>
      <c r="L109" s="24">
        <v>5</v>
      </c>
      <c r="M109" s="9" t="s">
        <v>1558</v>
      </c>
      <c r="N109" s="14">
        <v>553</v>
      </c>
      <c r="O109" s="14" t="s">
        <v>1559</v>
      </c>
    </row>
    <row r="110" spans="1:15" ht="13.5" x14ac:dyDescent="0.25">
      <c r="A110" s="10" t="s">
        <v>1585</v>
      </c>
      <c r="B110" s="29" t="s">
        <v>280</v>
      </c>
      <c r="C110" s="23">
        <v>216</v>
      </c>
      <c r="D110" s="7" t="s">
        <v>1580</v>
      </c>
      <c r="E110" s="7" t="s">
        <v>1635</v>
      </c>
      <c r="F110" s="8" t="s">
        <v>1593</v>
      </c>
      <c r="G110" s="8" t="s">
        <v>536</v>
      </c>
      <c r="H110" s="8" t="s">
        <v>509</v>
      </c>
      <c r="I110" s="8" t="s">
        <v>1620</v>
      </c>
      <c r="J110" s="8" t="s">
        <v>1594</v>
      </c>
      <c r="K110" s="24">
        <v>100</v>
      </c>
      <c r="L110" s="24">
        <v>5</v>
      </c>
      <c r="M110" s="9" t="s">
        <v>1558</v>
      </c>
      <c r="N110" s="14">
        <v>553</v>
      </c>
      <c r="O110" s="14" t="s">
        <v>1595</v>
      </c>
    </row>
    <row r="111" spans="1:15" ht="13.5" hidden="1" x14ac:dyDescent="0.25">
      <c r="A111" s="10" t="s">
        <v>713</v>
      </c>
      <c r="B111" s="29" t="s">
        <v>280</v>
      </c>
      <c r="C111" s="23">
        <v>95</v>
      </c>
      <c r="D111" s="7" t="s">
        <v>332</v>
      </c>
      <c r="E111" s="7" t="s">
        <v>1736</v>
      </c>
      <c r="F111" s="8" t="s">
        <v>1234</v>
      </c>
      <c r="G111" s="8" t="s">
        <v>536</v>
      </c>
      <c r="H111" s="8" t="s">
        <v>509</v>
      </c>
      <c r="I111" s="8" t="s">
        <v>1620</v>
      </c>
      <c r="J111" s="8" t="s">
        <v>1235</v>
      </c>
      <c r="K111" s="24">
        <v>100</v>
      </c>
      <c r="L111" s="24">
        <v>5</v>
      </c>
      <c r="M111" s="9" t="s">
        <v>1558</v>
      </c>
      <c r="N111" s="14">
        <v>553</v>
      </c>
      <c r="O111" s="14" t="s">
        <v>1559</v>
      </c>
    </row>
    <row r="112" spans="1:15" ht="13.5" x14ac:dyDescent="0.25">
      <c r="A112" s="10" t="s">
        <v>1582</v>
      </c>
      <c r="B112" s="29" t="s">
        <v>280</v>
      </c>
      <c r="C112" s="23">
        <v>10</v>
      </c>
      <c r="D112" s="7" t="s">
        <v>1578</v>
      </c>
      <c r="E112" s="7" t="s">
        <v>1636</v>
      </c>
      <c r="F112" s="8" t="s">
        <v>1588</v>
      </c>
      <c r="G112" s="8" t="s">
        <v>536</v>
      </c>
      <c r="H112" s="8" t="s">
        <v>509</v>
      </c>
      <c r="I112" s="8" t="s">
        <v>1620</v>
      </c>
      <c r="J112" s="8" t="s">
        <v>1587</v>
      </c>
      <c r="K112" s="24">
        <v>100</v>
      </c>
      <c r="L112" s="24">
        <v>5</v>
      </c>
      <c r="M112" s="9" t="s">
        <v>1558</v>
      </c>
      <c r="N112" s="14">
        <v>553</v>
      </c>
      <c r="O112" s="14" t="s">
        <v>1595</v>
      </c>
    </row>
    <row r="113" spans="1:15" ht="13.5" hidden="1" x14ac:dyDescent="0.25">
      <c r="A113" s="10" t="s">
        <v>704</v>
      </c>
      <c r="B113" s="29" t="s">
        <v>280</v>
      </c>
      <c r="C113" s="23">
        <v>22</v>
      </c>
      <c r="D113" s="7" t="s">
        <v>321</v>
      </c>
      <c r="E113" s="7" t="s">
        <v>1779</v>
      </c>
      <c r="F113" s="8" t="s">
        <v>1216</v>
      </c>
      <c r="G113" s="8" t="s">
        <v>536</v>
      </c>
      <c r="H113" s="8" t="s">
        <v>509</v>
      </c>
      <c r="I113" s="8" t="s">
        <v>1620</v>
      </c>
      <c r="J113" s="8" t="s">
        <v>1217</v>
      </c>
      <c r="K113" s="24">
        <v>100</v>
      </c>
      <c r="L113" s="24">
        <v>5</v>
      </c>
      <c r="M113" s="9" t="s">
        <v>1558</v>
      </c>
      <c r="N113" s="14">
        <v>553</v>
      </c>
      <c r="O113" s="14" t="s">
        <v>1559</v>
      </c>
    </row>
    <row r="114" spans="1:15" ht="13.5" hidden="1" x14ac:dyDescent="0.25">
      <c r="A114" s="10" t="s">
        <v>757</v>
      </c>
      <c r="B114" s="29" t="s">
        <v>380</v>
      </c>
      <c r="C114" s="23">
        <v>1131</v>
      </c>
      <c r="D114" s="7" t="s">
        <v>381</v>
      </c>
      <c r="E114" s="7" t="s">
        <v>1756</v>
      </c>
      <c r="F114" s="8" t="s">
        <v>1308</v>
      </c>
      <c r="G114" s="8" t="s">
        <v>536</v>
      </c>
      <c r="H114" s="8" t="s">
        <v>509</v>
      </c>
      <c r="I114" s="8" t="s">
        <v>1620</v>
      </c>
      <c r="J114" s="8" t="s">
        <v>880</v>
      </c>
      <c r="K114" s="24">
        <v>100</v>
      </c>
      <c r="L114" s="24">
        <v>5</v>
      </c>
      <c r="M114" s="9" t="s">
        <v>1558</v>
      </c>
      <c r="N114" s="14">
        <v>553</v>
      </c>
      <c r="O114" s="14" t="s">
        <v>1559</v>
      </c>
    </row>
    <row r="115" spans="1:15" ht="13.5" hidden="1" x14ac:dyDescent="0.25">
      <c r="A115" s="10" t="s">
        <v>818</v>
      </c>
      <c r="B115" s="29" t="s">
        <v>380</v>
      </c>
      <c r="C115" s="23">
        <v>1013</v>
      </c>
      <c r="D115" s="7" t="s">
        <v>441</v>
      </c>
      <c r="E115" s="7" t="s">
        <v>1774</v>
      </c>
      <c r="F115" s="8" t="s">
        <v>1332</v>
      </c>
      <c r="G115" s="8" t="s">
        <v>536</v>
      </c>
      <c r="H115" s="8" t="s">
        <v>509</v>
      </c>
      <c r="I115" s="8" t="s">
        <v>1620</v>
      </c>
      <c r="J115" s="8" t="s">
        <v>1333</v>
      </c>
      <c r="K115" s="24">
        <v>100</v>
      </c>
      <c r="L115" s="24">
        <v>5</v>
      </c>
      <c r="M115" s="9" t="s">
        <v>1558</v>
      </c>
      <c r="N115" s="14">
        <v>553</v>
      </c>
      <c r="O115" s="14" t="s">
        <v>1559</v>
      </c>
    </row>
    <row r="116" spans="1:15" ht="13.5" hidden="1" x14ac:dyDescent="0.25">
      <c r="A116" s="10" t="s">
        <v>821</v>
      </c>
      <c r="B116" s="29" t="s">
        <v>403</v>
      </c>
      <c r="C116" s="23">
        <v>1804</v>
      </c>
      <c r="D116" s="7" t="s">
        <v>406</v>
      </c>
      <c r="E116" s="7" t="s">
        <v>1753</v>
      </c>
      <c r="F116" s="8" t="s">
        <v>1355</v>
      </c>
      <c r="G116" s="8" t="s">
        <v>536</v>
      </c>
      <c r="H116" s="8" t="s">
        <v>509</v>
      </c>
      <c r="I116" s="8" t="s">
        <v>1620</v>
      </c>
      <c r="J116" s="8" t="s">
        <v>1356</v>
      </c>
      <c r="K116" s="24">
        <v>100</v>
      </c>
      <c r="L116" s="24">
        <v>5</v>
      </c>
      <c r="M116" s="9" t="s">
        <v>1558</v>
      </c>
      <c r="N116" s="14">
        <v>553</v>
      </c>
      <c r="O116" s="14" t="s">
        <v>1559</v>
      </c>
    </row>
    <row r="117" spans="1:15" ht="13.5" hidden="1" x14ac:dyDescent="0.25">
      <c r="A117" s="10" t="s">
        <v>566</v>
      </c>
      <c r="B117" s="29" t="s">
        <v>77</v>
      </c>
      <c r="C117" s="24">
        <v>300</v>
      </c>
      <c r="D117" s="7" t="s">
        <v>80</v>
      </c>
      <c r="E117" s="7" t="s">
        <v>1916</v>
      </c>
      <c r="F117" s="8" t="s">
        <v>861</v>
      </c>
      <c r="G117" s="8" t="s">
        <v>536</v>
      </c>
      <c r="H117" s="8" t="s">
        <v>509</v>
      </c>
      <c r="I117" s="8" t="s">
        <v>1620</v>
      </c>
      <c r="J117" s="8" t="s">
        <v>862</v>
      </c>
      <c r="K117" s="24">
        <v>100</v>
      </c>
      <c r="L117" s="24">
        <v>5</v>
      </c>
      <c r="M117" s="9" t="s">
        <v>520</v>
      </c>
      <c r="N117" s="14">
        <v>9</v>
      </c>
      <c r="O117" s="14" t="s">
        <v>1559</v>
      </c>
    </row>
    <row r="118" spans="1:15" ht="13.5" hidden="1" x14ac:dyDescent="0.25">
      <c r="A118" s="10" t="s">
        <v>570</v>
      </c>
      <c r="B118" s="29" t="s">
        <v>84</v>
      </c>
      <c r="C118" s="23">
        <v>380</v>
      </c>
      <c r="D118" s="7" t="s">
        <v>85</v>
      </c>
      <c r="E118" s="7" t="s">
        <v>1678</v>
      </c>
      <c r="F118" s="8" t="s">
        <v>869</v>
      </c>
      <c r="G118" s="8" t="s">
        <v>536</v>
      </c>
      <c r="H118" s="8" t="s">
        <v>509</v>
      </c>
      <c r="I118" s="8" t="s">
        <v>1620</v>
      </c>
      <c r="J118" s="8" t="s">
        <v>870</v>
      </c>
      <c r="K118" s="24">
        <v>100</v>
      </c>
      <c r="L118" s="24">
        <v>5</v>
      </c>
      <c r="M118" s="9" t="s">
        <v>520</v>
      </c>
      <c r="N118" s="14">
        <v>9</v>
      </c>
      <c r="O118" s="14" t="s">
        <v>1559</v>
      </c>
    </row>
    <row r="119" spans="1:15" ht="13.5" hidden="1" x14ac:dyDescent="0.25">
      <c r="A119" s="10" t="s">
        <v>1373</v>
      </c>
      <c r="B119" s="24" t="s">
        <v>104</v>
      </c>
      <c r="C119" s="23" t="s">
        <v>428</v>
      </c>
      <c r="D119" s="7" t="s">
        <v>429</v>
      </c>
      <c r="E119" s="7" t="s">
        <v>1904</v>
      </c>
      <c r="F119" s="8" t="s">
        <v>1397</v>
      </c>
      <c r="G119" s="8" t="s">
        <v>536</v>
      </c>
      <c r="H119" s="8" t="s">
        <v>509</v>
      </c>
      <c r="I119" s="8" t="s">
        <v>1620</v>
      </c>
      <c r="J119" s="8" t="s">
        <v>1398</v>
      </c>
      <c r="K119" s="24">
        <v>100</v>
      </c>
      <c r="L119" s="24">
        <v>5</v>
      </c>
      <c r="M119" s="9" t="s">
        <v>520</v>
      </c>
      <c r="N119" s="14">
        <v>9</v>
      </c>
      <c r="O119" s="14" t="s">
        <v>1560</v>
      </c>
    </row>
    <row r="120" spans="1:15" ht="13.5" hidden="1" x14ac:dyDescent="0.25">
      <c r="A120" s="10" t="s">
        <v>607</v>
      </c>
      <c r="B120" s="24" t="s">
        <v>104</v>
      </c>
      <c r="C120" s="23" t="s">
        <v>162</v>
      </c>
      <c r="D120" s="7" t="s">
        <v>163</v>
      </c>
      <c r="E120" s="7" t="s">
        <v>1672</v>
      </c>
      <c r="F120" s="8" t="s">
        <v>945</v>
      </c>
      <c r="G120" s="8" t="s">
        <v>536</v>
      </c>
      <c r="H120" s="8" t="s">
        <v>509</v>
      </c>
      <c r="I120" s="8" t="s">
        <v>1620</v>
      </c>
      <c r="J120" s="8" t="s">
        <v>946</v>
      </c>
      <c r="K120" s="24">
        <v>100</v>
      </c>
      <c r="L120" s="24">
        <v>5</v>
      </c>
      <c r="M120" s="9" t="s">
        <v>520</v>
      </c>
      <c r="N120" s="14">
        <v>9</v>
      </c>
      <c r="O120" s="14" t="s">
        <v>1559</v>
      </c>
    </row>
    <row r="121" spans="1:15" ht="13.5" hidden="1" x14ac:dyDescent="0.25">
      <c r="A121" s="10" t="s">
        <v>1374</v>
      </c>
      <c r="B121" s="24" t="s">
        <v>104</v>
      </c>
      <c r="C121" s="23" t="s">
        <v>430</v>
      </c>
      <c r="D121" s="7" t="s">
        <v>431</v>
      </c>
      <c r="E121" s="7" t="s">
        <v>1905</v>
      </c>
      <c r="F121" s="8" t="s">
        <v>1399</v>
      </c>
      <c r="G121" s="8" t="s">
        <v>536</v>
      </c>
      <c r="H121" s="8" t="s">
        <v>509</v>
      </c>
      <c r="I121" s="8" t="s">
        <v>1620</v>
      </c>
      <c r="J121" s="8" t="s">
        <v>1400</v>
      </c>
      <c r="K121" s="24">
        <v>100</v>
      </c>
      <c r="L121" s="24">
        <v>5</v>
      </c>
      <c r="M121" s="9" t="s">
        <v>520</v>
      </c>
      <c r="N121" s="14">
        <v>9</v>
      </c>
      <c r="O121" s="14" t="s">
        <v>1560</v>
      </c>
    </row>
    <row r="122" spans="1:15" ht="13.5" hidden="1" x14ac:dyDescent="0.25">
      <c r="A122" s="10" t="s">
        <v>797</v>
      </c>
      <c r="B122" s="29" t="s">
        <v>251</v>
      </c>
      <c r="C122" s="23">
        <v>131</v>
      </c>
      <c r="D122" s="7" t="s">
        <v>255</v>
      </c>
      <c r="E122" s="7" t="s">
        <v>1680</v>
      </c>
      <c r="F122" s="8" t="s">
        <v>1092</v>
      </c>
      <c r="G122" s="8" t="s">
        <v>536</v>
      </c>
      <c r="H122" s="8" t="s">
        <v>509</v>
      </c>
      <c r="I122" s="8" t="s">
        <v>1620</v>
      </c>
      <c r="J122" s="8" t="s">
        <v>1093</v>
      </c>
      <c r="K122" s="24">
        <v>100</v>
      </c>
      <c r="L122" s="24">
        <v>5</v>
      </c>
      <c r="M122" s="9" t="s">
        <v>520</v>
      </c>
      <c r="N122" s="14">
        <v>9</v>
      </c>
      <c r="O122" s="14" t="s">
        <v>1559</v>
      </c>
    </row>
    <row r="123" spans="1:15" ht="13.5" hidden="1" x14ac:dyDescent="0.25">
      <c r="A123" s="10" t="s">
        <v>1453</v>
      </c>
      <c r="B123" s="29" t="s">
        <v>264</v>
      </c>
      <c r="C123" s="29">
        <v>5</v>
      </c>
      <c r="D123" s="10" t="s">
        <v>278</v>
      </c>
      <c r="E123" s="10" t="s">
        <v>1668</v>
      </c>
      <c r="F123" s="8" t="s">
        <v>1426</v>
      </c>
      <c r="G123" s="8" t="s">
        <v>536</v>
      </c>
      <c r="H123" s="8" t="s">
        <v>509</v>
      </c>
      <c r="I123" s="8" t="s">
        <v>1620</v>
      </c>
      <c r="J123" s="8" t="s">
        <v>1427</v>
      </c>
      <c r="K123" s="24">
        <v>100</v>
      </c>
      <c r="L123" s="24">
        <v>5</v>
      </c>
      <c r="M123" s="9" t="s">
        <v>520</v>
      </c>
      <c r="N123" s="14">
        <v>9</v>
      </c>
      <c r="O123" s="14" t="s">
        <v>1559</v>
      </c>
    </row>
    <row r="124" spans="1:15" ht="13.5" hidden="1" x14ac:dyDescent="0.25">
      <c r="A124" s="10" t="s">
        <v>1415</v>
      </c>
      <c r="B124" s="29" t="s">
        <v>90</v>
      </c>
      <c r="C124" s="23">
        <v>80</v>
      </c>
      <c r="D124" s="7" t="s">
        <v>383</v>
      </c>
      <c r="E124" s="7" t="s">
        <v>1667</v>
      </c>
      <c r="F124" s="8" t="s">
        <v>1426</v>
      </c>
      <c r="G124" s="8" t="s">
        <v>536</v>
      </c>
      <c r="H124" s="8" t="s">
        <v>509</v>
      </c>
      <c r="I124" s="8" t="s">
        <v>1620</v>
      </c>
      <c r="J124" s="8" t="s">
        <v>1427</v>
      </c>
      <c r="K124" s="24">
        <v>100</v>
      </c>
      <c r="L124" s="24">
        <v>5</v>
      </c>
      <c r="M124" s="9" t="s">
        <v>520</v>
      </c>
      <c r="N124" s="14">
        <v>9</v>
      </c>
      <c r="O124" s="14" t="s">
        <v>1559</v>
      </c>
    </row>
    <row r="125" spans="1:15" ht="13.5" hidden="1" x14ac:dyDescent="0.25">
      <c r="A125" s="10" t="s">
        <v>709</v>
      </c>
      <c r="B125" s="29" t="s">
        <v>280</v>
      </c>
      <c r="C125" s="23">
        <v>35</v>
      </c>
      <c r="D125" s="7" t="s">
        <v>327</v>
      </c>
      <c r="E125" s="7" t="s">
        <v>1659</v>
      </c>
      <c r="F125" s="8" t="s">
        <v>1226</v>
      </c>
      <c r="G125" s="8" t="s">
        <v>536</v>
      </c>
      <c r="H125" s="8" t="s">
        <v>509</v>
      </c>
      <c r="I125" s="8" t="s">
        <v>1620</v>
      </c>
      <c r="J125" s="8" t="s">
        <v>1227</v>
      </c>
      <c r="K125" s="24">
        <v>100</v>
      </c>
      <c r="L125" s="24">
        <v>5</v>
      </c>
      <c r="M125" s="9" t="s">
        <v>520</v>
      </c>
      <c r="N125" s="14">
        <v>9</v>
      </c>
      <c r="O125" s="14" t="s">
        <v>1559</v>
      </c>
    </row>
    <row r="126" spans="1:15" ht="12" hidden="1" customHeight="1" x14ac:dyDescent="0.25">
      <c r="A126" s="10" t="s">
        <v>743</v>
      </c>
      <c r="B126" s="29" t="s">
        <v>280</v>
      </c>
      <c r="C126" s="23">
        <v>99</v>
      </c>
      <c r="D126" s="7" t="s">
        <v>364</v>
      </c>
      <c r="E126" s="7" t="s">
        <v>1682</v>
      </c>
      <c r="F126" s="8" t="s">
        <v>1290</v>
      </c>
      <c r="G126" s="8" t="s">
        <v>536</v>
      </c>
      <c r="H126" s="8" t="s">
        <v>509</v>
      </c>
      <c r="I126" s="8" t="s">
        <v>1620</v>
      </c>
      <c r="J126" s="8" t="s">
        <v>1291</v>
      </c>
      <c r="K126" s="24">
        <v>100</v>
      </c>
      <c r="L126" s="24">
        <v>5</v>
      </c>
      <c r="M126" s="9" t="s">
        <v>520</v>
      </c>
      <c r="N126" s="14">
        <v>9</v>
      </c>
      <c r="O126" s="14" t="s">
        <v>1559</v>
      </c>
    </row>
    <row r="127" spans="1:15" ht="13.5" hidden="1" x14ac:dyDescent="0.25">
      <c r="A127" s="10" t="s">
        <v>675</v>
      </c>
      <c r="B127" s="29" t="s">
        <v>280</v>
      </c>
      <c r="C127" s="23">
        <v>74</v>
      </c>
      <c r="D127" s="7" t="s">
        <v>289</v>
      </c>
      <c r="E127" s="7" t="s">
        <v>1697</v>
      </c>
      <c r="F127" s="8" t="s">
        <v>1164</v>
      </c>
      <c r="G127" s="8" t="s">
        <v>536</v>
      </c>
      <c r="H127" s="8" t="s">
        <v>509</v>
      </c>
      <c r="I127" s="8" t="s">
        <v>1620</v>
      </c>
      <c r="J127" s="8" t="s">
        <v>1165</v>
      </c>
      <c r="K127" s="24">
        <v>100</v>
      </c>
      <c r="L127" s="24">
        <v>5</v>
      </c>
      <c r="M127" s="9" t="s">
        <v>520</v>
      </c>
      <c r="N127" s="14">
        <v>9</v>
      </c>
      <c r="O127" s="14" t="s">
        <v>1559</v>
      </c>
    </row>
    <row r="128" spans="1:15" ht="13.5" hidden="1" x14ac:dyDescent="0.25">
      <c r="A128" s="10" t="s">
        <v>1418</v>
      </c>
      <c r="B128" s="29" t="s">
        <v>280</v>
      </c>
      <c r="C128" s="23">
        <v>32</v>
      </c>
      <c r="D128" s="7" t="s">
        <v>533</v>
      </c>
      <c r="E128" s="7" t="s">
        <v>1671</v>
      </c>
      <c r="F128" s="8" t="s">
        <v>1432</v>
      </c>
      <c r="G128" s="8" t="s">
        <v>536</v>
      </c>
      <c r="H128" s="8" t="s">
        <v>509</v>
      </c>
      <c r="I128" s="8" t="s">
        <v>1620</v>
      </c>
      <c r="J128" s="8" t="s">
        <v>1433</v>
      </c>
      <c r="K128" s="24">
        <v>100</v>
      </c>
      <c r="L128" s="24">
        <v>5</v>
      </c>
      <c r="M128" s="9" t="s">
        <v>520</v>
      </c>
      <c r="N128" s="14">
        <v>9</v>
      </c>
      <c r="O128" s="14" t="s">
        <v>1559</v>
      </c>
    </row>
    <row r="129" spans="1:15" ht="13.5" hidden="1" x14ac:dyDescent="0.25">
      <c r="A129" s="10" t="s">
        <v>676</v>
      </c>
      <c r="B129" s="29" t="s">
        <v>280</v>
      </c>
      <c r="C129" s="23">
        <v>21</v>
      </c>
      <c r="D129" s="7" t="s">
        <v>290</v>
      </c>
      <c r="E129" s="7" t="s">
        <v>1691</v>
      </c>
      <c r="F129" s="8" t="s">
        <v>1166</v>
      </c>
      <c r="G129" s="8" t="s">
        <v>536</v>
      </c>
      <c r="H129" s="8" t="s">
        <v>509</v>
      </c>
      <c r="I129" s="8" t="s">
        <v>1620</v>
      </c>
      <c r="J129" s="8" t="s">
        <v>1167</v>
      </c>
      <c r="K129" s="24">
        <v>100</v>
      </c>
      <c r="L129" s="24">
        <v>5</v>
      </c>
      <c r="M129" s="9" t="s">
        <v>520</v>
      </c>
      <c r="N129" s="14">
        <v>9</v>
      </c>
      <c r="O129" s="14" t="s">
        <v>1559</v>
      </c>
    </row>
    <row r="130" spans="1:15" ht="13.5" hidden="1" x14ac:dyDescent="0.25">
      <c r="A130" s="10" t="s">
        <v>703</v>
      </c>
      <c r="B130" s="29" t="s">
        <v>280</v>
      </c>
      <c r="C130" s="23">
        <v>30</v>
      </c>
      <c r="D130" s="7" t="s">
        <v>320</v>
      </c>
      <c r="E130" s="7" t="s">
        <v>1675</v>
      </c>
      <c r="F130" s="8" t="s">
        <v>1214</v>
      </c>
      <c r="G130" s="8" t="s">
        <v>536</v>
      </c>
      <c r="H130" s="8" t="s">
        <v>509</v>
      </c>
      <c r="I130" s="8" t="s">
        <v>1620</v>
      </c>
      <c r="J130" s="8" t="s">
        <v>1215</v>
      </c>
      <c r="K130" s="24">
        <v>100</v>
      </c>
      <c r="L130" s="24">
        <v>5</v>
      </c>
      <c r="M130" s="9" t="s">
        <v>520</v>
      </c>
      <c r="N130" s="14">
        <v>9</v>
      </c>
      <c r="O130" s="14" t="s">
        <v>1559</v>
      </c>
    </row>
    <row r="131" spans="1:15" ht="13.5" hidden="1" x14ac:dyDescent="0.25">
      <c r="A131" s="10" t="s">
        <v>744</v>
      </c>
      <c r="B131" s="29" t="s">
        <v>280</v>
      </c>
      <c r="C131" s="23">
        <v>4</v>
      </c>
      <c r="D131" s="7" t="s">
        <v>439</v>
      </c>
      <c r="E131" s="7" t="s">
        <v>1663</v>
      </c>
      <c r="F131" s="8" t="s">
        <v>1130</v>
      </c>
      <c r="G131" s="8" t="s">
        <v>536</v>
      </c>
      <c r="H131" s="8" t="s">
        <v>509</v>
      </c>
      <c r="I131" s="8" t="s">
        <v>1620</v>
      </c>
      <c r="J131" s="8" t="s">
        <v>1131</v>
      </c>
      <c r="K131" s="24">
        <v>100</v>
      </c>
      <c r="L131" s="24">
        <v>5</v>
      </c>
      <c r="M131" s="9" t="s">
        <v>520</v>
      </c>
      <c r="N131" s="14">
        <v>9</v>
      </c>
      <c r="O131" s="14" t="s">
        <v>1559</v>
      </c>
    </row>
    <row r="132" spans="1:15" ht="13.5" hidden="1" x14ac:dyDescent="0.25">
      <c r="A132" s="10" t="s">
        <v>689</v>
      </c>
      <c r="B132" s="29" t="s">
        <v>280</v>
      </c>
      <c r="C132" s="23">
        <v>100</v>
      </c>
      <c r="D132" s="7" t="s">
        <v>303</v>
      </c>
      <c r="E132" s="7" t="s">
        <v>1676</v>
      </c>
      <c r="F132" s="8" t="s">
        <v>1190</v>
      </c>
      <c r="G132" s="8" t="s">
        <v>536</v>
      </c>
      <c r="H132" s="8" t="s">
        <v>509</v>
      </c>
      <c r="I132" s="8" t="s">
        <v>1620</v>
      </c>
      <c r="J132" s="8" t="s">
        <v>1191</v>
      </c>
      <c r="K132" s="24">
        <v>100</v>
      </c>
      <c r="L132" s="24">
        <v>5</v>
      </c>
      <c r="M132" s="9" t="s">
        <v>520</v>
      </c>
      <c r="N132" s="14">
        <v>9</v>
      </c>
      <c r="O132" s="14" t="s">
        <v>1559</v>
      </c>
    </row>
    <row r="133" spans="1:15" ht="13.5" hidden="1" x14ac:dyDescent="0.25">
      <c r="A133" s="10" t="s">
        <v>708</v>
      </c>
      <c r="B133" s="29" t="s">
        <v>280</v>
      </c>
      <c r="C133" s="23">
        <v>54</v>
      </c>
      <c r="D133" s="7" t="s">
        <v>325</v>
      </c>
      <c r="E133" s="7" t="s">
        <v>1673</v>
      </c>
      <c r="F133" s="8" t="s">
        <v>1224</v>
      </c>
      <c r="G133" s="8" t="s">
        <v>536</v>
      </c>
      <c r="H133" s="8" t="s">
        <v>509</v>
      </c>
      <c r="I133" s="8" t="s">
        <v>1620</v>
      </c>
      <c r="J133" s="8" t="s">
        <v>1225</v>
      </c>
      <c r="K133" s="24">
        <v>100</v>
      </c>
      <c r="L133" s="24">
        <v>5</v>
      </c>
      <c r="M133" s="9" t="s">
        <v>520</v>
      </c>
      <c r="N133" s="14">
        <v>9</v>
      </c>
      <c r="O133" s="14" t="s">
        <v>1559</v>
      </c>
    </row>
    <row r="134" spans="1:15" ht="13.5" hidden="1" x14ac:dyDescent="0.25">
      <c r="A134" s="10" t="s">
        <v>737</v>
      </c>
      <c r="B134" s="29" t="s">
        <v>280</v>
      </c>
      <c r="C134" s="23">
        <v>56</v>
      </c>
      <c r="D134" s="7" t="s">
        <v>360</v>
      </c>
      <c r="E134" s="7" t="s">
        <v>1658</v>
      </c>
      <c r="F134" s="8" t="s">
        <v>1278</v>
      </c>
      <c r="G134" s="8" t="s">
        <v>536</v>
      </c>
      <c r="H134" s="8" t="s">
        <v>509</v>
      </c>
      <c r="I134" s="8" t="s">
        <v>1620</v>
      </c>
      <c r="J134" s="8" t="s">
        <v>1279</v>
      </c>
      <c r="K134" s="24">
        <v>100</v>
      </c>
      <c r="L134" s="24">
        <v>5</v>
      </c>
      <c r="M134" s="9" t="s">
        <v>520</v>
      </c>
      <c r="N134" s="14">
        <v>9</v>
      </c>
      <c r="O134" s="14" t="s">
        <v>1559</v>
      </c>
    </row>
    <row r="135" spans="1:15" ht="13.5" hidden="1" x14ac:dyDescent="0.25">
      <c r="A135" s="10" t="s">
        <v>759</v>
      </c>
      <c r="B135" s="29" t="s">
        <v>380</v>
      </c>
      <c r="C135" s="23">
        <v>1021</v>
      </c>
      <c r="D135" s="7" t="s">
        <v>383</v>
      </c>
      <c r="E135" s="7" t="s">
        <v>1666</v>
      </c>
      <c r="F135" s="8" t="s">
        <v>1311</v>
      </c>
      <c r="G135" s="8" t="s">
        <v>536</v>
      </c>
      <c r="H135" s="8" t="s">
        <v>509</v>
      </c>
      <c r="I135" s="8" t="s">
        <v>1620</v>
      </c>
      <c r="J135" s="8" t="s">
        <v>1312</v>
      </c>
      <c r="K135" s="24">
        <v>100</v>
      </c>
      <c r="L135" s="24">
        <v>5</v>
      </c>
      <c r="M135" s="9" t="s">
        <v>520</v>
      </c>
      <c r="N135" s="14">
        <v>9</v>
      </c>
      <c r="O135" s="14" t="s">
        <v>1559</v>
      </c>
    </row>
    <row r="136" spans="1:15" ht="13.5" hidden="1" x14ac:dyDescent="0.25">
      <c r="A136" s="10" t="s">
        <v>771</v>
      </c>
      <c r="B136" s="29" t="s">
        <v>395</v>
      </c>
      <c r="C136" s="23">
        <v>105</v>
      </c>
      <c r="D136" s="7" t="s">
        <v>383</v>
      </c>
      <c r="E136" s="7" t="s">
        <v>1669</v>
      </c>
      <c r="F136" s="8" t="s">
        <v>1338</v>
      </c>
      <c r="G136" s="8" t="s">
        <v>536</v>
      </c>
      <c r="H136" s="8" t="s">
        <v>509</v>
      </c>
      <c r="I136" s="8" t="s">
        <v>1620</v>
      </c>
      <c r="J136" s="8" t="s">
        <v>1339</v>
      </c>
      <c r="K136" s="24">
        <v>100</v>
      </c>
      <c r="L136" s="24">
        <v>5</v>
      </c>
      <c r="M136" s="9" t="s">
        <v>520</v>
      </c>
      <c r="N136" s="14">
        <v>9</v>
      </c>
      <c r="O136" s="14" t="s">
        <v>1559</v>
      </c>
    </row>
    <row r="137" spans="1:15" ht="13.5" hidden="1" x14ac:dyDescent="0.25">
      <c r="A137" s="10" t="s">
        <v>560</v>
      </c>
      <c r="B137" s="29" t="s">
        <v>44</v>
      </c>
      <c r="C137" s="23" t="s">
        <v>412</v>
      </c>
      <c r="D137" s="7" t="s">
        <v>413</v>
      </c>
      <c r="E137" s="7" t="s">
        <v>1706</v>
      </c>
      <c r="F137" s="8" t="s">
        <v>849</v>
      </c>
      <c r="G137" s="8" t="s">
        <v>536</v>
      </c>
      <c r="H137" s="8" t="s">
        <v>509</v>
      </c>
      <c r="I137" s="8" t="s">
        <v>1620</v>
      </c>
      <c r="J137" s="8" t="s">
        <v>850</v>
      </c>
      <c r="K137" s="24">
        <v>100</v>
      </c>
      <c r="L137" s="24">
        <v>5</v>
      </c>
      <c r="M137" s="9" t="s">
        <v>521</v>
      </c>
      <c r="N137" s="14">
        <v>498</v>
      </c>
      <c r="O137" s="14" t="s">
        <v>1559</v>
      </c>
    </row>
    <row r="138" spans="1:15" ht="13.5" hidden="1" x14ac:dyDescent="0.25">
      <c r="A138" s="10" t="s">
        <v>562</v>
      </c>
      <c r="B138" s="29" t="s">
        <v>44</v>
      </c>
      <c r="C138" s="23" t="s">
        <v>414</v>
      </c>
      <c r="D138" s="7" t="s">
        <v>415</v>
      </c>
      <c r="E138" s="7" t="s">
        <v>1686</v>
      </c>
      <c r="F138" s="8" t="s">
        <v>853</v>
      </c>
      <c r="G138" s="8" t="s">
        <v>536</v>
      </c>
      <c r="H138" s="8" t="s">
        <v>509</v>
      </c>
      <c r="I138" s="8" t="s">
        <v>1620</v>
      </c>
      <c r="J138" s="8" t="s">
        <v>854</v>
      </c>
      <c r="K138" s="24">
        <v>100</v>
      </c>
      <c r="L138" s="24">
        <v>5</v>
      </c>
      <c r="M138" s="9" t="s">
        <v>521</v>
      </c>
      <c r="N138" s="14">
        <v>498</v>
      </c>
      <c r="O138" s="14" t="s">
        <v>1559</v>
      </c>
    </row>
    <row r="139" spans="1:15" ht="13.5" hidden="1" x14ac:dyDescent="0.25">
      <c r="A139" s="10" t="s">
        <v>582</v>
      </c>
      <c r="B139" s="29" t="s">
        <v>100</v>
      </c>
      <c r="C139" s="23" t="s">
        <v>101</v>
      </c>
      <c r="D139" s="7" t="s">
        <v>101</v>
      </c>
      <c r="E139" s="7" t="s">
        <v>1924</v>
      </c>
      <c r="F139" s="8" t="s">
        <v>891</v>
      </c>
      <c r="G139" s="8" t="s">
        <v>536</v>
      </c>
      <c r="H139" s="8" t="s">
        <v>509</v>
      </c>
      <c r="I139" s="8" t="s">
        <v>1620</v>
      </c>
      <c r="J139" s="8" t="s">
        <v>892</v>
      </c>
      <c r="K139" s="24">
        <v>100</v>
      </c>
      <c r="L139" s="24">
        <v>5</v>
      </c>
      <c r="M139" s="9" t="s">
        <v>521</v>
      </c>
      <c r="N139" s="14">
        <v>498</v>
      </c>
      <c r="O139" s="14" t="s">
        <v>1559</v>
      </c>
    </row>
    <row r="140" spans="1:15" ht="13.5" hidden="1" x14ac:dyDescent="0.25">
      <c r="A140" s="10" t="s">
        <v>588</v>
      </c>
      <c r="B140" s="24" t="s">
        <v>104</v>
      </c>
      <c r="C140" s="23" t="s">
        <v>113</v>
      </c>
      <c r="D140" s="7" t="s">
        <v>114</v>
      </c>
      <c r="E140" s="7" t="s">
        <v>1684</v>
      </c>
      <c r="F140" s="8" t="s">
        <v>903</v>
      </c>
      <c r="G140" s="8" t="s">
        <v>536</v>
      </c>
      <c r="H140" s="8" t="s">
        <v>509</v>
      </c>
      <c r="I140" s="8" t="s">
        <v>1620</v>
      </c>
      <c r="J140" s="8" t="s">
        <v>904</v>
      </c>
      <c r="K140" s="24">
        <v>100</v>
      </c>
      <c r="L140" s="24">
        <v>5</v>
      </c>
      <c r="M140" s="9" t="s">
        <v>521</v>
      </c>
      <c r="N140" s="14">
        <v>498</v>
      </c>
      <c r="O140" s="14" t="s">
        <v>1559</v>
      </c>
    </row>
    <row r="141" spans="1:15" ht="13.5" hidden="1" x14ac:dyDescent="0.25">
      <c r="A141" s="10" t="s">
        <v>1375</v>
      </c>
      <c r="B141" s="29" t="s">
        <v>226</v>
      </c>
      <c r="C141" s="23">
        <v>423</v>
      </c>
      <c r="D141" s="11" t="s">
        <v>500</v>
      </c>
      <c r="E141" s="11" t="s">
        <v>1687</v>
      </c>
      <c r="F141" s="8" t="s">
        <v>1401</v>
      </c>
      <c r="G141" s="8" t="s">
        <v>536</v>
      </c>
      <c r="H141" s="8" t="s">
        <v>509</v>
      </c>
      <c r="I141" s="8" t="s">
        <v>1620</v>
      </c>
      <c r="J141" s="8" t="s">
        <v>1402</v>
      </c>
      <c r="K141" s="24">
        <v>100</v>
      </c>
      <c r="L141" s="24">
        <v>5</v>
      </c>
      <c r="M141" s="9" t="s">
        <v>521</v>
      </c>
      <c r="N141" s="14">
        <v>498</v>
      </c>
      <c r="O141" s="14" t="s">
        <v>1559</v>
      </c>
    </row>
    <row r="142" spans="1:15" ht="13.5" hidden="1" x14ac:dyDescent="0.25">
      <c r="A142" s="10" t="s">
        <v>794</v>
      </c>
      <c r="B142" s="29" t="s">
        <v>251</v>
      </c>
      <c r="C142" s="23">
        <v>287</v>
      </c>
      <c r="D142" s="7" t="s">
        <v>252</v>
      </c>
      <c r="E142" s="7" t="s">
        <v>1685</v>
      </c>
      <c r="F142" s="8" t="s">
        <v>1086</v>
      </c>
      <c r="G142" s="8" t="s">
        <v>536</v>
      </c>
      <c r="H142" s="8" t="s">
        <v>509</v>
      </c>
      <c r="I142" s="8" t="s">
        <v>1620</v>
      </c>
      <c r="J142" s="8" t="s">
        <v>1087</v>
      </c>
      <c r="K142" s="24">
        <v>100</v>
      </c>
      <c r="L142" s="24">
        <v>5</v>
      </c>
      <c r="M142" s="9" t="s">
        <v>521</v>
      </c>
      <c r="N142" s="14">
        <v>498</v>
      </c>
      <c r="O142" s="14" t="s">
        <v>1559</v>
      </c>
    </row>
    <row r="143" spans="1:15" ht="13.5" hidden="1" x14ac:dyDescent="0.25">
      <c r="A143" s="10" t="s">
        <v>805</v>
      </c>
      <c r="B143" s="29" t="s">
        <v>251</v>
      </c>
      <c r="C143" s="23">
        <v>55</v>
      </c>
      <c r="D143" s="7" t="s">
        <v>437</v>
      </c>
      <c r="E143" s="7" t="s">
        <v>1670</v>
      </c>
      <c r="F143" s="8" t="s">
        <v>1110</v>
      </c>
      <c r="G143" s="8" t="s">
        <v>536</v>
      </c>
      <c r="H143" s="8" t="s">
        <v>509</v>
      </c>
      <c r="I143" s="8" t="s">
        <v>1620</v>
      </c>
      <c r="J143" s="8" t="s">
        <v>1111</v>
      </c>
      <c r="K143" s="24">
        <v>100</v>
      </c>
      <c r="L143" s="24">
        <v>5</v>
      </c>
      <c r="M143" s="9" t="s">
        <v>521</v>
      </c>
      <c r="N143" s="14">
        <v>498</v>
      </c>
      <c r="O143" s="14" t="s">
        <v>1559</v>
      </c>
    </row>
    <row r="144" spans="1:15" ht="13.5" hidden="1" x14ac:dyDescent="0.25">
      <c r="A144" s="10" t="s">
        <v>1452</v>
      </c>
      <c r="B144" s="29" t="s">
        <v>264</v>
      </c>
      <c r="C144" s="29">
        <v>176</v>
      </c>
      <c r="D144" s="10" t="s">
        <v>269</v>
      </c>
      <c r="E144" s="10" t="s">
        <v>1693</v>
      </c>
      <c r="F144" s="8" t="s">
        <v>1424</v>
      </c>
      <c r="G144" s="8" t="s">
        <v>536</v>
      </c>
      <c r="H144" s="8" t="s">
        <v>509</v>
      </c>
      <c r="I144" s="8" t="s">
        <v>1620</v>
      </c>
      <c r="J144" s="8" t="s">
        <v>1425</v>
      </c>
      <c r="K144" s="24">
        <v>100</v>
      </c>
      <c r="L144" s="24">
        <v>5</v>
      </c>
      <c r="M144" s="9" t="s">
        <v>521</v>
      </c>
      <c r="N144" s="14">
        <v>498</v>
      </c>
      <c r="O144" s="14" t="s">
        <v>1559</v>
      </c>
    </row>
    <row r="145" spans="1:15" ht="13.5" hidden="1" x14ac:dyDescent="0.25">
      <c r="A145" s="10" t="s">
        <v>1414</v>
      </c>
      <c r="B145" s="29" t="s">
        <v>90</v>
      </c>
      <c r="C145" s="23">
        <v>6</v>
      </c>
      <c r="D145" s="7" t="s">
        <v>534</v>
      </c>
      <c r="E145" s="7" t="s">
        <v>1692</v>
      </c>
      <c r="F145" s="8" t="s">
        <v>1424</v>
      </c>
      <c r="G145" s="8" t="s">
        <v>536</v>
      </c>
      <c r="H145" s="8" t="s">
        <v>509</v>
      </c>
      <c r="I145" s="8" t="s">
        <v>1620</v>
      </c>
      <c r="J145" s="8" t="s">
        <v>1425</v>
      </c>
      <c r="K145" s="24">
        <v>100</v>
      </c>
      <c r="L145" s="24">
        <v>5</v>
      </c>
      <c r="M145" s="9" t="s">
        <v>521</v>
      </c>
      <c r="N145" s="14">
        <v>498</v>
      </c>
      <c r="O145" s="14" t="s">
        <v>1559</v>
      </c>
    </row>
    <row r="146" spans="1:15" ht="13.5" hidden="1" x14ac:dyDescent="0.25">
      <c r="A146" s="10" t="s">
        <v>734</v>
      </c>
      <c r="B146" s="29" t="s">
        <v>280</v>
      </c>
      <c r="C146" s="23">
        <v>122</v>
      </c>
      <c r="D146" s="7" t="s">
        <v>357</v>
      </c>
      <c r="E146" s="7" t="s">
        <v>1681</v>
      </c>
      <c r="F146" s="8" t="s">
        <v>1274</v>
      </c>
      <c r="G146" s="8" t="s">
        <v>536</v>
      </c>
      <c r="H146" s="8" t="s">
        <v>509</v>
      </c>
      <c r="I146" s="8" t="s">
        <v>1620</v>
      </c>
      <c r="J146" s="8" t="s">
        <v>1275</v>
      </c>
      <c r="K146" s="24">
        <v>100</v>
      </c>
      <c r="L146" s="24">
        <v>5</v>
      </c>
      <c r="M146" s="9" t="s">
        <v>521</v>
      </c>
      <c r="N146" s="14">
        <v>498</v>
      </c>
      <c r="O146" s="14" t="s">
        <v>1559</v>
      </c>
    </row>
    <row r="147" spans="1:15" ht="13.5" hidden="1" x14ac:dyDescent="0.25">
      <c r="A147" s="10" t="s">
        <v>742</v>
      </c>
      <c r="B147" s="29" t="s">
        <v>280</v>
      </c>
      <c r="C147" s="23">
        <v>34</v>
      </c>
      <c r="D147" s="7" t="s">
        <v>363</v>
      </c>
      <c r="E147" s="7" t="s">
        <v>1689</v>
      </c>
      <c r="F147" s="8" t="s">
        <v>1288</v>
      </c>
      <c r="G147" s="8" t="s">
        <v>536</v>
      </c>
      <c r="H147" s="8" t="s">
        <v>509</v>
      </c>
      <c r="I147" s="8" t="s">
        <v>1620</v>
      </c>
      <c r="J147" s="8" t="s">
        <v>1289</v>
      </c>
      <c r="K147" s="24">
        <v>100</v>
      </c>
      <c r="L147" s="24">
        <v>5</v>
      </c>
      <c r="M147" s="9" t="s">
        <v>521</v>
      </c>
      <c r="N147" s="14">
        <v>498</v>
      </c>
      <c r="O147" s="14" t="s">
        <v>1559</v>
      </c>
    </row>
    <row r="148" spans="1:15" ht="13.5" hidden="1" x14ac:dyDescent="0.25">
      <c r="A148" s="10" t="s">
        <v>697</v>
      </c>
      <c r="B148" s="29" t="s">
        <v>280</v>
      </c>
      <c r="C148" s="23">
        <v>97</v>
      </c>
      <c r="D148" s="7" t="s">
        <v>314</v>
      </c>
      <c r="E148" s="7" t="s">
        <v>1679</v>
      </c>
      <c r="F148" s="8" t="s">
        <v>1206</v>
      </c>
      <c r="G148" s="8" t="s">
        <v>536</v>
      </c>
      <c r="H148" s="8" t="s">
        <v>509</v>
      </c>
      <c r="I148" s="8" t="s">
        <v>1620</v>
      </c>
      <c r="J148" s="8" t="s">
        <v>1207</v>
      </c>
      <c r="K148" s="24">
        <v>100</v>
      </c>
      <c r="L148" s="24">
        <v>5</v>
      </c>
      <c r="M148" s="9" t="s">
        <v>521</v>
      </c>
      <c r="N148" s="14">
        <v>498</v>
      </c>
      <c r="O148" s="14" t="s">
        <v>1559</v>
      </c>
    </row>
    <row r="149" spans="1:15" ht="13.5" hidden="1" x14ac:dyDescent="0.25">
      <c r="A149" s="10" t="s">
        <v>698</v>
      </c>
      <c r="B149" s="29" t="s">
        <v>280</v>
      </c>
      <c r="C149" s="23">
        <v>31</v>
      </c>
      <c r="D149" s="7" t="s">
        <v>315</v>
      </c>
      <c r="E149" s="7" t="s">
        <v>1683</v>
      </c>
      <c r="F149" s="8" t="s">
        <v>1114</v>
      </c>
      <c r="G149" s="8" t="s">
        <v>536</v>
      </c>
      <c r="H149" s="8" t="s">
        <v>509</v>
      </c>
      <c r="I149" s="8" t="s">
        <v>1620</v>
      </c>
      <c r="J149" s="8" t="s">
        <v>1115</v>
      </c>
      <c r="K149" s="24">
        <v>100</v>
      </c>
      <c r="L149" s="24">
        <v>5</v>
      </c>
      <c r="M149" s="9" t="s">
        <v>521</v>
      </c>
      <c r="N149" s="14">
        <v>498</v>
      </c>
      <c r="O149" s="14" t="s">
        <v>1559</v>
      </c>
    </row>
    <row r="150" spans="1:15" ht="13.5" hidden="1" x14ac:dyDescent="0.25">
      <c r="A150" s="10" t="s">
        <v>741</v>
      </c>
      <c r="B150" s="29" t="s">
        <v>280</v>
      </c>
      <c r="C150" s="23">
        <v>43</v>
      </c>
      <c r="D150" s="7" t="s">
        <v>362</v>
      </c>
      <c r="E150" s="7" t="s">
        <v>1712</v>
      </c>
      <c r="F150" s="8" t="s">
        <v>1286</v>
      </c>
      <c r="G150" s="8" t="s">
        <v>536</v>
      </c>
      <c r="H150" s="8" t="s">
        <v>509</v>
      </c>
      <c r="I150" s="8" t="s">
        <v>1620</v>
      </c>
      <c r="J150" s="8" t="s">
        <v>1287</v>
      </c>
      <c r="K150" s="24">
        <v>100</v>
      </c>
      <c r="L150" s="24">
        <v>5</v>
      </c>
      <c r="M150" s="9" t="s">
        <v>521</v>
      </c>
      <c r="N150" s="14">
        <v>498</v>
      </c>
      <c r="O150" s="14" t="s">
        <v>1559</v>
      </c>
    </row>
    <row r="151" spans="1:15" ht="13.5" hidden="1" x14ac:dyDescent="0.25">
      <c r="A151" s="10" t="s">
        <v>735</v>
      </c>
      <c r="B151" s="29" t="s">
        <v>280</v>
      </c>
      <c r="C151" s="23">
        <v>72</v>
      </c>
      <c r="D151" s="7" t="s">
        <v>358</v>
      </c>
      <c r="E151" s="7" t="s">
        <v>1656</v>
      </c>
      <c r="F151" s="8" t="s">
        <v>1142</v>
      </c>
      <c r="G151" s="8" t="s">
        <v>536</v>
      </c>
      <c r="H151" s="8" t="s">
        <v>509</v>
      </c>
      <c r="I151" s="8" t="s">
        <v>1620</v>
      </c>
      <c r="J151" s="8" t="s">
        <v>1143</v>
      </c>
      <c r="K151" s="24">
        <v>100</v>
      </c>
      <c r="L151" s="24">
        <v>5</v>
      </c>
      <c r="M151" s="9" t="s">
        <v>521</v>
      </c>
      <c r="N151" s="14">
        <v>498</v>
      </c>
      <c r="O151" s="14" t="s">
        <v>1559</v>
      </c>
    </row>
    <row r="152" spans="1:15" ht="13.5" hidden="1" x14ac:dyDescent="0.25">
      <c r="A152" s="10" t="s">
        <v>822</v>
      </c>
      <c r="B152" s="29" t="s">
        <v>403</v>
      </c>
      <c r="C152" s="23">
        <v>1986</v>
      </c>
      <c r="D152" s="7" t="s">
        <v>407</v>
      </c>
      <c r="E152" s="7" t="s">
        <v>1688</v>
      </c>
      <c r="F152" s="8" t="s">
        <v>1357</v>
      </c>
      <c r="G152" s="8" t="s">
        <v>536</v>
      </c>
      <c r="H152" s="8" t="s">
        <v>509</v>
      </c>
      <c r="I152" s="8" t="s">
        <v>1620</v>
      </c>
      <c r="J152" s="8" t="s">
        <v>1358</v>
      </c>
      <c r="K152" s="24">
        <v>100</v>
      </c>
      <c r="L152" s="24">
        <v>5</v>
      </c>
      <c r="M152" s="9" t="s">
        <v>521</v>
      </c>
      <c r="N152" s="14">
        <v>498</v>
      </c>
      <c r="O152" s="14" t="s">
        <v>1559</v>
      </c>
    </row>
    <row r="153" spans="1:15" ht="13.5" hidden="1" x14ac:dyDescent="0.25">
      <c r="A153" s="10" t="s">
        <v>592</v>
      </c>
      <c r="B153" s="24" t="s">
        <v>104</v>
      </c>
      <c r="C153" s="29" t="s">
        <v>123</v>
      </c>
      <c r="D153" s="10" t="s">
        <v>124</v>
      </c>
      <c r="E153" s="10" t="s">
        <v>1653</v>
      </c>
      <c r="F153" s="8" t="s">
        <v>911</v>
      </c>
      <c r="G153" s="8" t="s">
        <v>122</v>
      </c>
      <c r="H153" s="8" t="s">
        <v>1608</v>
      </c>
      <c r="I153" s="8" t="s">
        <v>1620</v>
      </c>
      <c r="J153" s="8" t="s">
        <v>912</v>
      </c>
      <c r="K153" s="24">
        <v>100</v>
      </c>
      <c r="L153" s="24">
        <v>5</v>
      </c>
      <c r="M153" s="9" t="s">
        <v>517</v>
      </c>
      <c r="N153" s="14">
        <v>6</v>
      </c>
      <c r="O153" s="14" t="s">
        <v>1559</v>
      </c>
    </row>
    <row r="154" spans="1:15" ht="13.5" hidden="1" x14ac:dyDescent="0.25">
      <c r="A154" s="10" t="s">
        <v>591</v>
      </c>
      <c r="B154" s="24" t="s">
        <v>104</v>
      </c>
      <c r="C154" s="23" t="s">
        <v>120</v>
      </c>
      <c r="D154" s="7" t="s">
        <v>121</v>
      </c>
      <c r="E154" s="7" t="s">
        <v>1652</v>
      </c>
      <c r="F154" s="8" t="s">
        <v>909</v>
      </c>
      <c r="G154" s="8" t="s">
        <v>122</v>
      </c>
      <c r="H154" s="8" t="s">
        <v>1608</v>
      </c>
      <c r="I154" s="8" t="s">
        <v>1620</v>
      </c>
      <c r="J154" s="8" t="s">
        <v>910</v>
      </c>
      <c r="K154" s="24">
        <v>100</v>
      </c>
      <c r="L154" s="24">
        <v>5</v>
      </c>
      <c r="M154" s="9" t="s">
        <v>517</v>
      </c>
      <c r="N154" s="14">
        <v>6</v>
      </c>
      <c r="O154" s="14" t="s">
        <v>1559</v>
      </c>
    </row>
    <row r="155" spans="1:15" ht="13.5" hidden="1" x14ac:dyDescent="0.25">
      <c r="A155" s="10" t="s">
        <v>795</v>
      </c>
      <c r="B155" s="29" t="s">
        <v>251</v>
      </c>
      <c r="C155" s="23">
        <v>432</v>
      </c>
      <c r="D155" s="7" t="s">
        <v>253</v>
      </c>
      <c r="E155" s="7" t="s">
        <v>1953</v>
      </c>
      <c r="F155" s="8" t="s">
        <v>1088</v>
      </c>
      <c r="G155" s="8" t="s">
        <v>122</v>
      </c>
      <c r="H155" s="8" t="s">
        <v>1608</v>
      </c>
      <c r="I155" s="8" t="s">
        <v>1620</v>
      </c>
      <c r="J155" s="8" t="s">
        <v>1089</v>
      </c>
      <c r="K155" s="24">
        <v>100</v>
      </c>
      <c r="L155" s="24">
        <v>5</v>
      </c>
      <c r="M155" s="9" t="s">
        <v>517</v>
      </c>
      <c r="N155" s="14">
        <v>6</v>
      </c>
      <c r="O155" s="14" t="s">
        <v>1559</v>
      </c>
    </row>
    <row r="156" spans="1:15" ht="13.5" hidden="1" x14ac:dyDescent="0.25">
      <c r="A156" s="10" t="s">
        <v>1451</v>
      </c>
      <c r="B156" s="29" t="s">
        <v>264</v>
      </c>
      <c r="C156" s="29">
        <v>140</v>
      </c>
      <c r="D156" s="10" t="s">
        <v>276</v>
      </c>
      <c r="E156" s="10" t="s">
        <v>1662</v>
      </c>
      <c r="F156" s="8" t="s">
        <v>1476</v>
      </c>
      <c r="G156" s="8" t="s">
        <v>122</v>
      </c>
      <c r="H156" s="8" t="s">
        <v>1608</v>
      </c>
      <c r="I156" s="8" t="s">
        <v>1620</v>
      </c>
      <c r="J156" s="8" t="s">
        <v>1477</v>
      </c>
      <c r="K156" s="24">
        <v>100</v>
      </c>
      <c r="L156" s="24">
        <v>5</v>
      </c>
      <c r="M156" s="9" t="s">
        <v>517</v>
      </c>
      <c r="N156" s="14">
        <v>6</v>
      </c>
      <c r="O156" s="14" t="s">
        <v>1559</v>
      </c>
    </row>
    <row r="157" spans="1:15" ht="13.5" hidden="1" x14ac:dyDescent="0.25">
      <c r="A157" s="10" t="s">
        <v>716</v>
      </c>
      <c r="B157" s="29" t="s">
        <v>280</v>
      </c>
      <c r="C157" s="23">
        <v>39</v>
      </c>
      <c r="D157" s="7" t="s">
        <v>336</v>
      </c>
      <c r="E157" s="7" t="s">
        <v>1654</v>
      </c>
      <c r="F157" s="8" t="s">
        <v>1240</v>
      </c>
      <c r="G157" s="8" t="s">
        <v>122</v>
      </c>
      <c r="H157" s="8" t="s">
        <v>1608</v>
      </c>
      <c r="I157" s="8" t="s">
        <v>1620</v>
      </c>
      <c r="J157" s="8" t="s">
        <v>1241</v>
      </c>
      <c r="K157" s="24">
        <v>100</v>
      </c>
      <c r="L157" s="24">
        <v>5</v>
      </c>
      <c r="M157" s="9" t="s">
        <v>517</v>
      </c>
      <c r="N157" s="14">
        <v>6</v>
      </c>
      <c r="O157" s="14" t="s">
        <v>1559</v>
      </c>
    </row>
    <row r="158" spans="1:15" ht="13.5" hidden="1" x14ac:dyDescent="0.25">
      <c r="A158" s="10" t="s">
        <v>814</v>
      </c>
      <c r="B158" s="29" t="s">
        <v>280</v>
      </c>
      <c r="C158" s="23">
        <v>133</v>
      </c>
      <c r="D158" s="7" t="s">
        <v>311</v>
      </c>
      <c r="E158" s="7" t="s">
        <v>1881</v>
      </c>
      <c r="F158" s="8" t="s">
        <v>1202</v>
      </c>
      <c r="G158" s="8" t="s">
        <v>122</v>
      </c>
      <c r="H158" s="8" t="s">
        <v>1608</v>
      </c>
      <c r="I158" s="8" t="s">
        <v>1620</v>
      </c>
      <c r="J158" s="8" t="s">
        <v>1203</v>
      </c>
      <c r="K158" s="24">
        <v>100</v>
      </c>
      <c r="L158" s="24">
        <v>5</v>
      </c>
      <c r="M158" s="9" t="s">
        <v>517</v>
      </c>
      <c r="N158" s="14">
        <v>6</v>
      </c>
      <c r="O158" s="14" t="s">
        <v>1559</v>
      </c>
    </row>
    <row r="159" spans="1:15" ht="13.5" hidden="1" x14ac:dyDescent="0.25">
      <c r="A159" s="10" t="s">
        <v>731</v>
      </c>
      <c r="B159" s="29" t="s">
        <v>280</v>
      </c>
      <c r="C159" s="23">
        <v>38</v>
      </c>
      <c r="D159" s="7" t="s">
        <v>122</v>
      </c>
      <c r="E159" s="7" t="s">
        <v>1657</v>
      </c>
      <c r="F159" s="8" t="s">
        <v>1268</v>
      </c>
      <c r="G159" s="8" t="s">
        <v>122</v>
      </c>
      <c r="H159" s="8" t="s">
        <v>1608</v>
      </c>
      <c r="I159" s="8" t="s">
        <v>1620</v>
      </c>
      <c r="J159" s="8" t="s">
        <v>1269</v>
      </c>
      <c r="K159" s="24">
        <v>100</v>
      </c>
      <c r="L159" s="24">
        <v>5</v>
      </c>
      <c r="M159" s="9" t="s">
        <v>517</v>
      </c>
      <c r="N159" s="14">
        <v>6</v>
      </c>
      <c r="O159" s="14" t="s">
        <v>1559</v>
      </c>
    </row>
    <row r="160" spans="1:15" ht="13.5" hidden="1" x14ac:dyDescent="0.25">
      <c r="A160" s="10" t="s">
        <v>696</v>
      </c>
      <c r="B160" s="29" t="s">
        <v>280</v>
      </c>
      <c r="C160" s="23">
        <v>104</v>
      </c>
      <c r="D160" s="7" t="s">
        <v>313</v>
      </c>
      <c r="E160" s="7" t="s">
        <v>1660</v>
      </c>
      <c r="F160" s="8" t="s">
        <v>1204</v>
      </c>
      <c r="G160" s="8" t="s">
        <v>122</v>
      </c>
      <c r="H160" s="8" t="s">
        <v>1608</v>
      </c>
      <c r="I160" s="8" t="s">
        <v>1620</v>
      </c>
      <c r="J160" s="8" t="s">
        <v>1205</v>
      </c>
      <c r="K160" s="24">
        <v>100</v>
      </c>
      <c r="L160" s="24">
        <v>5</v>
      </c>
      <c r="M160" s="9" t="s">
        <v>517</v>
      </c>
      <c r="N160" s="14">
        <v>6</v>
      </c>
      <c r="O160" s="14" t="s">
        <v>1559</v>
      </c>
    </row>
    <row r="161" spans="1:15" ht="13.5" hidden="1" x14ac:dyDescent="0.25">
      <c r="A161" s="10" t="s">
        <v>585</v>
      </c>
      <c r="B161" s="24" t="s">
        <v>104</v>
      </c>
      <c r="C161" s="23" t="s">
        <v>105</v>
      </c>
      <c r="D161" s="7" t="s">
        <v>106</v>
      </c>
      <c r="E161" s="7" t="s">
        <v>1836</v>
      </c>
      <c r="F161" s="8" t="s">
        <v>897</v>
      </c>
      <c r="G161" s="8" t="s">
        <v>108</v>
      </c>
      <c r="H161" s="8" t="s">
        <v>1611</v>
      </c>
      <c r="I161" s="8" t="s">
        <v>1628</v>
      </c>
      <c r="J161" s="8" t="s">
        <v>898</v>
      </c>
      <c r="K161" s="24">
        <v>100</v>
      </c>
      <c r="L161" s="24">
        <v>5</v>
      </c>
      <c r="M161" s="9" t="s">
        <v>1530</v>
      </c>
      <c r="N161" s="14">
        <v>18</v>
      </c>
      <c r="O161" s="14" t="s">
        <v>1559</v>
      </c>
    </row>
    <row r="162" spans="1:15" ht="13.5" x14ac:dyDescent="0.25">
      <c r="A162" s="69" t="s">
        <v>2371</v>
      </c>
      <c r="B162" s="70" t="s">
        <v>104</v>
      </c>
      <c r="C162" s="71" t="s">
        <v>2373</v>
      </c>
      <c r="D162" s="72" t="s">
        <v>2374</v>
      </c>
      <c r="E162" s="72" t="s">
        <v>2377</v>
      </c>
      <c r="F162" s="73" t="s">
        <v>2378</v>
      </c>
      <c r="G162" s="73" t="s">
        <v>108</v>
      </c>
      <c r="H162" s="73" t="s">
        <v>1611</v>
      </c>
      <c r="I162" s="73" t="s">
        <v>1628</v>
      </c>
      <c r="J162" s="73" t="s">
        <v>2379</v>
      </c>
      <c r="K162" s="70">
        <v>100</v>
      </c>
      <c r="L162" s="70">
        <v>5</v>
      </c>
      <c r="M162" s="74" t="s">
        <v>1530</v>
      </c>
      <c r="N162" s="75">
        <v>18</v>
      </c>
      <c r="O162" s="75" t="s">
        <v>2380</v>
      </c>
    </row>
    <row r="163" spans="1:15" ht="13.5" hidden="1" x14ac:dyDescent="0.25">
      <c r="A163" s="10" t="s">
        <v>639</v>
      </c>
      <c r="B163" s="24" t="s">
        <v>104</v>
      </c>
      <c r="C163" s="23" t="s">
        <v>493</v>
      </c>
      <c r="D163" s="7" t="s">
        <v>494</v>
      </c>
      <c r="E163" s="7" t="s">
        <v>1913</v>
      </c>
      <c r="F163" s="8" t="s">
        <v>1020</v>
      </c>
      <c r="G163" s="8" t="s">
        <v>504</v>
      </c>
      <c r="H163" s="8" t="s">
        <v>1606</v>
      </c>
      <c r="I163" s="8" t="s">
        <v>1624</v>
      </c>
      <c r="J163" s="8" t="s">
        <v>1021</v>
      </c>
      <c r="K163" s="24">
        <v>100</v>
      </c>
      <c r="L163" s="24">
        <v>5</v>
      </c>
      <c r="M163" s="9" t="s">
        <v>1530</v>
      </c>
      <c r="N163" s="14">
        <v>18</v>
      </c>
      <c r="O163" s="14" t="s">
        <v>1559</v>
      </c>
    </row>
    <row r="164" spans="1:15" ht="13.5" hidden="1" x14ac:dyDescent="0.25">
      <c r="A164" s="10" t="s">
        <v>784</v>
      </c>
      <c r="B164" s="24" t="s">
        <v>104</v>
      </c>
      <c r="C164" s="23" t="s">
        <v>148</v>
      </c>
      <c r="D164" s="7" t="s">
        <v>149</v>
      </c>
      <c r="E164" s="7" t="s">
        <v>1936</v>
      </c>
      <c r="F164" s="8" t="s">
        <v>933</v>
      </c>
      <c r="G164" s="8" t="s">
        <v>506</v>
      </c>
      <c r="H164" s="8" t="s">
        <v>1603</v>
      </c>
      <c r="I164" s="8" t="s">
        <v>1621</v>
      </c>
      <c r="J164" s="8" t="s">
        <v>934</v>
      </c>
      <c r="K164" s="24">
        <v>100</v>
      </c>
      <c r="L164" s="24">
        <v>5</v>
      </c>
      <c r="M164" s="9" t="s">
        <v>1530</v>
      </c>
      <c r="N164" s="14">
        <v>18</v>
      </c>
      <c r="O164" s="14" t="s">
        <v>1559</v>
      </c>
    </row>
    <row r="165" spans="1:15" ht="13.5" hidden="1" x14ac:dyDescent="0.25">
      <c r="A165" s="10" t="s">
        <v>785</v>
      </c>
      <c r="B165" s="24" t="s">
        <v>104</v>
      </c>
      <c r="C165" s="23" t="s">
        <v>151</v>
      </c>
      <c r="D165" s="7" t="s">
        <v>152</v>
      </c>
      <c r="E165" s="7" t="s">
        <v>1935</v>
      </c>
      <c r="F165" s="8" t="s">
        <v>935</v>
      </c>
      <c r="G165" s="8" t="s">
        <v>506</v>
      </c>
      <c r="H165" s="8" t="s">
        <v>1603</v>
      </c>
      <c r="I165" s="8" t="s">
        <v>1621</v>
      </c>
      <c r="J165" s="8" t="s">
        <v>936</v>
      </c>
      <c r="K165" s="24">
        <v>100</v>
      </c>
      <c r="L165" s="24">
        <v>5</v>
      </c>
      <c r="M165" s="9" t="s">
        <v>1530</v>
      </c>
      <c r="N165" s="14">
        <v>18</v>
      </c>
      <c r="O165" s="14" t="s">
        <v>1559</v>
      </c>
    </row>
    <row r="166" spans="1:15" ht="13.5" hidden="1" x14ac:dyDescent="0.25">
      <c r="A166" s="10" t="s">
        <v>602</v>
      </c>
      <c r="B166" s="24" t="s">
        <v>104</v>
      </c>
      <c r="C166" s="23" t="s">
        <v>145</v>
      </c>
      <c r="D166" s="7" t="s">
        <v>146</v>
      </c>
      <c r="E166" s="7" t="s">
        <v>1793</v>
      </c>
      <c r="F166" s="8" t="s">
        <v>931</v>
      </c>
      <c r="G166" s="8" t="s">
        <v>506</v>
      </c>
      <c r="H166" s="8" t="s">
        <v>1603</v>
      </c>
      <c r="I166" s="8" t="s">
        <v>1621</v>
      </c>
      <c r="J166" s="8" t="s">
        <v>932</v>
      </c>
      <c r="K166" s="24">
        <v>100</v>
      </c>
      <c r="L166" s="24">
        <v>5</v>
      </c>
      <c r="M166" s="9" t="s">
        <v>1530</v>
      </c>
      <c r="N166" s="14">
        <v>18</v>
      </c>
      <c r="O166" s="14" t="s">
        <v>1559</v>
      </c>
    </row>
    <row r="167" spans="1:15" ht="13.5" x14ac:dyDescent="0.25">
      <c r="A167" s="10" t="s">
        <v>2372</v>
      </c>
      <c r="B167" s="29" t="s">
        <v>226</v>
      </c>
      <c r="C167" s="23">
        <v>460</v>
      </c>
      <c r="D167" s="7" t="s">
        <v>2381</v>
      </c>
      <c r="E167" s="7"/>
      <c r="F167" s="8"/>
      <c r="G167" s="8" t="s">
        <v>108</v>
      </c>
      <c r="H167" s="8" t="s">
        <v>509</v>
      </c>
      <c r="I167" s="8" t="s">
        <v>1620</v>
      </c>
      <c r="J167" s="8"/>
      <c r="K167" s="24"/>
      <c r="L167" s="24"/>
      <c r="M167" s="9" t="s">
        <v>1530</v>
      </c>
      <c r="N167" s="14">
        <v>18</v>
      </c>
      <c r="O167" s="14" t="s">
        <v>2380</v>
      </c>
    </row>
    <row r="168" spans="1:15" ht="13.5" hidden="1" x14ac:dyDescent="0.25">
      <c r="A168" s="10" t="s">
        <v>663</v>
      </c>
      <c r="B168" s="29" t="s">
        <v>230</v>
      </c>
      <c r="C168" s="23">
        <v>2985</v>
      </c>
      <c r="D168" s="7" t="s">
        <v>248</v>
      </c>
      <c r="E168" s="7" t="s">
        <v>1845</v>
      </c>
      <c r="F168" s="8" t="s">
        <v>1074</v>
      </c>
      <c r="G168" s="8" t="s">
        <v>248</v>
      </c>
      <c r="H168" s="8" t="s">
        <v>1613</v>
      </c>
      <c r="I168" s="8" t="s">
        <v>1627</v>
      </c>
      <c r="J168" s="8" t="s">
        <v>1075</v>
      </c>
      <c r="K168" s="24">
        <v>100</v>
      </c>
      <c r="L168" s="24">
        <v>5</v>
      </c>
      <c r="M168" s="9" t="s">
        <v>1530</v>
      </c>
      <c r="N168" s="14">
        <v>18</v>
      </c>
      <c r="O168" s="14" t="s">
        <v>1559</v>
      </c>
    </row>
    <row r="169" spans="1:15" ht="13.5" hidden="1" x14ac:dyDescent="0.25">
      <c r="A169" s="10" t="s">
        <v>657</v>
      </c>
      <c r="B169" s="29" t="s">
        <v>230</v>
      </c>
      <c r="C169" s="29">
        <v>2964</v>
      </c>
      <c r="D169" s="7" t="s">
        <v>240</v>
      </c>
      <c r="E169" s="7" t="s">
        <v>1846</v>
      </c>
      <c r="F169" s="8" t="s">
        <v>1062</v>
      </c>
      <c r="G169" s="8" t="s">
        <v>537</v>
      </c>
      <c r="H169" s="8" t="s">
        <v>1614</v>
      </c>
      <c r="I169" s="8" t="s">
        <v>1623</v>
      </c>
      <c r="J169" s="8" t="s">
        <v>1063</v>
      </c>
      <c r="K169" s="24">
        <v>100</v>
      </c>
      <c r="L169" s="24">
        <v>5</v>
      </c>
      <c r="M169" s="9" t="s">
        <v>1530</v>
      </c>
      <c r="N169" s="14">
        <v>18</v>
      </c>
      <c r="O169" s="14" t="s">
        <v>1559</v>
      </c>
    </row>
    <row r="170" spans="1:15" ht="13.5" hidden="1" x14ac:dyDescent="0.25">
      <c r="A170" s="10" t="s">
        <v>650</v>
      </c>
      <c r="B170" s="29" t="s">
        <v>230</v>
      </c>
      <c r="C170" s="23">
        <v>2982</v>
      </c>
      <c r="D170" s="7" t="s">
        <v>233</v>
      </c>
      <c r="E170" s="7" t="s">
        <v>1818</v>
      </c>
      <c r="F170" s="8" t="s">
        <v>1048</v>
      </c>
      <c r="G170" s="8" t="s">
        <v>506</v>
      </c>
      <c r="H170" s="8" t="s">
        <v>1603</v>
      </c>
      <c r="I170" s="8" t="s">
        <v>1621</v>
      </c>
      <c r="J170" s="8" t="s">
        <v>1049</v>
      </c>
      <c r="K170" s="24">
        <v>100</v>
      </c>
      <c r="L170" s="24">
        <v>5</v>
      </c>
      <c r="M170" s="9" t="s">
        <v>1530</v>
      </c>
      <c r="N170" s="14">
        <v>18</v>
      </c>
      <c r="O170" s="14" t="s">
        <v>1559</v>
      </c>
    </row>
    <row r="171" spans="1:15" ht="13.5" hidden="1" x14ac:dyDescent="0.25">
      <c r="A171" s="10" t="s">
        <v>648</v>
      </c>
      <c r="B171" s="29" t="s">
        <v>230</v>
      </c>
      <c r="C171" s="23">
        <v>2987</v>
      </c>
      <c r="D171" s="7" t="s">
        <v>501</v>
      </c>
      <c r="E171" s="7" t="s">
        <v>1895</v>
      </c>
      <c r="F171" s="8" t="s">
        <v>1044</v>
      </c>
      <c r="G171" s="8" t="s">
        <v>232</v>
      </c>
      <c r="H171" s="8" t="s">
        <v>1614</v>
      </c>
      <c r="I171" s="8" t="s">
        <v>1623</v>
      </c>
      <c r="J171" s="8" t="s">
        <v>1045</v>
      </c>
      <c r="K171" s="24">
        <v>100</v>
      </c>
      <c r="L171" s="24">
        <v>5</v>
      </c>
      <c r="M171" s="9" t="s">
        <v>1530</v>
      </c>
      <c r="N171" s="14">
        <v>18</v>
      </c>
      <c r="O171" s="14" t="s">
        <v>1559</v>
      </c>
    </row>
    <row r="172" spans="1:15" ht="13.5" hidden="1" x14ac:dyDescent="0.25">
      <c r="A172" s="10" t="s">
        <v>662</v>
      </c>
      <c r="B172" s="29" t="s">
        <v>230</v>
      </c>
      <c r="C172" s="29">
        <v>2993</v>
      </c>
      <c r="D172" s="7" t="s">
        <v>246</v>
      </c>
      <c r="E172" s="7" t="s">
        <v>1857</v>
      </c>
      <c r="F172" s="8" t="s">
        <v>1072</v>
      </c>
      <c r="G172" s="8" t="s">
        <v>538</v>
      </c>
      <c r="H172" s="8" t="s">
        <v>1615</v>
      </c>
      <c r="I172" s="8" t="s">
        <v>1629</v>
      </c>
      <c r="J172" s="8" t="s">
        <v>1073</v>
      </c>
      <c r="K172" s="24">
        <v>100</v>
      </c>
      <c r="L172" s="24">
        <v>5</v>
      </c>
      <c r="M172" s="9" t="s">
        <v>1530</v>
      </c>
      <c r="N172" s="14">
        <v>18</v>
      </c>
      <c r="O172" s="14" t="s">
        <v>1559</v>
      </c>
    </row>
    <row r="173" spans="1:15" ht="13.5" hidden="1" x14ac:dyDescent="0.25">
      <c r="A173" s="10" t="s">
        <v>1378</v>
      </c>
      <c r="B173" s="29" t="s">
        <v>251</v>
      </c>
      <c r="C173" s="23">
        <v>453</v>
      </c>
      <c r="D173" s="7" t="s">
        <v>496</v>
      </c>
      <c r="E173" s="7" t="s">
        <v>1909</v>
      </c>
      <c r="F173" s="8" t="s">
        <v>1407</v>
      </c>
      <c r="G173" s="8" t="s">
        <v>506</v>
      </c>
      <c r="H173" s="8" t="s">
        <v>1603</v>
      </c>
      <c r="I173" s="8" t="s">
        <v>1621</v>
      </c>
      <c r="J173" s="8" t="s">
        <v>1408</v>
      </c>
      <c r="K173" s="24">
        <v>100</v>
      </c>
      <c r="L173" s="24">
        <v>5</v>
      </c>
      <c r="M173" s="9" t="s">
        <v>1530</v>
      </c>
      <c r="N173" s="14">
        <v>18</v>
      </c>
      <c r="O173" s="14" t="s">
        <v>1560</v>
      </c>
    </row>
    <row r="174" spans="1:15" ht="13.5" hidden="1" x14ac:dyDescent="0.25">
      <c r="A174" s="10" t="s">
        <v>803</v>
      </c>
      <c r="B174" s="29" t="s">
        <v>251</v>
      </c>
      <c r="C174" s="29">
        <v>163</v>
      </c>
      <c r="D174" s="10" t="s">
        <v>262</v>
      </c>
      <c r="E174" s="10" t="s">
        <v>1914</v>
      </c>
      <c r="F174" s="8" t="s">
        <v>1106</v>
      </c>
      <c r="G174" s="8" t="s">
        <v>263</v>
      </c>
      <c r="H174" s="8" t="s">
        <v>1607</v>
      </c>
      <c r="I174" s="8" t="s">
        <v>1625</v>
      </c>
      <c r="J174" s="8" t="s">
        <v>1107</v>
      </c>
      <c r="K174" s="24">
        <v>100</v>
      </c>
      <c r="L174" s="24">
        <v>5</v>
      </c>
      <c r="M174" s="9" t="s">
        <v>1530</v>
      </c>
      <c r="N174" s="14">
        <v>18</v>
      </c>
      <c r="O174" s="14" t="s">
        <v>1559</v>
      </c>
    </row>
    <row r="175" spans="1:15" ht="13.5" hidden="1" x14ac:dyDescent="0.25">
      <c r="A175" s="10" t="s">
        <v>802</v>
      </c>
      <c r="B175" s="29" t="s">
        <v>251</v>
      </c>
      <c r="C175" s="23">
        <v>445</v>
      </c>
      <c r="D175" s="7" t="s">
        <v>261</v>
      </c>
      <c r="E175" s="7" t="s">
        <v>1828</v>
      </c>
      <c r="F175" s="8" t="s">
        <v>1104</v>
      </c>
      <c r="G175" s="8" t="s">
        <v>506</v>
      </c>
      <c r="H175" s="8" t="s">
        <v>1603</v>
      </c>
      <c r="I175" s="8" t="s">
        <v>1621</v>
      </c>
      <c r="J175" s="8" t="s">
        <v>1105</v>
      </c>
      <c r="K175" s="24">
        <v>100</v>
      </c>
      <c r="L175" s="24">
        <v>5</v>
      </c>
      <c r="M175" s="9" t="s">
        <v>1530</v>
      </c>
      <c r="N175" s="14">
        <v>18</v>
      </c>
      <c r="O175" s="14" t="s">
        <v>1559</v>
      </c>
    </row>
    <row r="176" spans="1:15" ht="13.5" hidden="1" x14ac:dyDescent="0.25">
      <c r="A176" s="10" t="s">
        <v>807</v>
      </c>
      <c r="B176" s="29" t="s">
        <v>264</v>
      </c>
      <c r="C176" s="29">
        <v>458</v>
      </c>
      <c r="D176" s="55" t="s">
        <v>455</v>
      </c>
      <c r="E176" s="10" t="s">
        <v>1838</v>
      </c>
      <c r="F176" s="8" t="s">
        <v>1118</v>
      </c>
      <c r="G176" s="8" t="s">
        <v>108</v>
      </c>
      <c r="H176" s="8" t="s">
        <v>1611</v>
      </c>
      <c r="I176" s="8" t="s">
        <v>1628</v>
      </c>
      <c r="J176" s="8" t="s">
        <v>1119</v>
      </c>
      <c r="K176" s="24">
        <v>100</v>
      </c>
      <c r="L176" s="24">
        <v>5</v>
      </c>
      <c r="M176" s="9" t="s">
        <v>1530</v>
      </c>
      <c r="N176" s="14">
        <v>18</v>
      </c>
      <c r="O176" s="14" t="s">
        <v>1559</v>
      </c>
    </row>
    <row r="177" spans="1:15" ht="13.5" hidden="1" x14ac:dyDescent="0.25">
      <c r="A177" s="10" t="s">
        <v>806</v>
      </c>
      <c r="B177" s="29" t="s">
        <v>264</v>
      </c>
      <c r="C177" s="29">
        <v>76</v>
      </c>
      <c r="D177" s="55" t="s">
        <v>267</v>
      </c>
      <c r="E177" s="10" t="s">
        <v>1837</v>
      </c>
      <c r="F177" s="8" t="s">
        <v>1116</v>
      </c>
      <c r="G177" s="8" t="s">
        <v>108</v>
      </c>
      <c r="H177" s="8" t="s">
        <v>1611</v>
      </c>
      <c r="I177" s="8" t="s">
        <v>1628</v>
      </c>
      <c r="J177" s="8" t="s">
        <v>1117</v>
      </c>
      <c r="K177" s="24">
        <v>100</v>
      </c>
      <c r="L177" s="24">
        <v>5</v>
      </c>
      <c r="M177" s="9" t="s">
        <v>1530</v>
      </c>
      <c r="N177" s="14">
        <v>18</v>
      </c>
      <c r="O177" s="14" t="s">
        <v>1559</v>
      </c>
    </row>
    <row r="178" spans="1:15" ht="13.5" hidden="1" x14ac:dyDescent="0.25">
      <c r="A178" s="10" t="s">
        <v>581</v>
      </c>
      <c r="B178" s="29" t="s">
        <v>90</v>
      </c>
      <c r="C178" s="23"/>
      <c r="D178" s="7" t="s">
        <v>98</v>
      </c>
      <c r="E178" s="7" t="s">
        <v>1840</v>
      </c>
      <c r="F178" s="8" t="s">
        <v>889</v>
      </c>
      <c r="G178" s="8" t="s">
        <v>98</v>
      </c>
      <c r="H178" s="8" t="s">
        <v>1612</v>
      </c>
      <c r="I178" s="8" t="s">
        <v>1628</v>
      </c>
      <c r="J178" s="8" t="s">
        <v>890</v>
      </c>
      <c r="K178" s="24">
        <v>100</v>
      </c>
      <c r="L178" s="24">
        <v>5</v>
      </c>
      <c r="M178" s="9" t="s">
        <v>1530</v>
      </c>
      <c r="N178" s="14">
        <v>18</v>
      </c>
      <c r="O178" s="14" t="s">
        <v>1559</v>
      </c>
    </row>
    <row r="179" spans="1:15" ht="13.5" hidden="1" x14ac:dyDescent="0.25">
      <c r="A179" s="10" t="s">
        <v>718</v>
      </c>
      <c r="B179" s="29" t="s">
        <v>280</v>
      </c>
      <c r="C179" s="23">
        <v>126</v>
      </c>
      <c r="D179" s="7" t="s">
        <v>338</v>
      </c>
      <c r="E179" s="7" t="s">
        <v>1799</v>
      </c>
      <c r="F179" s="8" t="s">
        <v>1244</v>
      </c>
      <c r="G179" s="8" t="s">
        <v>506</v>
      </c>
      <c r="H179" s="8" t="s">
        <v>1603</v>
      </c>
      <c r="I179" s="8" t="s">
        <v>1621</v>
      </c>
      <c r="J179" s="8" t="s">
        <v>1245</v>
      </c>
      <c r="K179" s="24">
        <v>100</v>
      </c>
      <c r="L179" s="24">
        <v>5</v>
      </c>
      <c r="M179" s="9" t="s">
        <v>1530</v>
      </c>
      <c r="N179" s="14">
        <v>18</v>
      </c>
      <c r="O179" s="14" t="s">
        <v>1559</v>
      </c>
    </row>
    <row r="180" spans="1:15" ht="13.5" hidden="1" x14ac:dyDescent="0.25">
      <c r="A180" s="10" t="s">
        <v>815</v>
      </c>
      <c r="B180" s="29" t="s">
        <v>280</v>
      </c>
      <c r="C180" s="23">
        <v>127</v>
      </c>
      <c r="D180" s="7" t="s">
        <v>346</v>
      </c>
      <c r="E180" s="7" t="s">
        <v>1797</v>
      </c>
      <c r="F180" s="8" t="s">
        <v>1256</v>
      </c>
      <c r="G180" s="8" t="s">
        <v>506</v>
      </c>
      <c r="H180" s="8" t="s">
        <v>1603</v>
      </c>
      <c r="I180" s="8" t="s">
        <v>1621</v>
      </c>
      <c r="J180" s="8" t="s">
        <v>1257</v>
      </c>
      <c r="K180" s="24">
        <v>100</v>
      </c>
      <c r="L180" s="24">
        <v>5</v>
      </c>
      <c r="M180" s="9" t="s">
        <v>1530</v>
      </c>
      <c r="N180" s="14">
        <v>18</v>
      </c>
      <c r="O180" s="14" t="s">
        <v>1559</v>
      </c>
    </row>
    <row r="181" spans="1:15" ht="13.5" hidden="1" x14ac:dyDescent="0.25">
      <c r="A181" s="10" t="s">
        <v>720</v>
      </c>
      <c r="B181" s="29" t="s">
        <v>280</v>
      </c>
      <c r="C181" s="23">
        <v>172</v>
      </c>
      <c r="D181" s="7" t="s">
        <v>340</v>
      </c>
      <c r="E181" s="7" t="s">
        <v>1640</v>
      </c>
      <c r="F181" s="8" t="s">
        <v>1248</v>
      </c>
      <c r="G181" s="8" t="s">
        <v>263</v>
      </c>
      <c r="H181" s="8" t="s">
        <v>1607</v>
      </c>
      <c r="I181" s="8" t="s">
        <v>1625</v>
      </c>
      <c r="J181" s="8" t="s">
        <v>1249</v>
      </c>
      <c r="K181" s="24">
        <v>100</v>
      </c>
      <c r="L181" s="24">
        <v>5</v>
      </c>
      <c r="M181" s="9" t="s">
        <v>1530</v>
      </c>
      <c r="N181" s="14">
        <v>18</v>
      </c>
      <c r="O181" s="14" t="s">
        <v>1559</v>
      </c>
    </row>
    <row r="182" spans="1:15" ht="13.5" hidden="1" x14ac:dyDescent="0.25">
      <c r="A182" s="10" t="s">
        <v>724</v>
      </c>
      <c r="B182" s="29" t="s">
        <v>280</v>
      </c>
      <c r="C182" s="23">
        <v>135</v>
      </c>
      <c r="D182" s="7" t="s">
        <v>343</v>
      </c>
      <c r="E182" s="7" t="s">
        <v>1804</v>
      </c>
      <c r="F182" s="8" t="s">
        <v>1252</v>
      </c>
      <c r="G182" s="8" t="s">
        <v>506</v>
      </c>
      <c r="H182" s="8" t="s">
        <v>1603</v>
      </c>
      <c r="I182" s="8" t="s">
        <v>1621</v>
      </c>
      <c r="J182" s="8" t="s">
        <v>1253</v>
      </c>
      <c r="K182" s="24">
        <v>100</v>
      </c>
      <c r="L182" s="24">
        <v>5</v>
      </c>
      <c r="M182" s="9" t="s">
        <v>1530</v>
      </c>
      <c r="N182" s="14">
        <v>18</v>
      </c>
      <c r="O182" s="14" t="s">
        <v>1559</v>
      </c>
    </row>
    <row r="183" spans="1:15" ht="13.5" hidden="1" x14ac:dyDescent="0.25">
      <c r="A183" s="10" t="s">
        <v>723</v>
      </c>
      <c r="B183" s="29" t="s">
        <v>280</v>
      </c>
      <c r="C183" s="23">
        <v>140</v>
      </c>
      <c r="D183" s="7" t="s">
        <v>233</v>
      </c>
      <c r="E183" s="7" t="s">
        <v>1824</v>
      </c>
      <c r="F183" s="8" t="s">
        <v>1136</v>
      </c>
      <c r="G183" s="8" t="s">
        <v>506</v>
      </c>
      <c r="H183" s="8" t="s">
        <v>1603</v>
      </c>
      <c r="I183" s="8" t="s">
        <v>1621</v>
      </c>
      <c r="J183" s="8" t="s">
        <v>1137</v>
      </c>
      <c r="K183" s="24">
        <v>100</v>
      </c>
      <c r="L183" s="24">
        <v>5</v>
      </c>
      <c r="M183" s="9" t="s">
        <v>1530</v>
      </c>
      <c r="N183" s="14">
        <v>18</v>
      </c>
      <c r="O183" s="14" t="s">
        <v>1559</v>
      </c>
    </row>
    <row r="184" spans="1:15" ht="13.5" hidden="1" x14ac:dyDescent="0.25">
      <c r="A184" s="10" t="s">
        <v>717</v>
      </c>
      <c r="B184" s="29" t="s">
        <v>280</v>
      </c>
      <c r="C184" s="23">
        <v>173</v>
      </c>
      <c r="D184" s="7" t="s">
        <v>337</v>
      </c>
      <c r="E184" s="7" t="s">
        <v>1639</v>
      </c>
      <c r="F184" s="8" t="s">
        <v>1242</v>
      </c>
      <c r="G184" s="8" t="s">
        <v>263</v>
      </c>
      <c r="H184" s="8" t="s">
        <v>1607</v>
      </c>
      <c r="I184" s="8" t="s">
        <v>1625</v>
      </c>
      <c r="J184" s="8" t="s">
        <v>1243</v>
      </c>
      <c r="K184" s="24">
        <v>100</v>
      </c>
      <c r="L184" s="24">
        <v>5</v>
      </c>
      <c r="M184" s="9" t="s">
        <v>1530</v>
      </c>
      <c r="N184" s="14">
        <v>18</v>
      </c>
      <c r="O184" s="14" t="s">
        <v>1559</v>
      </c>
    </row>
    <row r="185" spans="1:15" ht="13.5" hidden="1" x14ac:dyDescent="0.25">
      <c r="A185" s="10" t="s">
        <v>1422</v>
      </c>
      <c r="B185" s="29" t="s">
        <v>280</v>
      </c>
      <c r="C185" s="23">
        <v>179</v>
      </c>
      <c r="D185" s="7" t="s">
        <v>530</v>
      </c>
      <c r="E185" s="7" t="s">
        <v>1792</v>
      </c>
      <c r="F185" s="8" t="s">
        <v>1440</v>
      </c>
      <c r="G185" s="8" t="s">
        <v>536</v>
      </c>
      <c r="H185" s="8" t="s">
        <v>509</v>
      </c>
      <c r="I185" s="8" t="s">
        <v>1620</v>
      </c>
      <c r="J185" s="8" t="s">
        <v>1441</v>
      </c>
      <c r="K185" s="24">
        <v>100</v>
      </c>
      <c r="L185" s="24">
        <v>5</v>
      </c>
      <c r="M185" s="9" t="s">
        <v>1530</v>
      </c>
      <c r="N185" s="14">
        <v>18</v>
      </c>
      <c r="O185" s="14" t="s">
        <v>1559</v>
      </c>
    </row>
    <row r="186" spans="1:15" ht="13.5" hidden="1" x14ac:dyDescent="0.25">
      <c r="A186" s="10" t="s">
        <v>761</v>
      </c>
      <c r="B186" s="29" t="s">
        <v>380</v>
      </c>
      <c r="C186" s="23">
        <v>1188</v>
      </c>
      <c r="D186" s="7" t="s">
        <v>385</v>
      </c>
      <c r="E186" s="7" t="s">
        <v>1834</v>
      </c>
      <c r="F186" s="8" t="s">
        <v>1315</v>
      </c>
      <c r="G186" s="8" t="s">
        <v>108</v>
      </c>
      <c r="H186" s="8" t="s">
        <v>1611</v>
      </c>
      <c r="I186" s="8" t="s">
        <v>1628</v>
      </c>
      <c r="J186" s="8" t="s">
        <v>1316</v>
      </c>
      <c r="K186" s="24">
        <v>100</v>
      </c>
      <c r="L186" s="24">
        <v>5</v>
      </c>
      <c r="M186" s="9" t="s">
        <v>1530</v>
      </c>
      <c r="N186" s="14">
        <v>18</v>
      </c>
      <c r="O186" s="14" t="s">
        <v>1559</v>
      </c>
    </row>
    <row r="187" spans="1:15" ht="13.5" hidden="1" x14ac:dyDescent="0.25">
      <c r="A187" s="10" t="s">
        <v>777</v>
      </c>
      <c r="B187" s="29" t="s">
        <v>395</v>
      </c>
      <c r="C187" s="23">
        <v>215</v>
      </c>
      <c r="D187" s="7" t="s">
        <v>456</v>
      </c>
      <c r="E187" s="7" t="s">
        <v>1835</v>
      </c>
      <c r="F187" s="8" t="s">
        <v>1349</v>
      </c>
      <c r="G187" s="8" t="s">
        <v>108</v>
      </c>
      <c r="H187" s="8" t="s">
        <v>1611</v>
      </c>
      <c r="I187" s="8" t="s">
        <v>1628</v>
      </c>
      <c r="J187" s="8" t="s">
        <v>1350</v>
      </c>
      <c r="K187" s="24">
        <v>100</v>
      </c>
      <c r="L187" s="24">
        <v>5</v>
      </c>
      <c r="M187" s="9" t="s">
        <v>1530</v>
      </c>
      <c r="N187" s="14">
        <v>18</v>
      </c>
      <c r="O187" s="14" t="s">
        <v>1559</v>
      </c>
    </row>
    <row r="188" spans="1:15" ht="13.5" hidden="1" x14ac:dyDescent="0.25">
      <c r="A188" s="10" t="s">
        <v>572</v>
      </c>
      <c r="B188" s="29" t="s">
        <v>84</v>
      </c>
      <c r="C188" s="23">
        <v>409</v>
      </c>
      <c r="D188" s="7" t="s">
        <v>87</v>
      </c>
      <c r="E188" s="7" t="s">
        <v>1829</v>
      </c>
      <c r="F188" s="8" t="s">
        <v>873</v>
      </c>
      <c r="G188" s="8" t="s">
        <v>502</v>
      </c>
      <c r="H188" s="8" t="s">
        <v>1604</v>
      </c>
      <c r="I188" s="8" t="s">
        <v>1622</v>
      </c>
      <c r="J188" s="8" t="s">
        <v>874</v>
      </c>
      <c r="K188" s="24">
        <v>100</v>
      </c>
      <c r="L188" s="24">
        <v>5</v>
      </c>
      <c r="M188" s="9" t="s">
        <v>524</v>
      </c>
      <c r="N188" s="14">
        <v>225</v>
      </c>
      <c r="O188" s="14" t="s">
        <v>1559</v>
      </c>
    </row>
    <row r="189" spans="1:15" ht="13.5" hidden="1" x14ac:dyDescent="0.25">
      <c r="A189" s="10" t="s">
        <v>614</v>
      </c>
      <c r="B189" s="24" t="s">
        <v>104</v>
      </c>
      <c r="C189" s="23" t="s">
        <v>178</v>
      </c>
      <c r="D189" s="7" t="s">
        <v>179</v>
      </c>
      <c r="E189" s="7" t="s">
        <v>1814</v>
      </c>
      <c r="F189" s="8" t="s">
        <v>959</v>
      </c>
      <c r="G189" s="8" t="s">
        <v>502</v>
      </c>
      <c r="H189" s="8" t="s">
        <v>1604</v>
      </c>
      <c r="I189" s="8" t="s">
        <v>1622</v>
      </c>
      <c r="J189" s="8" t="s">
        <v>960</v>
      </c>
      <c r="K189" s="24">
        <v>100</v>
      </c>
      <c r="L189" s="24">
        <v>5</v>
      </c>
      <c r="M189" s="9" t="s">
        <v>524</v>
      </c>
      <c r="N189" s="14">
        <v>400</v>
      </c>
      <c r="O189" s="14" t="s">
        <v>1559</v>
      </c>
    </row>
    <row r="190" spans="1:15" ht="13.5" hidden="1" x14ac:dyDescent="0.25">
      <c r="A190" s="10" t="s">
        <v>624</v>
      </c>
      <c r="B190" s="24" t="s">
        <v>104</v>
      </c>
      <c r="C190" s="23" t="s">
        <v>203</v>
      </c>
      <c r="D190" s="7" t="s">
        <v>204</v>
      </c>
      <c r="E190" s="7" t="s">
        <v>1939</v>
      </c>
      <c r="F190" s="8" t="s">
        <v>987</v>
      </c>
      <c r="G190" s="8" t="s">
        <v>502</v>
      </c>
      <c r="H190" s="8" t="s">
        <v>1604</v>
      </c>
      <c r="I190" s="8" t="s">
        <v>1622</v>
      </c>
      <c r="J190" s="8" t="s">
        <v>988</v>
      </c>
      <c r="K190" s="24">
        <v>100</v>
      </c>
      <c r="L190" s="24">
        <v>5</v>
      </c>
      <c r="M190" s="9" t="s">
        <v>524</v>
      </c>
      <c r="N190" s="14">
        <v>225</v>
      </c>
      <c r="O190" s="14" t="s">
        <v>1559</v>
      </c>
    </row>
    <row r="191" spans="1:15" ht="13.5" hidden="1" x14ac:dyDescent="0.25">
      <c r="A191" s="10" t="s">
        <v>613</v>
      </c>
      <c r="B191" s="24" t="s">
        <v>104</v>
      </c>
      <c r="C191" s="23" t="s">
        <v>176</v>
      </c>
      <c r="D191" s="7" t="s">
        <v>177</v>
      </c>
      <c r="E191" s="7" t="s">
        <v>1817</v>
      </c>
      <c r="F191" s="8" t="s">
        <v>957</v>
      </c>
      <c r="G191" s="8" t="s">
        <v>502</v>
      </c>
      <c r="H191" s="8" t="s">
        <v>1604</v>
      </c>
      <c r="I191" s="8" t="s">
        <v>1622</v>
      </c>
      <c r="J191" s="8" t="s">
        <v>958</v>
      </c>
      <c r="K191" s="24">
        <v>100</v>
      </c>
      <c r="L191" s="24">
        <v>5</v>
      </c>
      <c r="M191" s="9" t="s">
        <v>524</v>
      </c>
      <c r="N191" s="14">
        <v>225</v>
      </c>
      <c r="O191" s="14" t="s">
        <v>1559</v>
      </c>
    </row>
    <row r="192" spans="1:15" ht="13.5" hidden="1" x14ac:dyDescent="0.25">
      <c r="A192" s="10" t="s">
        <v>1366</v>
      </c>
      <c r="B192" s="24" t="s">
        <v>104</v>
      </c>
      <c r="C192" s="23" t="s">
        <v>442</v>
      </c>
      <c r="D192" s="7" t="s">
        <v>443</v>
      </c>
      <c r="E192" s="7" t="s">
        <v>1910</v>
      </c>
      <c r="F192" s="8" t="s">
        <v>1383</v>
      </c>
      <c r="G192" s="8" t="s">
        <v>502</v>
      </c>
      <c r="H192" s="8" t="s">
        <v>1604</v>
      </c>
      <c r="I192" s="8" t="s">
        <v>1622</v>
      </c>
      <c r="J192" s="8" t="s">
        <v>1384</v>
      </c>
      <c r="K192" s="24">
        <v>100</v>
      </c>
      <c r="L192" s="24">
        <v>5</v>
      </c>
      <c r="M192" s="9" t="s">
        <v>524</v>
      </c>
      <c r="N192" s="14">
        <v>225</v>
      </c>
      <c r="O192" s="14" t="s">
        <v>1560</v>
      </c>
    </row>
    <row r="193" spans="1:15" ht="13.5" hidden="1" x14ac:dyDescent="0.25">
      <c r="A193" s="10" t="s">
        <v>623</v>
      </c>
      <c r="B193" s="24" t="s">
        <v>104</v>
      </c>
      <c r="C193" s="23" t="s">
        <v>200</v>
      </c>
      <c r="D193" s="7" t="s">
        <v>201</v>
      </c>
      <c r="E193" s="7" t="s">
        <v>1833</v>
      </c>
      <c r="F193" s="8" t="s">
        <v>985</v>
      </c>
      <c r="G193" s="8" t="s">
        <v>502</v>
      </c>
      <c r="H193" s="8" t="s">
        <v>1604</v>
      </c>
      <c r="I193" s="8" t="s">
        <v>1622</v>
      </c>
      <c r="J193" s="8" t="s">
        <v>986</v>
      </c>
      <c r="K193" s="24">
        <v>100</v>
      </c>
      <c r="L193" s="24">
        <v>5</v>
      </c>
      <c r="M193" s="9" t="s">
        <v>524</v>
      </c>
      <c r="N193" s="14">
        <v>225</v>
      </c>
      <c r="O193" s="14" t="s">
        <v>1559</v>
      </c>
    </row>
    <row r="194" spans="1:15" ht="13.5" hidden="1" x14ac:dyDescent="0.25">
      <c r="A194" s="10" t="s">
        <v>642</v>
      </c>
      <c r="B194" s="29" t="s">
        <v>215</v>
      </c>
      <c r="C194" s="23">
        <v>390</v>
      </c>
      <c r="D194" s="7" t="s">
        <v>216</v>
      </c>
      <c r="E194" s="7" t="s">
        <v>1832</v>
      </c>
      <c r="F194" s="8" t="s">
        <v>1026</v>
      </c>
      <c r="G194" s="8" t="s">
        <v>502</v>
      </c>
      <c r="H194" s="8" t="s">
        <v>1604</v>
      </c>
      <c r="I194" s="8" t="s">
        <v>1622</v>
      </c>
      <c r="J194" s="8" t="s">
        <v>1027</v>
      </c>
      <c r="K194" s="24">
        <v>100</v>
      </c>
      <c r="L194" s="24">
        <v>5</v>
      </c>
      <c r="M194" s="9" t="s">
        <v>524</v>
      </c>
      <c r="N194" s="14">
        <v>225</v>
      </c>
      <c r="O194" s="14" t="s">
        <v>1559</v>
      </c>
    </row>
    <row r="195" spans="1:15" ht="13.5" hidden="1" x14ac:dyDescent="0.25">
      <c r="A195" s="10" t="s">
        <v>643</v>
      </c>
      <c r="B195" s="29" t="s">
        <v>215</v>
      </c>
      <c r="C195" s="23">
        <v>20</v>
      </c>
      <c r="D195" s="7" t="s">
        <v>217</v>
      </c>
      <c r="E195" s="7" t="s">
        <v>1803</v>
      </c>
      <c r="F195" s="8" t="s">
        <v>1028</v>
      </c>
      <c r="G195" s="8" t="s">
        <v>502</v>
      </c>
      <c r="H195" s="8" t="s">
        <v>1604</v>
      </c>
      <c r="I195" s="8" t="s">
        <v>1622</v>
      </c>
      <c r="J195" s="8" t="s">
        <v>1029</v>
      </c>
      <c r="K195" s="24">
        <v>100</v>
      </c>
      <c r="L195" s="24">
        <v>5</v>
      </c>
      <c r="M195" s="9" t="s">
        <v>524</v>
      </c>
      <c r="N195" s="14">
        <v>225</v>
      </c>
      <c r="O195" s="14" t="s">
        <v>1559</v>
      </c>
    </row>
    <row r="196" spans="1:15" ht="13.5" hidden="1" x14ac:dyDescent="0.25">
      <c r="A196" s="10" t="s">
        <v>810</v>
      </c>
      <c r="B196" s="29" t="s">
        <v>264</v>
      </c>
      <c r="C196" s="29">
        <v>78</v>
      </c>
      <c r="D196" s="10" t="s">
        <v>446</v>
      </c>
      <c r="E196" s="10" t="s">
        <v>1810</v>
      </c>
      <c r="F196" s="8" t="s">
        <v>1144</v>
      </c>
      <c r="G196" s="8" t="s">
        <v>502</v>
      </c>
      <c r="H196" s="8" t="s">
        <v>1604</v>
      </c>
      <c r="I196" s="8" t="s">
        <v>1622</v>
      </c>
      <c r="J196" s="8" t="s">
        <v>1145</v>
      </c>
      <c r="K196" s="24">
        <v>100</v>
      </c>
      <c r="L196" s="24">
        <v>5</v>
      </c>
      <c r="M196" s="9" t="s">
        <v>524</v>
      </c>
      <c r="N196" s="14">
        <v>225</v>
      </c>
      <c r="O196" s="14" t="s">
        <v>1559</v>
      </c>
    </row>
    <row r="197" spans="1:15" ht="13.5" hidden="1" x14ac:dyDescent="0.25">
      <c r="A197" s="10" t="s">
        <v>1379</v>
      </c>
      <c r="B197" s="29" t="s">
        <v>264</v>
      </c>
      <c r="C197" s="29">
        <v>64</v>
      </c>
      <c r="D197" s="10" t="s">
        <v>444</v>
      </c>
      <c r="E197" s="10" t="s">
        <v>1826</v>
      </c>
      <c r="F197" s="8" t="s">
        <v>1409</v>
      </c>
      <c r="G197" s="8" t="s">
        <v>502</v>
      </c>
      <c r="H197" s="8" t="s">
        <v>1604</v>
      </c>
      <c r="I197" s="8" t="s">
        <v>1622</v>
      </c>
      <c r="J197" s="8" t="s">
        <v>1410</v>
      </c>
      <c r="K197" s="24">
        <v>100</v>
      </c>
      <c r="L197" s="24">
        <v>5</v>
      </c>
      <c r="M197" s="9" t="s">
        <v>524</v>
      </c>
      <c r="N197" s="14">
        <v>225</v>
      </c>
      <c r="O197" s="14" t="s">
        <v>1559</v>
      </c>
    </row>
    <row r="198" spans="1:15" ht="13.5" hidden="1" x14ac:dyDescent="0.25">
      <c r="A198" s="10" t="s">
        <v>711</v>
      </c>
      <c r="B198" s="29" t="s">
        <v>280</v>
      </c>
      <c r="C198" s="23">
        <v>178</v>
      </c>
      <c r="D198" s="7" t="s">
        <v>329</v>
      </c>
      <c r="E198" s="7" t="s">
        <v>1830</v>
      </c>
      <c r="F198" s="8" t="s">
        <v>1230</v>
      </c>
      <c r="G198" s="8" t="s">
        <v>502</v>
      </c>
      <c r="H198" s="8" t="s">
        <v>1604</v>
      </c>
      <c r="I198" s="8" t="s">
        <v>1622</v>
      </c>
      <c r="J198" s="8" t="s">
        <v>1231</v>
      </c>
      <c r="K198" s="24">
        <v>100</v>
      </c>
      <c r="L198" s="24">
        <v>5</v>
      </c>
      <c r="M198" s="9" t="s">
        <v>524</v>
      </c>
      <c r="N198" s="14">
        <v>225</v>
      </c>
      <c r="O198" s="14" t="s">
        <v>1559</v>
      </c>
    </row>
    <row r="199" spans="1:15" ht="13.5" x14ac:dyDescent="0.25">
      <c r="A199" s="10" t="s">
        <v>1584</v>
      </c>
      <c r="B199" s="29" t="s">
        <v>280</v>
      </c>
      <c r="C199" s="23">
        <v>206</v>
      </c>
      <c r="D199" s="7" t="s">
        <v>1598</v>
      </c>
      <c r="E199" s="7" t="s">
        <v>1637</v>
      </c>
      <c r="F199" s="8" t="s">
        <v>1597</v>
      </c>
      <c r="G199" s="8" t="s">
        <v>502</v>
      </c>
      <c r="H199" s="8" t="s">
        <v>1604</v>
      </c>
      <c r="I199" s="8" t="s">
        <v>1622</v>
      </c>
      <c r="J199" s="8" t="s">
        <v>1596</v>
      </c>
      <c r="K199" s="24">
        <v>100</v>
      </c>
      <c r="L199" s="24">
        <v>5</v>
      </c>
      <c r="M199" s="9" t="s">
        <v>524</v>
      </c>
      <c r="N199" s="14">
        <v>225</v>
      </c>
      <c r="O199" s="14" t="s">
        <v>1595</v>
      </c>
    </row>
    <row r="200" spans="1:15" ht="13.5" hidden="1" x14ac:dyDescent="0.25">
      <c r="A200" s="10" t="s">
        <v>707</v>
      </c>
      <c r="B200" s="29" t="s">
        <v>280</v>
      </c>
      <c r="C200" s="23">
        <v>184</v>
      </c>
      <c r="D200" s="7" t="s">
        <v>324</v>
      </c>
      <c r="E200" s="7" t="s">
        <v>1807</v>
      </c>
      <c r="F200" s="8" t="s">
        <v>1222</v>
      </c>
      <c r="G200" s="8" t="s">
        <v>502</v>
      </c>
      <c r="H200" s="8" t="s">
        <v>1604</v>
      </c>
      <c r="I200" s="8" t="s">
        <v>1622</v>
      </c>
      <c r="J200" s="8" t="s">
        <v>1223</v>
      </c>
      <c r="K200" s="24">
        <v>100</v>
      </c>
      <c r="L200" s="24">
        <v>5</v>
      </c>
      <c r="M200" s="9" t="s">
        <v>524</v>
      </c>
      <c r="N200" s="14">
        <v>225</v>
      </c>
      <c r="O200" s="14" t="s">
        <v>1559</v>
      </c>
    </row>
    <row r="201" spans="1:15" ht="13.5" hidden="1" x14ac:dyDescent="0.25">
      <c r="A201" s="10" t="s">
        <v>712</v>
      </c>
      <c r="B201" s="29" t="s">
        <v>280</v>
      </c>
      <c r="C201" s="23">
        <v>192</v>
      </c>
      <c r="D201" s="7" t="s">
        <v>331</v>
      </c>
      <c r="E201" s="7" t="s">
        <v>1798</v>
      </c>
      <c r="F201" s="8" t="s">
        <v>1232</v>
      </c>
      <c r="G201" s="8" t="s">
        <v>502</v>
      </c>
      <c r="H201" s="8" t="s">
        <v>1604</v>
      </c>
      <c r="I201" s="8" t="s">
        <v>1622</v>
      </c>
      <c r="J201" s="8" t="s">
        <v>1233</v>
      </c>
      <c r="K201" s="24">
        <v>100</v>
      </c>
      <c r="L201" s="24">
        <v>5</v>
      </c>
      <c r="M201" s="9" t="s">
        <v>524</v>
      </c>
      <c r="N201" s="14">
        <v>225</v>
      </c>
      <c r="O201" s="14" t="s">
        <v>1559</v>
      </c>
    </row>
    <row r="202" spans="1:15" ht="13.5" x14ac:dyDescent="0.25">
      <c r="A202" s="10" t="s">
        <v>1586</v>
      </c>
      <c r="B202" s="29" t="s">
        <v>280</v>
      </c>
      <c r="C202" s="23">
        <v>217</v>
      </c>
      <c r="D202" s="7" t="s">
        <v>1581</v>
      </c>
      <c r="E202" s="7" t="s">
        <v>1638</v>
      </c>
      <c r="F202" s="8" t="s">
        <v>1592</v>
      </c>
      <c r="G202" s="8" t="s">
        <v>502</v>
      </c>
      <c r="H202" s="8" t="s">
        <v>1604</v>
      </c>
      <c r="I202" s="8" t="s">
        <v>1622</v>
      </c>
      <c r="J202" s="8" t="s">
        <v>1591</v>
      </c>
      <c r="K202" s="24">
        <v>100</v>
      </c>
      <c r="L202" s="24">
        <v>5</v>
      </c>
      <c r="M202" s="9" t="s">
        <v>524</v>
      </c>
      <c r="N202" s="14">
        <v>225</v>
      </c>
      <c r="O202" s="14" t="s">
        <v>1595</v>
      </c>
    </row>
    <row r="203" spans="1:15" ht="13.5" hidden="1" x14ac:dyDescent="0.25">
      <c r="A203" s="10" t="s">
        <v>755</v>
      </c>
      <c r="B203" s="29" t="s">
        <v>365</v>
      </c>
      <c r="C203" s="23">
        <v>3</v>
      </c>
      <c r="D203" s="7" t="s">
        <v>379</v>
      </c>
      <c r="E203" s="7" t="s">
        <v>1823</v>
      </c>
      <c r="F203" s="8" t="s">
        <v>1134</v>
      </c>
      <c r="G203" s="8" t="s">
        <v>502</v>
      </c>
      <c r="H203" s="8" t="s">
        <v>1604</v>
      </c>
      <c r="I203" s="8" t="s">
        <v>1622</v>
      </c>
      <c r="J203" s="8" t="s">
        <v>1135</v>
      </c>
      <c r="K203" s="24">
        <v>100</v>
      </c>
      <c r="L203" s="24">
        <v>5</v>
      </c>
      <c r="M203" s="9" t="s">
        <v>524</v>
      </c>
      <c r="N203" s="14">
        <v>225</v>
      </c>
      <c r="O203" s="14" t="s">
        <v>1559</v>
      </c>
    </row>
    <row r="204" spans="1:15" ht="13.5" hidden="1" x14ac:dyDescent="0.25">
      <c r="A204" s="10" t="s">
        <v>745</v>
      </c>
      <c r="B204" s="29" t="s">
        <v>365</v>
      </c>
      <c r="C204" s="23">
        <v>7</v>
      </c>
      <c r="D204" s="7" t="s">
        <v>448</v>
      </c>
      <c r="E204" s="7" t="s">
        <v>1806</v>
      </c>
      <c r="F204" s="8" t="s">
        <v>1292</v>
      </c>
      <c r="G204" s="8" t="s">
        <v>502</v>
      </c>
      <c r="H204" s="8" t="s">
        <v>1604</v>
      </c>
      <c r="I204" s="8" t="s">
        <v>1622</v>
      </c>
      <c r="J204" s="8" t="s">
        <v>1293</v>
      </c>
      <c r="K204" s="24">
        <v>100</v>
      </c>
      <c r="L204" s="24">
        <v>5</v>
      </c>
      <c r="M204" s="9" t="s">
        <v>524</v>
      </c>
      <c r="N204" s="14">
        <v>225</v>
      </c>
      <c r="O204" s="14" t="s">
        <v>1559</v>
      </c>
    </row>
    <row r="205" spans="1:15" ht="13.5" hidden="1" x14ac:dyDescent="0.25">
      <c r="A205" s="10" t="s">
        <v>754</v>
      </c>
      <c r="B205" s="29" t="s">
        <v>365</v>
      </c>
      <c r="C205" s="23">
        <v>2</v>
      </c>
      <c r="D205" s="7" t="s">
        <v>377</v>
      </c>
      <c r="E205" s="7" t="s">
        <v>1808</v>
      </c>
      <c r="F205" s="8" t="s">
        <v>1124</v>
      </c>
      <c r="G205" s="8" t="s">
        <v>502</v>
      </c>
      <c r="H205" s="8" t="s">
        <v>1604</v>
      </c>
      <c r="I205" s="8" t="s">
        <v>1622</v>
      </c>
      <c r="J205" s="8" t="s">
        <v>1125</v>
      </c>
      <c r="K205" s="24">
        <v>100</v>
      </c>
      <c r="L205" s="24">
        <v>5</v>
      </c>
      <c r="M205" s="9" t="s">
        <v>524</v>
      </c>
      <c r="N205" s="14">
        <v>225</v>
      </c>
      <c r="O205" s="14" t="s">
        <v>1559</v>
      </c>
    </row>
    <row r="206" spans="1:15" ht="13.5" hidden="1" x14ac:dyDescent="0.25">
      <c r="A206" s="10" t="s">
        <v>752</v>
      </c>
      <c r="B206" s="29" t="s">
        <v>365</v>
      </c>
      <c r="C206" s="23">
        <v>6</v>
      </c>
      <c r="D206" s="7" t="s">
        <v>374</v>
      </c>
      <c r="E206" s="7" t="s">
        <v>1794</v>
      </c>
      <c r="F206" s="8" t="s">
        <v>1302</v>
      </c>
      <c r="G206" s="8" t="s">
        <v>502</v>
      </c>
      <c r="H206" s="8" t="s">
        <v>1604</v>
      </c>
      <c r="I206" s="8" t="s">
        <v>1622</v>
      </c>
      <c r="J206" s="8" t="s">
        <v>1303</v>
      </c>
      <c r="K206" s="24">
        <v>100</v>
      </c>
      <c r="L206" s="24">
        <v>5</v>
      </c>
      <c r="M206" s="9" t="s">
        <v>524</v>
      </c>
      <c r="N206" s="14">
        <v>225</v>
      </c>
      <c r="O206" s="14" t="s">
        <v>1559</v>
      </c>
    </row>
    <row r="207" spans="1:15" ht="13.5" hidden="1" x14ac:dyDescent="0.25">
      <c r="A207" s="10" t="s">
        <v>753</v>
      </c>
      <c r="B207" s="29" t="s">
        <v>365</v>
      </c>
      <c r="C207" s="23"/>
      <c r="D207" s="7" t="s">
        <v>376</v>
      </c>
      <c r="E207" s="7" t="s">
        <v>1795</v>
      </c>
      <c r="F207" s="8" t="s">
        <v>1304</v>
      </c>
      <c r="G207" s="8" t="s">
        <v>502</v>
      </c>
      <c r="H207" s="8" t="s">
        <v>1604</v>
      </c>
      <c r="I207" s="8" t="s">
        <v>1622</v>
      </c>
      <c r="J207" s="8" t="s">
        <v>1305</v>
      </c>
      <c r="K207" s="24">
        <v>100</v>
      </c>
      <c r="L207" s="24">
        <v>5</v>
      </c>
      <c r="M207" s="9" t="s">
        <v>524</v>
      </c>
      <c r="N207" s="14">
        <v>225</v>
      </c>
      <c r="O207" s="14" t="s">
        <v>1559</v>
      </c>
    </row>
    <row r="208" spans="1:15" ht="13.5" hidden="1" x14ac:dyDescent="0.25">
      <c r="A208" s="10" t="s">
        <v>766</v>
      </c>
      <c r="B208" s="29" t="s">
        <v>380</v>
      </c>
      <c r="C208" s="23">
        <v>1156</v>
      </c>
      <c r="D208" s="7" t="s">
        <v>450</v>
      </c>
      <c r="E208" s="7" t="s">
        <v>1812</v>
      </c>
      <c r="F208" s="8" t="s">
        <v>1328</v>
      </c>
      <c r="G208" s="8" t="s">
        <v>502</v>
      </c>
      <c r="H208" s="8" t="s">
        <v>1604</v>
      </c>
      <c r="I208" s="8" t="s">
        <v>1622</v>
      </c>
      <c r="J208" s="8" t="s">
        <v>1329</v>
      </c>
      <c r="K208" s="24">
        <v>100</v>
      </c>
      <c r="L208" s="24">
        <v>5</v>
      </c>
      <c r="M208" s="9" t="s">
        <v>524</v>
      </c>
      <c r="N208" s="14">
        <v>225</v>
      </c>
      <c r="O208" s="14" t="s">
        <v>1559</v>
      </c>
    </row>
    <row r="209" spans="1:15" ht="13.5" hidden="1" x14ac:dyDescent="0.25">
      <c r="A209" s="10" t="s">
        <v>776</v>
      </c>
      <c r="B209" s="29" t="s">
        <v>395</v>
      </c>
      <c r="C209" s="23">
        <v>226</v>
      </c>
      <c r="D209" s="7" t="s">
        <v>450</v>
      </c>
      <c r="E209" s="7" t="s">
        <v>1813</v>
      </c>
      <c r="F209" s="8" t="s">
        <v>1348</v>
      </c>
      <c r="G209" s="8" t="s">
        <v>502</v>
      </c>
      <c r="H209" s="8" t="s">
        <v>1604</v>
      </c>
      <c r="I209" s="8" t="s">
        <v>1622</v>
      </c>
      <c r="J209" s="8" t="s">
        <v>1329</v>
      </c>
      <c r="K209" s="24">
        <v>100</v>
      </c>
      <c r="L209" s="24">
        <v>5</v>
      </c>
      <c r="M209" s="9" t="s">
        <v>524</v>
      </c>
      <c r="N209" s="14">
        <v>225</v>
      </c>
      <c r="O209" s="14" t="s">
        <v>1559</v>
      </c>
    </row>
    <row r="210" spans="1:15" ht="13.5" hidden="1" x14ac:dyDescent="0.25">
      <c r="A210" s="10" t="s">
        <v>787</v>
      </c>
      <c r="B210" s="24" t="s">
        <v>104</v>
      </c>
      <c r="C210" s="23" t="s">
        <v>184</v>
      </c>
      <c r="D210" s="7" t="s">
        <v>185</v>
      </c>
      <c r="E210" s="7" t="s">
        <v>1937</v>
      </c>
      <c r="F210" s="8" t="s">
        <v>965</v>
      </c>
      <c r="G210" s="8" t="s">
        <v>502</v>
      </c>
      <c r="H210" s="8" t="s">
        <v>1604</v>
      </c>
      <c r="I210" s="8" t="s">
        <v>1622</v>
      </c>
      <c r="J210" s="8" t="s">
        <v>966</v>
      </c>
      <c r="K210" s="24">
        <v>100</v>
      </c>
      <c r="L210" s="24">
        <v>5</v>
      </c>
      <c r="M210" s="9" t="s">
        <v>525</v>
      </c>
      <c r="N210" s="14">
        <v>400</v>
      </c>
      <c r="O210" s="14" t="s">
        <v>1559</v>
      </c>
    </row>
    <row r="211" spans="1:15" ht="13.5" hidden="1" x14ac:dyDescent="0.25">
      <c r="A211" s="10" t="s">
        <v>622</v>
      </c>
      <c r="B211" s="24" t="s">
        <v>104</v>
      </c>
      <c r="C211" s="23" t="s">
        <v>194</v>
      </c>
      <c r="D211" s="7" t="s">
        <v>195</v>
      </c>
      <c r="E211" s="7" t="s">
        <v>1821</v>
      </c>
      <c r="F211" s="8" t="s">
        <v>979</v>
      </c>
      <c r="G211" s="8" t="s">
        <v>502</v>
      </c>
      <c r="H211" s="8" t="s">
        <v>1604</v>
      </c>
      <c r="I211" s="8" t="s">
        <v>1622</v>
      </c>
      <c r="J211" s="8" t="s">
        <v>980</v>
      </c>
      <c r="K211" s="24">
        <v>100</v>
      </c>
      <c r="L211" s="24">
        <v>5</v>
      </c>
      <c r="M211" s="9" t="s">
        <v>525</v>
      </c>
      <c r="N211" s="14">
        <v>400</v>
      </c>
      <c r="O211" s="14" t="s">
        <v>1559</v>
      </c>
    </row>
    <row r="212" spans="1:15" ht="13.5" hidden="1" x14ac:dyDescent="0.25">
      <c r="A212" s="10" t="s">
        <v>621</v>
      </c>
      <c r="B212" s="24" t="s">
        <v>104</v>
      </c>
      <c r="C212" s="23" t="s">
        <v>192</v>
      </c>
      <c r="D212" s="7" t="s">
        <v>193</v>
      </c>
      <c r="E212" s="7" t="s">
        <v>1801</v>
      </c>
      <c r="F212" s="8" t="s">
        <v>977</v>
      </c>
      <c r="G212" s="8" t="s">
        <v>502</v>
      </c>
      <c r="H212" s="8" t="s">
        <v>1604</v>
      </c>
      <c r="I212" s="8" t="s">
        <v>1622</v>
      </c>
      <c r="J212" s="8" t="s">
        <v>978</v>
      </c>
      <c r="K212" s="24">
        <v>100</v>
      </c>
      <c r="L212" s="24">
        <v>5</v>
      </c>
      <c r="M212" s="9" t="s">
        <v>525</v>
      </c>
      <c r="N212" s="14">
        <v>400</v>
      </c>
      <c r="O212" s="14" t="s">
        <v>1559</v>
      </c>
    </row>
    <row r="213" spans="1:15" ht="13.5" hidden="1" x14ac:dyDescent="0.25">
      <c r="A213" s="10" t="s">
        <v>646</v>
      </c>
      <c r="B213" s="29" t="s">
        <v>215</v>
      </c>
      <c r="C213" s="23">
        <v>18</v>
      </c>
      <c r="D213" s="7" t="s">
        <v>222</v>
      </c>
      <c r="E213" s="7" t="s">
        <v>1822</v>
      </c>
      <c r="F213" s="8" t="s">
        <v>1036</v>
      </c>
      <c r="G213" s="8" t="s">
        <v>502</v>
      </c>
      <c r="H213" s="8" t="s">
        <v>1604</v>
      </c>
      <c r="I213" s="8" t="s">
        <v>1622</v>
      </c>
      <c r="J213" s="8" t="s">
        <v>1037</v>
      </c>
      <c r="K213" s="24">
        <v>100</v>
      </c>
      <c r="L213" s="24">
        <v>5</v>
      </c>
      <c r="M213" s="9" t="s">
        <v>525</v>
      </c>
      <c r="N213" s="14">
        <v>400</v>
      </c>
      <c r="O213" s="14" t="s">
        <v>1559</v>
      </c>
    </row>
    <row r="214" spans="1:15" ht="13.5" hidden="1" x14ac:dyDescent="0.25">
      <c r="A214" s="10" t="s">
        <v>645</v>
      </c>
      <c r="B214" s="29" t="s">
        <v>215</v>
      </c>
      <c r="C214" s="23">
        <v>24</v>
      </c>
      <c r="D214" s="7" t="s">
        <v>219</v>
      </c>
      <c r="E214" s="7" t="s">
        <v>1811</v>
      </c>
      <c r="F214" s="8" t="s">
        <v>1034</v>
      </c>
      <c r="G214" s="8" t="s">
        <v>502</v>
      </c>
      <c r="H214" s="8" t="s">
        <v>1604</v>
      </c>
      <c r="I214" s="8" t="s">
        <v>1622</v>
      </c>
      <c r="J214" s="8" t="s">
        <v>1035</v>
      </c>
      <c r="K214" s="24">
        <v>100</v>
      </c>
      <c r="L214" s="24">
        <v>5</v>
      </c>
      <c r="M214" s="9" t="s">
        <v>525</v>
      </c>
      <c r="N214" s="14">
        <v>400</v>
      </c>
      <c r="O214" s="14" t="s">
        <v>1559</v>
      </c>
    </row>
    <row r="215" spans="1:15" ht="13.5" hidden="1" x14ac:dyDescent="0.25">
      <c r="A215" s="10" t="s">
        <v>644</v>
      </c>
      <c r="B215" s="29" t="s">
        <v>215</v>
      </c>
      <c r="C215" s="23">
        <v>23</v>
      </c>
      <c r="D215" s="7" t="s">
        <v>220</v>
      </c>
      <c r="E215" s="7" t="s">
        <v>1800</v>
      </c>
      <c r="F215" s="8" t="s">
        <v>1032</v>
      </c>
      <c r="G215" s="8" t="s">
        <v>502</v>
      </c>
      <c r="H215" s="8" t="s">
        <v>1604</v>
      </c>
      <c r="I215" s="8" t="s">
        <v>1622</v>
      </c>
      <c r="J215" s="8" t="s">
        <v>1033</v>
      </c>
      <c r="K215" s="24">
        <v>100</v>
      </c>
      <c r="L215" s="24">
        <v>5</v>
      </c>
      <c r="M215" s="9" t="s">
        <v>525</v>
      </c>
      <c r="N215" s="14">
        <v>400</v>
      </c>
      <c r="O215" s="14" t="s">
        <v>1559</v>
      </c>
    </row>
    <row r="216" spans="1:15" ht="13.5" hidden="1" x14ac:dyDescent="0.25">
      <c r="A216" s="10" t="s">
        <v>647</v>
      </c>
      <c r="B216" s="29" t="s">
        <v>215</v>
      </c>
      <c r="C216" s="23">
        <v>16</v>
      </c>
      <c r="D216" s="7" t="s">
        <v>224</v>
      </c>
      <c r="E216" s="7" t="s">
        <v>1827</v>
      </c>
      <c r="F216" s="8" t="s">
        <v>1038</v>
      </c>
      <c r="G216" s="8" t="s">
        <v>502</v>
      </c>
      <c r="H216" s="8" t="s">
        <v>1604</v>
      </c>
      <c r="I216" s="8" t="s">
        <v>1622</v>
      </c>
      <c r="J216" s="8" t="s">
        <v>1039</v>
      </c>
      <c r="K216" s="24">
        <v>100</v>
      </c>
      <c r="L216" s="24">
        <v>5</v>
      </c>
      <c r="M216" s="9" t="s">
        <v>525</v>
      </c>
      <c r="N216" s="14">
        <v>400</v>
      </c>
      <c r="O216" s="14" t="s">
        <v>1559</v>
      </c>
    </row>
    <row r="217" spans="1:15" ht="13.5" hidden="1" x14ac:dyDescent="0.25">
      <c r="A217" s="10" t="s">
        <v>811</v>
      </c>
      <c r="B217" s="29" t="s">
        <v>264</v>
      </c>
      <c r="C217" s="29">
        <v>135</v>
      </c>
      <c r="D217" s="10" t="s">
        <v>447</v>
      </c>
      <c r="E217" s="10" t="s">
        <v>1825</v>
      </c>
      <c r="F217" s="8" t="s">
        <v>1146</v>
      </c>
      <c r="G217" s="8" t="s">
        <v>502</v>
      </c>
      <c r="H217" s="8" t="s">
        <v>1604</v>
      </c>
      <c r="I217" s="8" t="s">
        <v>1622</v>
      </c>
      <c r="J217" s="8" t="s">
        <v>1147</v>
      </c>
      <c r="K217" s="24">
        <v>100</v>
      </c>
      <c r="L217" s="24">
        <v>5</v>
      </c>
      <c r="M217" s="9" t="s">
        <v>525</v>
      </c>
      <c r="N217" s="14">
        <v>400</v>
      </c>
      <c r="O217" s="14" t="s">
        <v>1559</v>
      </c>
    </row>
    <row r="218" spans="1:15" ht="13.5" hidden="1" x14ac:dyDescent="0.25">
      <c r="A218" s="10" t="s">
        <v>813</v>
      </c>
      <c r="B218" s="29" t="s">
        <v>264</v>
      </c>
      <c r="C218" s="29">
        <v>70</v>
      </c>
      <c r="D218" s="10" t="s">
        <v>445</v>
      </c>
      <c r="E218" s="10" t="s">
        <v>1802</v>
      </c>
      <c r="F218" s="8" t="s">
        <v>1150</v>
      </c>
      <c r="G218" s="8" t="s">
        <v>502</v>
      </c>
      <c r="H218" s="8" t="s">
        <v>1604</v>
      </c>
      <c r="I218" s="8" t="s">
        <v>1622</v>
      </c>
      <c r="J218" s="8" t="s">
        <v>1151</v>
      </c>
      <c r="K218" s="24">
        <v>100</v>
      </c>
      <c r="L218" s="24">
        <v>5</v>
      </c>
      <c r="M218" s="9" t="s">
        <v>525</v>
      </c>
      <c r="N218" s="14">
        <v>400</v>
      </c>
      <c r="O218" s="14" t="s">
        <v>1559</v>
      </c>
    </row>
    <row r="219" spans="1:15" ht="13.5" x14ac:dyDescent="0.25">
      <c r="A219" s="10" t="s">
        <v>2111</v>
      </c>
      <c r="B219" s="29" t="s">
        <v>280</v>
      </c>
      <c r="C219" s="23">
        <v>181</v>
      </c>
      <c r="D219" s="7" t="s">
        <v>2100</v>
      </c>
      <c r="E219" s="7" t="s">
        <v>2106</v>
      </c>
      <c r="F219" s="8" t="s">
        <v>2113</v>
      </c>
      <c r="G219" s="8" t="s">
        <v>502</v>
      </c>
      <c r="H219" s="8" t="s">
        <v>1604</v>
      </c>
      <c r="I219" s="8" t="s">
        <v>1622</v>
      </c>
      <c r="J219" s="8" t="s">
        <v>2114</v>
      </c>
      <c r="K219" s="24">
        <v>100</v>
      </c>
      <c r="L219" s="24">
        <v>5</v>
      </c>
      <c r="M219" s="9" t="s">
        <v>525</v>
      </c>
      <c r="N219" s="14">
        <v>400</v>
      </c>
      <c r="O219" s="14" t="s">
        <v>1595</v>
      </c>
    </row>
    <row r="220" spans="1:15" ht="13.5" x14ac:dyDescent="0.25">
      <c r="A220" s="10" t="s">
        <v>2112</v>
      </c>
      <c r="B220" s="29" t="s">
        <v>280</v>
      </c>
      <c r="C220" s="23">
        <v>164</v>
      </c>
      <c r="D220" s="7" t="s">
        <v>2101</v>
      </c>
      <c r="E220" s="7" t="s">
        <v>2107</v>
      </c>
      <c r="F220" s="8" t="s">
        <v>2115</v>
      </c>
      <c r="G220" s="8" t="s">
        <v>502</v>
      </c>
      <c r="H220" s="8" t="s">
        <v>1604</v>
      </c>
      <c r="I220" s="8" t="s">
        <v>1622</v>
      </c>
      <c r="J220" s="8" t="s">
        <v>2116</v>
      </c>
      <c r="K220" s="24">
        <v>100</v>
      </c>
      <c r="L220" s="24">
        <v>5</v>
      </c>
      <c r="M220" s="9" t="s">
        <v>525</v>
      </c>
      <c r="N220" s="14">
        <v>400</v>
      </c>
      <c r="O220" s="14" t="s">
        <v>1595</v>
      </c>
    </row>
    <row r="221" spans="1:15" ht="13.5" hidden="1" x14ac:dyDescent="0.25">
      <c r="A221" s="10" t="s">
        <v>746</v>
      </c>
      <c r="B221" s="29" t="s">
        <v>365</v>
      </c>
      <c r="C221" s="23">
        <v>1</v>
      </c>
      <c r="D221" s="7" t="s">
        <v>366</v>
      </c>
      <c r="E221" s="7" t="s">
        <v>1809</v>
      </c>
      <c r="F221" s="8" t="s">
        <v>1112</v>
      </c>
      <c r="G221" s="8" t="s">
        <v>502</v>
      </c>
      <c r="H221" s="8" t="s">
        <v>1604</v>
      </c>
      <c r="I221" s="8" t="s">
        <v>1622</v>
      </c>
      <c r="J221" s="8" t="s">
        <v>1113</v>
      </c>
      <c r="K221" s="24">
        <v>100</v>
      </c>
      <c r="L221" s="24">
        <v>5</v>
      </c>
      <c r="M221" s="9" t="s">
        <v>525</v>
      </c>
      <c r="N221" s="14">
        <v>400</v>
      </c>
      <c r="O221" s="14" t="s">
        <v>1559</v>
      </c>
    </row>
    <row r="222" spans="1:15" ht="13.5" hidden="1" x14ac:dyDescent="0.25">
      <c r="A222" s="10" t="s">
        <v>750</v>
      </c>
      <c r="B222" s="29" t="s">
        <v>365</v>
      </c>
      <c r="C222" s="23">
        <v>5</v>
      </c>
      <c r="D222" s="7" t="s">
        <v>371</v>
      </c>
      <c r="E222" s="7" t="s">
        <v>1831</v>
      </c>
      <c r="F222" s="8" t="s">
        <v>1140</v>
      </c>
      <c r="G222" s="8" t="s">
        <v>502</v>
      </c>
      <c r="H222" s="8" t="s">
        <v>1604</v>
      </c>
      <c r="I222" s="8" t="s">
        <v>1622</v>
      </c>
      <c r="J222" s="8" t="s">
        <v>1141</v>
      </c>
      <c r="K222" s="24">
        <v>100</v>
      </c>
      <c r="L222" s="24">
        <v>5</v>
      </c>
      <c r="M222" s="9" t="s">
        <v>525</v>
      </c>
      <c r="N222" s="14">
        <v>400</v>
      </c>
      <c r="O222" s="14" t="s">
        <v>1559</v>
      </c>
    </row>
    <row r="223" spans="1:15" ht="13.5" hidden="1" x14ac:dyDescent="0.25">
      <c r="A223" s="10" t="s">
        <v>748</v>
      </c>
      <c r="B223" s="29" t="s">
        <v>365</v>
      </c>
      <c r="C223" s="23">
        <v>8</v>
      </c>
      <c r="D223" s="7" t="s">
        <v>368</v>
      </c>
      <c r="E223" s="7" t="s">
        <v>1796</v>
      </c>
      <c r="F223" s="8" t="s">
        <v>1296</v>
      </c>
      <c r="G223" s="8" t="s">
        <v>502</v>
      </c>
      <c r="H223" s="8" t="s">
        <v>1604</v>
      </c>
      <c r="I223" s="8" t="s">
        <v>1622</v>
      </c>
      <c r="J223" s="8" t="s">
        <v>1297</v>
      </c>
      <c r="K223" s="24">
        <v>100</v>
      </c>
      <c r="L223" s="24">
        <v>5</v>
      </c>
      <c r="M223" s="9" t="s">
        <v>525</v>
      </c>
      <c r="N223" s="14">
        <v>400</v>
      </c>
      <c r="O223" s="14" t="s">
        <v>1559</v>
      </c>
    </row>
    <row r="224" spans="1:15" ht="13.5" hidden="1" x14ac:dyDescent="0.25">
      <c r="A224" s="10" t="s">
        <v>756</v>
      </c>
      <c r="B224" s="29" t="s">
        <v>365</v>
      </c>
      <c r="C224" s="23">
        <v>11</v>
      </c>
      <c r="D224" s="7" t="s">
        <v>449</v>
      </c>
      <c r="E224" s="7" t="s">
        <v>1820</v>
      </c>
      <c r="F224" s="8" t="s">
        <v>1306</v>
      </c>
      <c r="G224" s="8" t="s">
        <v>502</v>
      </c>
      <c r="H224" s="8" t="s">
        <v>1604</v>
      </c>
      <c r="I224" s="8" t="s">
        <v>1622</v>
      </c>
      <c r="J224" s="8" t="s">
        <v>1307</v>
      </c>
      <c r="K224" s="24">
        <v>100</v>
      </c>
      <c r="L224" s="24">
        <v>5</v>
      </c>
      <c r="M224" s="9" t="s">
        <v>525</v>
      </c>
      <c r="N224" s="14">
        <v>400</v>
      </c>
      <c r="O224" s="14" t="s">
        <v>1559</v>
      </c>
    </row>
    <row r="225" spans="1:15" ht="13.5" hidden="1" x14ac:dyDescent="0.25">
      <c r="A225" s="10" t="s">
        <v>747</v>
      </c>
      <c r="B225" s="29" t="s">
        <v>365</v>
      </c>
      <c r="C225" s="23">
        <v>4</v>
      </c>
      <c r="D225" s="7" t="s">
        <v>367</v>
      </c>
      <c r="E225" s="7" t="s">
        <v>1815</v>
      </c>
      <c r="F225" s="8" t="s">
        <v>1294</v>
      </c>
      <c r="G225" s="8" t="s">
        <v>502</v>
      </c>
      <c r="H225" s="8" t="s">
        <v>1604</v>
      </c>
      <c r="I225" s="8" t="s">
        <v>1622</v>
      </c>
      <c r="J225" s="8" t="s">
        <v>1295</v>
      </c>
      <c r="K225" s="24">
        <v>100</v>
      </c>
      <c r="L225" s="24">
        <v>5</v>
      </c>
      <c r="M225" s="9" t="s">
        <v>525</v>
      </c>
      <c r="N225" s="14">
        <v>400</v>
      </c>
      <c r="O225" s="14" t="s">
        <v>1559</v>
      </c>
    </row>
    <row r="226" spans="1:15" ht="13.5" hidden="1" x14ac:dyDescent="0.25">
      <c r="A226" s="10" t="s">
        <v>751</v>
      </c>
      <c r="B226" s="29" t="s">
        <v>365</v>
      </c>
      <c r="C226" s="23">
        <v>9</v>
      </c>
      <c r="D226" s="7" t="s">
        <v>372</v>
      </c>
      <c r="E226" s="7" t="s">
        <v>1816</v>
      </c>
      <c r="F226" s="8" t="s">
        <v>1300</v>
      </c>
      <c r="G226" s="8" t="s">
        <v>502</v>
      </c>
      <c r="H226" s="8" t="s">
        <v>1604</v>
      </c>
      <c r="I226" s="8" t="s">
        <v>1622</v>
      </c>
      <c r="J226" s="8" t="s">
        <v>1301</v>
      </c>
      <c r="K226" s="24">
        <v>100</v>
      </c>
      <c r="L226" s="24">
        <v>5</v>
      </c>
      <c r="M226" s="9" t="s">
        <v>525</v>
      </c>
      <c r="N226" s="14">
        <v>400</v>
      </c>
      <c r="O226" s="14" t="s">
        <v>1559</v>
      </c>
    </row>
    <row r="227" spans="1:15" ht="13.5" hidden="1" x14ac:dyDescent="0.25">
      <c r="A227" s="10" t="s">
        <v>749</v>
      </c>
      <c r="B227" s="29" t="s">
        <v>365</v>
      </c>
      <c r="C227" s="23">
        <v>10</v>
      </c>
      <c r="D227" s="7" t="s">
        <v>370</v>
      </c>
      <c r="E227" s="7" t="s">
        <v>1805</v>
      </c>
      <c r="F227" s="8" t="s">
        <v>1298</v>
      </c>
      <c r="G227" s="8" t="s">
        <v>502</v>
      </c>
      <c r="H227" s="8" t="s">
        <v>1604</v>
      </c>
      <c r="I227" s="8" t="s">
        <v>1622</v>
      </c>
      <c r="J227" s="8" t="s">
        <v>1299</v>
      </c>
      <c r="K227" s="24">
        <v>100</v>
      </c>
      <c r="L227" s="24">
        <v>5</v>
      </c>
      <c r="M227" s="9" t="s">
        <v>525</v>
      </c>
      <c r="N227" s="14">
        <v>400</v>
      </c>
      <c r="O227" s="14" t="s">
        <v>1559</v>
      </c>
    </row>
    <row r="228" spans="1:15" ht="13.5" hidden="1" x14ac:dyDescent="0.25">
      <c r="A228" s="10" t="s">
        <v>553</v>
      </c>
      <c r="B228" s="29" t="s">
        <v>44</v>
      </c>
      <c r="C228" s="23" t="s">
        <v>62</v>
      </c>
      <c r="D228" s="7" t="s">
        <v>63</v>
      </c>
      <c r="E228" s="7" t="s">
        <v>1899</v>
      </c>
      <c r="F228" s="8" t="s">
        <v>835</v>
      </c>
      <c r="G228" s="8" t="s">
        <v>48</v>
      </c>
      <c r="H228" s="8" t="s">
        <v>1616</v>
      </c>
      <c r="I228" s="8" t="s">
        <v>1626</v>
      </c>
      <c r="J228" s="8" t="s">
        <v>836</v>
      </c>
      <c r="K228" s="24">
        <v>100</v>
      </c>
      <c r="L228" s="24">
        <v>5</v>
      </c>
      <c r="M228" s="9" t="s">
        <v>519</v>
      </c>
      <c r="N228" s="14">
        <v>8</v>
      </c>
      <c r="O228" s="14" t="s">
        <v>1559</v>
      </c>
    </row>
    <row r="229" spans="1:15" ht="13.5" hidden="1" x14ac:dyDescent="0.25">
      <c r="A229" s="10" t="s">
        <v>554</v>
      </c>
      <c r="B229" s="29" t="s">
        <v>44</v>
      </c>
      <c r="C229" s="23" t="s">
        <v>64</v>
      </c>
      <c r="D229" s="7" t="s">
        <v>65</v>
      </c>
      <c r="E229" s="7" t="s">
        <v>1900</v>
      </c>
      <c r="F229" s="8" t="s">
        <v>837</v>
      </c>
      <c r="G229" s="8" t="s">
        <v>48</v>
      </c>
      <c r="H229" s="8" t="s">
        <v>1616</v>
      </c>
      <c r="I229" s="8" t="s">
        <v>1626</v>
      </c>
      <c r="J229" s="8" t="s">
        <v>838</v>
      </c>
      <c r="K229" s="24">
        <v>100</v>
      </c>
      <c r="L229" s="24">
        <v>5</v>
      </c>
      <c r="M229" s="9" t="s">
        <v>519</v>
      </c>
      <c r="N229" s="14">
        <v>8</v>
      </c>
      <c r="O229" s="14" t="s">
        <v>1559</v>
      </c>
    </row>
    <row r="230" spans="1:15" ht="13.5" hidden="1" x14ac:dyDescent="0.25">
      <c r="A230" s="10" t="s">
        <v>547</v>
      </c>
      <c r="B230" s="29" t="s">
        <v>44</v>
      </c>
      <c r="C230" s="23" t="s">
        <v>45</v>
      </c>
      <c r="D230" s="7" t="s">
        <v>46</v>
      </c>
      <c r="E230" s="7" t="s">
        <v>1896</v>
      </c>
      <c r="F230" s="8" t="s">
        <v>823</v>
      </c>
      <c r="G230" s="8" t="s">
        <v>48</v>
      </c>
      <c r="H230" s="8" t="s">
        <v>1616</v>
      </c>
      <c r="I230" s="8" t="s">
        <v>1626</v>
      </c>
      <c r="J230" s="8" t="s">
        <v>824</v>
      </c>
      <c r="K230" s="24">
        <v>100</v>
      </c>
      <c r="L230" s="24">
        <v>5</v>
      </c>
      <c r="M230" s="9" t="s">
        <v>519</v>
      </c>
      <c r="N230" s="14">
        <v>8</v>
      </c>
      <c r="O230" s="14" t="s">
        <v>1559</v>
      </c>
    </row>
    <row r="231" spans="1:15" ht="13.5" hidden="1" x14ac:dyDescent="0.25">
      <c r="A231" s="10" t="s">
        <v>552</v>
      </c>
      <c r="B231" s="29" t="s">
        <v>44</v>
      </c>
      <c r="C231" s="23" t="s">
        <v>69</v>
      </c>
      <c r="D231" s="7" t="s">
        <v>70</v>
      </c>
      <c r="E231" s="7" t="s">
        <v>1898</v>
      </c>
      <c r="F231" s="8" t="s">
        <v>833</v>
      </c>
      <c r="G231" s="8" t="s">
        <v>48</v>
      </c>
      <c r="H231" s="8" t="s">
        <v>1616</v>
      </c>
      <c r="I231" s="8" t="s">
        <v>1626</v>
      </c>
      <c r="J231" s="8" t="s">
        <v>834</v>
      </c>
      <c r="K231" s="24">
        <v>100</v>
      </c>
      <c r="L231" s="24">
        <v>5</v>
      </c>
      <c r="M231" s="9" t="s">
        <v>519</v>
      </c>
      <c r="N231" s="14">
        <v>8</v>
      </c>
      <c r="O231" s="14" t="s">
        <v>1559</v>
      </c>
    </row>
    <row r="232" spans="1:15" ht="13.5" hidden="1" x14ac:dyDescent="0.25">
      <c r="A232" s="10" t="s">
        <v>615</v>
      </c>
      <c r="B232" s="24" t="s">
        <v>104</v>
      </c>
      <c r="C232" s="23" t="s">
        <v>180</v>
      </c>
      <c r="D232" s="7" t="s">
        <v>181</v>
      </c>
      <c r="E232" s="7" t="s">
        <v>1897</v>
      </c>
      <c r="F232" s="8" t="s">
        <v>961</v>
      </c>
      <c r="G232" s="8" t="s">
        <v>48</v>
      </c>
      <c r="H232" s="8" t="s">
        <v>1616</v>
      </c>
      <c r="I232" s="8" t="s">
        <v>1626</v>
      </c>
      <c r="J232" s="8" t="s">
        <v>962</v>
      </c>
      <c r="K232" s="24">
        <v>100</v>
      </c>
      <c r="L232" s="24">
        <v>5</v>
      </c>
      <c r="M232" s="9" t="s">
        <v>519</v>
      </c>
      <c r="N232" s="14">
        <v>8</v>
      </c>
      <c r="O232" s="14" t="s">
        <v>1559</v>
      </c>
    </row>
    <row r="233" spans="1:15" ht="13.5" hidden="1" x14ac:dyDescent="0.25">
      <c r="A233" s="10" t="s">
        <v>763</v>
      </c>
      <c r="B233" s="29" t="s">
        <v>380</v>
      </c>
      <c r="C233" s="23">
        <v>1060</v>
      </c>
      <c r="D233" s="7" t="s">
        <v>389</v>
      </c>
      <c r="E233" s="7" t="s">
        <v>1902</v>
      </c>
      <c r="F233" s="8" t="s">
        <v>1319</v>
      </c>
      <c r="G233" s="8" t="s">
        <v>391</v>
      </c>
      <c r="H233" s="8" t="s">
        <v>1617</v>
      </c>
      <c r="I233" s="8" t="s">
        <v>1626</v>
      </c>
      <c r="J233" s="8" t="s">
        <v>1320</v>
      </c>
      <c r="K233" s="24">
        <v>100</v>
      </c>
      <c r="L233" s="24">
        <v>5</v>
      </c>
      <c r="M233" s="9" t="s">
        <v>519</v>
      </c>
      <c r="N233" s="14">
        <v>8</v>
      </c>
      <c r="O233" s="14" t="s">
        <v>1559</v>
      </c>
    </row>
    <row r="234" spans="1:15" ht="13.5" hidden="1" x14ac:dyDescent="0.25">
      <c r="A234" s="10" t="s">
        <v>775</v>
      </c>
      <c r="B234" s="29" t="s">
        <v>395</v>
      </c>
      <c r="C234" s="23">
        <v>51</v>
      </c>
      <c r="D234" s="7" t="s">
        <v>401</v>
      </c>
      <c r="E234" s="7" t="s">
        <v>1901</v>
      </c>
      <c r="F234" s="8" t="s">
        <v>1346</v>
      </c>
      <c r="G234" s="8" t="s">
        <v>391</v>
      </c>
      <c r="H234" s="8" t="s">
        <v>1617</v>
      </c>
      <c r="I234" s="8" t="s">
        <v>1626</v>
      </c>
      <c r="J234" s="8" t="s">
        <v>1347</v>
      </c>
      <c r="K234" s="24">
        <v>100</v>
      </c>
      <c r="L234" s="24">
        <v>5</v>
      </c>
      <c r="M234" s="9" t="s">
        <v>519</v>
      </c>
      <c r="N234" s="14">
        <v>8</v>
      </c>
      <c r="O234" s="14" t="s">
        <v>1559</v>
      </c>
    </row>
    <row r="235" spans="1:15" ht="13.5" hidden="1" x14ac:dyDescent="0.25">
      <c r="A235" s="10" t="s">
        <v>558</v>
      </c>
      <c r="B235" s="29" t="s">
        <v>44</v>
      </c>
      <c r="C235" s="23" t="s">
        <v>75</v>
      </c>
      <c r="D235" s="7" t="s">
        <v>76</v>
      </c>
      <c r="E235" s="7" t="s">
        <v>1729</v>
      </c>
      <c r="F235" s="8" t="s">
        <v>845</v>
      </c>
      <c r="G235" s="8" t="s">
        <v>536</v>
      </c>
      <c r="H235" s="8" t="s">
        <v>509</v>
      </c>
      <c r="I235" s="8" t="s">
        <v>1620</v>
      </c>
      <c r="J235" s="8" t="s">
        <v>846</v>
      </c>
      <c r="K235" s="24">
        <v>100</v>
      </c>
      <c r="L235" s="24">
        <v>5</v>
      </c>
      <c r="M235" s="9" t="s">
        <v>1557</v>
      </c>
      <c r="N235" s="14">
        <v>552</v>
      </c>
      <c r="O235" s="14" t="s">
        <v>1559</v>
      </c>
    </row>
    <row r="236" spans="1:15" ht="13.5" hidden="1" x14ac:dyDescent="0.25">
      <c r="A236" s="10" t="s">
        <v>567</v>
      </c>
      <c r="B236" s="29" t="s">
        <v>77</v>
      </c>
      <c r="C236" s="24">
        <v>200</v>
      </c>
      <c r="D236" s="7" t="s">
        <v>81</v>
      </c>
      <c r="E236" s="7" t="s">
        <v>1920</v>
      </c>
      <c r="F236" s="8" t="s">
        <v>863</v>
      </c>
      <c r="G236" s="8" t="s">
        <v>536</v>
      </c>
      <c r="H236" s="8" t="s">
        <v>509</v>
      </c>
      <c r="I236" s="8" t="s">
        <v>1620</v>
      </c>
      <c r="J236" s="8" t="s">
        <v>864</v>
      </c>
      <c r="K236" s="24">
        <v>100</v>
      </c>
      <c r="L236" s="24">
        <v>5</v>
      </c>
      <c r="M236" s="9" t="s">
        <v>1557</v>
      </c>
      <c r="N236" s="14">
        <v>552</v>
      </c>
      <c r="O236" s="14" t="s">
        <v>1559</v>
      </c>
    </row>
    <row r="237" spans="1:15" ht="13.5" hidden="1" x14ac:dyDescent="0.25">
      <c r="A237" s="10" t="s">
        <v>571</v>
      </c>
      <c r="B237" s="29" t="s">
        <v>84</v>
      </c>
      <c r="C237" s="23">
        <v>305</v>
      </c>
      <c r="D237" s="7" t="s">
        <v>86</v>
      </c>
      <c r="E237" s="7" t="s">
        <v>1727</v>
      </c>
      <c r="F237" s="8" t="s">
        <v>871</v>
      </c>
      <c r="G237" s="8" t="s">
        <v>536</v>
      </c>
      <c r="H237" s="8" t="s">
        <v>509</v>
      </c>
      <c r="I237" s="8" t="s">
        <v>1620</v>
      </c>
      <c r="J237" s="8" t="s">
        <v>872</v>
      </c>
      <c r="K237" s="24">
        <v>100</v>
      </c>
      <c r="L237" s="24">
        <v>5</v>
      </c>
      <c r="M237" s="9" t="s">
        <v>1557</v>
      </c>
      <c r="N237" s="14">
        <v>552</v>
      </c>
      <c r="O237" s="14" t="s">
        <v>1559</v>
      </c>
    </row>
    <row r="238" spans="1:15" ht="13.5" hidden="1" x14ac:dyDescent="0.25">
      <c r="A238" s="10" t="s">
        <v>573</v>
      </c>
      <c r="B238" s="29" t="s">
        <v>84</v>
      </c>
      <c r="C238" s="23">
        <v>449</v>
      </c>
      <c r="D238" s="7" t="s">
        <v>88</v>
      </c>
      <c r="E238" s="7" t="s">
        <v>1718</v>
      </c>
      <c r="F238" s="8" t="s">
        <v>875</v>
      </c>
      <c r="G238" s="8" t="s">
        <v>536</v>
      </c>
      <c r="H238" s="8" t="s">
        <v>509</v>
      </c>
      <c r="I238" s="8" t="s">
        <v>1620</v>
      </c>
      <c r="J238" s="8" t="s">
        <v>876</v>
      </c>
      <c r="K238" s="24">
        <v>100</v>
      </c>
      <c r="L238" s="24">
        <v>5</v>
      </c>
      <c r="M238" s="9" t="s">
        <v>1557</v>
      </c>
      <c r="N238" s="14">
        <v>552</v>
      </c>
      <c r="O238" s="14" t="s">
        <v>1559</v>
      </c>
    </row>
    <row r="239" spans="1:15" ht="13.5" hidden="1" x14ac:dyDescent="0.25">
      <c r="A239" s="12" t="s">
        <v>1369</v>
      </c>
      <c r="B239" s="57" t="s">
        <v>104</v>
      </c>
      <c r="C239" s="31"/>
      <c r="D239" s="13" t="s">
        <v>300</v>
      </c>
      <c r="E239" s="13" t="s">
        <v>1722</v>
      </c>
      <c r="F239" s="8" t="s">
        <v>1389</v>
      </c>
      <c r="G239" s="8" t="s">
        <v>536</v>
      </c>
      <c r="H239" s="8" t="s">
        <v>509</v>
      </c>
      <c r="I239" s="8" t="s">
        <v>1620</v>
      </c>
      <c r="J239" s="8" t="s">
        <v>1390</v>
      </c>
      <c r="K239" s="24">
        <v>100</v>
      </c>
      <c r="L239" s="24">
        <v>5</v>
      </c>
      <c r="M239" s="9" t="s">
        <v>1557</v>
      </c>
      <c r="N239" s="14">
        <v>552</v>
      </c>
      <c r="O239" s="14" t="s">
        <v>1559</v>
      </c>
    </row>
    <row r="240" spans="1:15" ht="13.5" hidden="1" x14ac:dyDescent="0.25">
      <c r="A240" s="10" t="s">
        <v>594</v>
      </c>
      <c r="B240" s="24" t="s">
        <v>104</v>
      </c>
      <c r="C240" s="23" t="s">
        <v>129</v>
      </c>
      <c r="D240" s="7" t="s">
        <v>130</v>
      </c>
      <c r="E240" s="7" t="s">
        <v>1933</v>
      </c>
      <c r="F240" s="8" t="s">
        <v>915</v>
      </c>
      <c r="G240" s="8" t="s">
        <v>536</v>
      </c>
      <c r="H240" s="8" t="s">
        <v>509</v>
      </c>
      <c r="I240" s="8" t="s">
        <v>1620</v>
      </c>
      <c r="J240" s="8" t="s">
        <v>916</v>
      </c>
      <c r="K240" s="24">
        <v>100</v>
      </c>
      <c r="L240" s="24">
        <v>5</v>
      </c>
      <c r="M240" s="9" t="s">
        <v>1557</v>
      </c>
      <c r="N240" s="14">
        <v>552</v>
      </c>
      <c r="O240" s="14" t="s">
        <v>1559</v>
      </c>
    </row>
    <row r="241" spans="1:15" ht="13.5" hidden="1" x14ac:dyDescent="0.25">
      <c r="A241" s="10" t="s">
        <v>1372</v>
      </c>
      <c r="B241" s="24" t="s">
        <v>104</v>
      </c>
      <c r="C241" s="23" t="s">
        <v>424</v>
      </c>
      <c r="D241" s="7" t="s">
        <v>425</v>
      </c>
      <c r="E241" s="7" t="s">
        <v>1906</v>
      </c>
      <c r="F241" s="8" t="s">
        <v>1395</v>
      </c>
      <c r="G241" s="8" t="s">
        <v>536</v>
      </c>
      <c r="H241" s="8" t="s">
        <v>509</v>
      </c>
      <c r="I241" s="8" t="s">
        <v>1620</v>
      </c>
      <c r="J241" s="8" t="s">
        <v>1396</v>
      </c>
      <c r="K241" s="24">
        <v>100</v>
      </c>
      <c r="L241" s="24">
        <v>5</v>
      </c>
      <c r="M241" s="9" t="s">
        <v>1557</v>
      </c>
      <c r="N241" s="14">
        <v>552</v>
      </c>
      <c r="O241" s="14" t="s">
        <v>1560</v>
      </c>
    </row>
    <row r="242" spans="1:15" ht="13.5" hidden="1" x14ac:dyDescent="0.25">
      <c r="A242" s="10" t="s">
        <v>792</v>
      </c>
      <c r="B242" s="29" t="s">
        <v>226</v>
      </c>
      <c r="C242" s="23">
        <v>435</v>
      </c>
      <c r="D242" s="7" t="s">
        <v>227</v>
      </c>
      <c r="E242" s="7" t="s">
        <v>1731</v>
      </c>
      <c r="F242" s="8" t="s">
        <v>1040</v>
      </c>
      <c r="G242" s="8" t="s">
        <v>536</v>
      </c>
      <c r="H242" s="8" t="s">
        <v>509</v>
      </c>
      <c r="I242" s="8" t="s">
        <v>1620</v>
      </c>
      <c r="J242" s="8" t="s">
        <v>1041</v>
      </c>
      <c r="K242" s="24">
        <v>100</v>
      </c>
      <c r="L242" s="24">
        <v>5</v>
      </c>
      <c r="M242" s="9" t="s">
        <v>1557</v>
      </c>
      <c r="N242" s="14">
        <v>552</v>
      </c>
      <c r="O242" s="14" t="s">
        <v>1559</v>
      </c>
    </row>
    <row r="243" spans="1:15" ht="13.5" hidden="1" x14ac:dyDescent="0.25">
      <c r="A243" s="10" t="s">
        <v>1455</v>
      </c>
      <c r="B243" s="29" t="s">
        <v>226</v>
      </c>
      <c r="C243" s="29">
        <v>137</v>
      </c>
      <c r="D243" s="10" t="s">
        <v>1413</v>
      </c>
      <c r="E243" s="10" t="s">
        <v>1716</v>
      </c>
      <c r="F243" s="8" t="s">
        <v>1480</v>
      </c>
      <c r="G243" s="8" t="s">
        <v>536</v>
      </c>
      <c r="H243" s="8" t="s">
        <v>509</v>
      </c>
      <c r="I243" s="8" t="s">
        <v>1620</v>
      </c>
      <c r="J243" s="8" t="s">
        <v>1481</v>
      </c>
      <c r="K243" s="24">
        <v>100</v>
      </c>
      <c r="L243" s="24">
        <v>5</v>
      </c>
      <c r="M243" s="9" t="s">
        <v>1557</v>
      </c>
      <c r="N243" s="14">
        <v>552</v>
      </c>
      <c r="O243" s="14" t="s">
        <v>1559</v>
      </c>
    </row>
    <row r="244" spans="1:15" ht="13.5" hidden="1" x14ac:dyDescent="0.25">
      <c r="A244" s="10" t="s">
        <v>798</v>
      </c>
      <c r="B244" s="29" t="s">
        <v>251</v>
      </c>
      <c r="C244" s="23">
        <v>444</v>
      </c>
      <c r="D244" s="7" t="s">
        <v>256</v>
      </c>
      <c r="E244" s="7" t="s">
        <v>1733</v>
      </c>
      <c r="F244" s="8" t="s">
        <v>1094</v>
      </c>
      <c r="G244" s="8" t="s">
        <v>536</v>
      </c>
      <c r="H244" s="8" t="s">
        <v>509</v>
      </c>
      <c r="I244" s="8" t="s">
        <v>1620</v>
      </c>
      <c r="J244" s="8" t="s">
        <v>1095</v>
      </c>
      <c r="K244" s="24">
        <v>100</v>
      </c>
      <c r="L244" s="24">
        <v>5</v>
      </c>
      <c r="M244" s="9" t="s">
        <v>1557</v>
      </c>
      <c r="N244" s="14">
        <v>552</v>
      </c>
      <c r="O244" s="14" t="s">
        <v>1559</v>
      </c>
    </row>
    <row r="245" spans="1:15" ht="13.5" hidden="1" x14ac:dyDescent="0.25">
      <c r="A245" s="10" t="s">
        <v>1447</v>
      </c>
      <c r="B245" s="29" t="s">
        <v>251</v>
      </c>
      <c r="C245" s="29">
        <v>14</v>
      </c>
      <c r="D245" s="10" t="s">
        <v>257</v>
      </c>
      <c r="E245" s="10" t="s">
        <v>1954</v>
      </c>
      <c r="F245" s="8" t="s">
        <v>1468</v>
      </c>
      <c r="G245" s="8" t="s">
        <v>536</v>
      </c>
      <c r="H245" s="8" t="s">
        <v>509</v>
      </c>
      <c r="I245" s="8" t="s">
        <v>1620</v>
      </c>
      <c r="J245" s="8" t="s">
        <v>1469</v>
      </c>
      <c r="K245" s="24">
        <v>100</v>
      </c>
      <c r="L245" s="24">
        <v>5</v>
      </c>
      <c r="M245" s="9" t="s">
        <v>1557</v>
      </c>
      <c r="N245" s="14">
        <v>552</v>
      </c>
      <c r="O245" s="14" t="s">
        <v>1559</v>
      </c>
    </row>
    <row r="246" spans="1:15" ht="13.5" hidden="1" x14ac:dyDescent="0.25">
      <c r="A246" s="10" t="s">
        <v>694</v>
      </c>
      <c r="B246" s="29" t="s">
        <v>280</v>
      </c>
      <c r="C246" s="23">
        <v>142</v>
      </c>
      <c r="D246" s="7" t="s">
        <v>309</v>
      </c>
      <c r="E246" s="7" t="s">
        <v>1732</v>
      </c>
      <c r="F246" s="8" t="s">
        <v>1198</v>
      </c>
      <c r="G246" s="8" t="s">
        <v>536</v>
      </c>
      <c r="H246" s="8" t="s">
        <v>509</v>
      </c>
      <c r="I246" s="8" t="s">
        <v>1620</v>
      </c>
      <c r="J246" s="8" t="s">
        <v>1199</v>
      </c>
      <c r="K246" s="24">
        <v>100</v>
      </c>
      <c r="L246" s="24">
        <v>5</v>
      </c>
      <c r="M246" s="9" t="s">
        <v>1557</v>
      </c>
      <c r="N246" s="14">
        <v>552</v>
      </c>
      <c r="O246" s="14" t="s">
        <v>1559</v>
      </c>
    </row>
    <row r="247" spans="1:15" ht="13.5" hidden="1" x14ac:dyDescent="0.25">
      <c r="A247" s="10" t="s">
        <v>738</v>
      </c>
      <c r="B247" s="29" t="s">
        <v>280</v>
      </c>
      <c r="C247" s="23">
        <v>144</v>
      </c>
      <c r="D247" s="7" t="s">
        <v>353</v>
      </c>
      <c r="E247" s="7" t="s">
        <v>1696</v>
      </c>
      <c r="F247" s="8" t="s">
        <v>1280</v>
      </c>
      <c r="G247" s="8" t="s">
        <v>536</v>
      </c>
      <c r="H247" s="8" t="s">
        <v>509</v>
      </c>
      <c r="I247" s="8" t="s">
        <v>1620</v>
      </c>
      <c r="J247" s="8" t="s">
        <v>1281</v>
      </c>
      <c r="K247" s="24">
        <v>100</v>
      </c>
      <c r="L247" s="24">
        <v>5</v>
      </c>
      <c r="M247" s="9" t="s">
        <v>1557</v>
      </c>
      <c r="N247" s="14">
        <v>552</v>
      </c>
      <c r="O247" s="14" t="s">
        <v>1559</v>
      </c>
    </row>
    <row r="248" spans="1:15" ht="13.5" hidden="1" x14ac:dyDescent="0.25">
      <c r="A248" s="10" t="s">
        <v>687</v>
      </c>
      <c r="B248" s="29" t="s">
        <v>280</v>
      </c>
      <c r="C248" s="23">
        <v>19</v>
      </c>
      <c r="D248" s="7" t="s">
        <v>300</v>
      </c>
      <c r="E248" s="7" t="s">
        <v>1726</v>
      </c>
      <c r="F248" s="8" t="s">
        <v>1186</v>
      </c>
      <c r="G248" s="8" t="s">
        <v>536</v>
      </c>
      <c r="H248" s="8" t="s">
        <v>509</v>
      </c>
      <c r="I248" s="8" t="s">
        <v>1620</v>
      </c>
      <c r="J248" s="8" t="s">
        <v>1187</v>
      </c>
      <c r="K248" s="24">
        <v>100</v>
      </c>
      <c r="L248" s="24">
        <v>5</v>
      </c>
      <c r="M248" s="9" t="s">
        <v>1557</v>
      </c>
      <c r="N248" s="14">
        <v>552</v>
      </c>
      <c r="O248" s="14" t="s">
        <v>1559</v>
      </c>
    </row>
    <row r="249" spans="1:15" ht="13.5" hidden="1" x14ac:dyDescent="0.25">
      <c r="A249" s="10" t="s">
        <v>680</v>
      </c>
      <c r="B249" s="29" t="s">
        <v>280</v>
      </c>
      <c r="C249" s="23">
        <v>130</v>
      </c>
      <c r="D249" s="7" t="s">
        <v>294</v>
      </c>
      <c r="E249" s="7" t="s">
        <v>1721</v>
      </c>
      <c r="F249" s="8" t="s">
        <v>1174</v>
      </c>
      <c r="G249" s="8" t="s">
        <v>536</v>
      </c>
      <c r="H249" s="8" t="s">
        <v>509</v>
      </c>
      <c r="I249" s="8" t="s">
        <v>1620</v>
      </c>
      <c r="J249" s="8" t="s">
        <v>1175</v>
      </c>
      <c r="K249" s="24">
        <v>100</v>
      </c>
      <c r="L249" s="24">
        <v>5</v>
      </c>
      <c r="M249" s="9" t="s">
        <v>1557</v>
      </c>
      <c r="N249" s="14">
        <v>552</v>
      </c>
      <c r="O249" s="14" t="s">
        <v>1559</v>
      </c>
    </row>
    <row r="250" spans="1:15" ht="13.5" x14ac:dyDescent="0.25">
      <c r="A250" s="10" t="s">
        <v>2110</v>
      </c>
      <c r="B250" s="29" t="s">
        <v>280</v>
      </c>
      <c r="C250" s="23"/>
      <c r="D250" s="7" t="s">
        <v>2102</v>
      </c>
      <c r="E250" s="7" t="s">
        <v>2105</v>
      </c>
      <c r="F250" s="8" t="s">
        <v>2108</v>
      </c>
      <c r="G250" s="8" t="s">
        <v>536</v>
      </c>
      <c r="H250" s="8" t="s">
        <v>509</v>
      </c>
      <c r="I250" s="8" t="s">
        <v>1620</v>
      </c>
      <c r="J250" s="8" t="s">
        <v>2109</v>
      </c>
      <c r="K250" s="24">
        <v>100</v>
      </c>
      <c r="L250" s="24">
        <v>5</v>
      </c>
      <c r="M250" s="9" t="s">
        <v>1557</v>
      </c>
      <c r="N250" s="14">
        <v>552</v>
      </c>
      <c r="O250" s="14" t="s">
        <v>1595</v>
      </c>
    </row>
    <row r="251" spans="1:15" ht="13.5" hidden="1" x14ac:dyDescent="0.25">
      <c r="A251" s="10" t="s">
        <v>739</v>
      </c>
      <c r="B251" s="29" t="s">
        <v>280</v>
      </c>
      <c r="C251" s="23">
        <v>119</v>
      </c>
      <c r="D251" s="7" t="s">
        <v>354</v>
      </c>
      <c r="E251" s="7" t="s">
        <v>1719</v>
      </c>
      <c r="F251" s="8" t="s">
        <v>1282</v>
      </c>
      <c r="G251" s="8" t="s">
        <v>536</v>
      </c>
      <c r="H251" s="8" t="s">
        <v>509</v>
      </c>
      <c r="I251" s="8" t="s">
        <v>1620</v>
      </c>
      <c r="J251" s="8" t="s">
        <v>1283</v>
      </c>
      <c r="K251" s="24">
        <v>100</v>
      </c>
      <c r="L251" s="24">
        <v>5</v>
      </c>
      <c r="M251" s="9" t="s">
        <v>1557</v>
      </c>
      <c r="N251" s="14">
        <v>552</v>
      </c>
      <c r="O251" s="14" t="s">
        <v>1559</v>
      </c>
    </row>
    <row r="252" spans="1:15" ht="13.5" hidden="1" x14ac:dyDescent="0.25">
      <c r="A252" s="10" t="s">
        <v>695</v>
      </c>
      <c r="B252" s="29" t="s">
        <v>280</v>
      </c>
      <c r="C252" s="23">
        <v>40</v>
      </c>
      <c r="D252" s="7" t="s">
        <v>310</v>
      </c>
      <c r="E252" s="7" t="s">
        <v>1738</v>
      </c>
      <c r="F252" s="8" t="s">
        <v>1200</v>
      </c>
      <c r="G252" s="8" t="s">
        <v>536</v>
      </c>
      <c r="H252" s="8" t="s">
        <v>509</v>
      </c>
      <c r="I252" s="8" t="s">
        <v>1620</v>
      </c>
      <c r="J252" s="8" t="s">
        <v>1201</v>
      </c>
      <c r="K252" s="24">
        <v>100</v>
      </c>
      <c r="L252" s="24">
        <v>5</v>
      </c>
      <c r="M252" s="9" t="s">
        <v>1557</v>
      </c>
      <c r="N252" s="14">
        <v>552</v>
      </c>
      <c r="O252" s="14" t="s">
        <v>1559</v>
      </c>
    </row>
    <row r="253" spans="1:15" ht="13.5" hidden="1" x14ac:dyDescent="0.25">
      <c r="A253" s="10" t="s">
        <v>551</v>
      </c>
      <c r="B253" s="29" t="s">
        <v>44</v>
      </c>
      <c r="C253" s="23" t="s">
        <v>60</v>
      </c>
      <c r="D253" s="7" t="s">
        <v>61</v>
      </c>
      <c r="E253" s="7" t="s">
        <v>1740</v>
      </c>
      <c r="F253" s="8" t="s">
        <v>831</v>
      </c>
      <c r="G253" s="8" t="s">
        <v>536</v>
      </c>
      <c r="H253" s="8" t="s">
        <v>509</v>
      </c>
      <c r="I253" s="8" t="s">
        <v>1620</v>
      </c>
      <c r="J253" s="8" t="s">
        <v>832</v>
      </c>
      <c r="K253" s="24">
        <v>100</v>
      </c>
      <c r="L253" s="24">
        <v>5</v>
      </c>
      <c r="M253" s="9" t="s">
        <v>515</v>
      </c>
      <c r="N253" s="14">
        <v>3</v>
      </c>
      <c r="O253" s="14" t="s">
        <v>1559</v>
      </c>
    </row>
    <row r="254" spans="1:15" ht="13.5" hidden="1" x14ac:dyDescent="0.25">
      <c r="A254" s="10" t="s">
        <v>555</v>
      </c>
      <c r="B254" s="29" t="s">
        <v>44</v>
      </c>
      <c r="C254" s="23" t="s">
        <v>67</v>
      </c>
      <c r="D254" s="7" t="s">
        <v>68</v>
      </c>
      <c r="E254" s="7" t="s">
        <v>1752</v>
      </c>
      <c r="F254" s="8" t="s">
        <v>839</v>
      </c>
      <c r="G254" s="8" t="s">
        <v>536</v>
      </c>
      <c r="H254" s="8" t="s">
        <v>509</v>
      </c>
      <c r="I254" s="8" t="s">
        <v>1620</v>
      </c>
      <c r="J254" s="8" t="s">
        <v>840</v>
      </c>
      <c r="K254" s="24">
        <v>100</v>
      </c>
      <c r="L254" s="24">
        <v>5</v>
      </c>
      <c r="M254" s="9" t="s">
        <v>515</v>
      </c>
      <c r="N254" s="14">
        <v>3</v>
      </c>
      <c r="O254" s="14" t="s">
        <v>1559</v>
      </c>
    </row>
    <row r="255" spans="1:15" ht="13.5" hidden="1" x14ac:dyDescent="0.25">
      <c r="A255" s="10" t="s">
        <v>550</v>
      </c>
      <c r="B255" s="29" t="s">
        <v>44</v>
      </c>
      <c r="C255" s="23" t="s">
        <v>58</v>
      </c>
      <c r="D255" s="7" t="s">
        <v>59</v>
      </c>
      <c r="E255" s="7" t="s">
        <v>1744</v>
      </c>
      <c r="F255" s="8" t="s">
        <v>829</v>
      </c>
      <c r="G255" s="8" t="s">
        <v>536</v>
      </c>
      <c r="H255" s="8" t="s">
        <v>509</v>
      </c>
      <c r="I255" s="8" t="s">
        <v>1620</v>
      </c>
      <c r="J255" s="8" t="s">
        <v>830</v>
      </c>
      <c r="K255" s="24">
        <v>100</v>
      </c>
      <c r="L255" s="24">
        <v>5</v>
      </c>
      <c r="M255" s="9" t="s">
        <v>515</v>
      </c>
      <c r="N255" s="14">
        <v>3</v>
      </c>
      <c r="O255" s="14" t="s">
        <v>1559</v>
      </c>
    </row>
    <row r="256" spans="1:15" ht="13.5" hidden="1" x14ac:dyDescent="0.25">
      <c r="A256" s="10" t="s">
        <v>557</v>
      </c>
      <c r="B256" s="29" t="s">
        <v>44</v>
      </c>
      <c r="C256" s="23" t="s">
        <v>73</v>
      </c>
      <c r="D256" s="7" t="s">
        <v>74</v>
      </c>
      <c r="E256" s="7" t="s">
        <v>1748</v>
      </c>
      <c r="F256" s="8" t="s">
        <v>843</v>
      </c>
      <c r="G256" s="8" t="s">
        <v>536</v>
      </c>
      <c r="H256" s="8" t="s">
        <v>509</v>
      </c>
      <c r="I256" s="8" t="s">
        <v>1620</v>
      </c>
      <c r="J256" s="8" t="s">
        <v>844</v>
      </c>
      <c r="K256" s="24">
        <v>100</v>
      </c>
      <c r="L256" s="24">
        <v>5</v>
      </c>
      <c r="M256" s="9" t="s">
        <v>515</v>
      </c>
      <c r="N256" s="14">
        <v>3</v>
      </c>
      <c r="O256" s="14" t="s">
        <v>1559</v>
      </c>
    </row>
    <row r="257" spans="1:15" ht="13.5" hidden="1" x14ac:dyDescent="0.25">
      <c r="A257" s="10" t="s">
        <v>569</v>
      </c>
      <c r="B257" s="29" t="s">
        <v>77</v>
      </c>
      <c r="C257" s="24">
        <v>2600</v>
      </c>
      <c r="D257" s="7" t="s">
        <v>418</v>
      </c>
      <c r="E257" s="7" t="s">
        <v>1918</v>
      </c>
      <c r="F257" s="8" t="s">
        <v>867</v>
      </c>
      <c r="G257" s="8" t="s">
        <v>536</v>
      </c>
      <c r="H257" s="8" t="s">
        <v>509</v>
      </c>
      <c r="I257" s="8" t="s">
        <v>1620</v>
      </c>
      <c r="J257" s="8" t="s">
        <v>868</v>
      </c>
      <c r="K257" s="24">
        <v>100</v>
      </c>
      <c r="L257" s="24">
        <v>5</v>
      </c>
      <c r="M257" s="9" t="s">
        <v>515</v>
      </c>
      <c r="N257" s="14">
        <v>3</v>
      </c>
      <c r="O257" s="14" t="s">
        <v>1559</v>
      </c>
    </row>
    <row r="258" spans="1:15" ht="13.5" hidden="1" x14ac:dyDescent="0.25">
      <c r="A258" s="10" t="s">
        <v>563</v>
      </c>
      <c r="B258" s="29" t="s">
        <v>77</v>
      </c>
      <c r="C258" s="30">
        <v>500</v>
      </c>
      <c r="D258" s="7" t="s">
        <v>83</v>
      </c>
      <c r="E258" s="7" t="s">
        <v>1917</v>
      </c>
      <c r="F258" s="8" t="s">
        <v>855</v>
      </c>
      <c r="G258" s="8" t="s">
        <v>536</v>
      </c>
      <c r="H258" s="8" t="s">
        <v>509</v>
      </c>
      <c r="I258" s="8" t="s">
        <v>1620</v>
      </c>
      <c r="J258" s="8" t="s">
        <v>856</v>
      </c>
      <c r="K258" s="24">
        <v>100</v>
      </c>
      <c r="L258" s="24">
        <v>5</v>
      </c>
      <c r="M258" s="9" t="s">
        <v>515</v>
      </c>
      <c r="N258" s="14">
        <v>3</v>
      </c>
      <c r="O258" s="14" t="s">
        <v>1559</v>
      </c>
    </row>
    <row r="259" spans="1:15" ht="13.5" hidden="1" x14ac:dyDescent="0.25">
      <c r="A259" s="11" t="s">
        <v>583</v>
      </c>
      <c r="B259" s="29" t="s">
        <v>100</v>
      </c>
      <c r="C259" s="23" t="s">
        <v>102</v>
      </c>
      <c r="D259" s="7" t="s">
        <v>102</v>
      </c>
      <c r="E259" s="7" t="s">
        <v>1926</v>
      </c>
      <c r="F259" s="8" t="s">
        <v>893</v>
      </c>
      <c r="G259" s="8" t="s">
        <v>536</v>
      </c>
      <c r="H259" s="8" t="s">
        <v>509</v>
      </c>
      <c r="I259" s="8" t="s">
        <v>1620</v>
      </c>
      <c r="J259" s="8" t="s">
        <v>894</v>
      </c>
      <c r="K259" s="24">
        <v>100</v>
      </c>
      <c r="L259" s="24">
        <v>5</v>
      </c>
      <c r="M259" s="9" t="s">
        <v>515</v>
      </c>
      <c r="N259" s="14">
        <v>3</v>
      </c>
      <c r="O259" s="14" t="s">
        <v>1559</v>
      </c>
    </row>
    <row r="260" spans="1:15" ht="13.5" hidden="1" x14ac:dyDescent="0.25">
      <c r="A260" s="11" t="s">
        <v>584</v>
      </c>
      <c r="B260" s="29" t="s">
        <v>100</v>
      </c>
      <c r="C260" s="23" t="s">
        <v>103</v>
      </c>
      <c r="D260" s="7" t="s">
        <v>103</v>
      </c>
      <c r="E260" s="7" t="s">
        <v>1925</v>
      </c>
      <c r="F260" s="8" t="s">
        <v>895</v>
      </c>
      <c r="G260" s="8" t="s">
        <v>536</v>
      </c>
      <c r="H260" s="8" t="s">
        <v>509</v>
      </c>
      <c r="I260" s="8" t="s">
        <v>1620</v>
      </c>
      <c r="J260" s="8" t="s">
        <v>896</v>
      </c>
      <c r="K260" s="24">
        <v>100</v>
      </c>
      <c r="L260" s="24">
        <v>5</v>
      </c>
      <c r="M260" s="9" t="s">
        <v>515</v>
      </c>
      <c r="N260" s="14">
        <v>3</v>
      </c>
      <c r="O260" s="14" t="s">
        <v>1559</v>
      </c>
    </row>
    <row r="261" spans="1:15" ht="13.5" hidden="1" x14ac:dyDescent="0.25">
      <c r="A261" s="10" t="s">
        <v>634</v>
      </c>
      <c r="B261" s="24" t="s">
        <v>104</v>
      </c>
      <c r="C261" s="23" t="s">
        <v>420</v>
      </c>
      <c r="D261" s="7" t="s">
        <v>421</v>
      </c>
      <c r="E261" s="7" t="s">
        <v>1701</v>
      </c>
      <c r="F261" s="8" t="s">
        <v>1010</v>
      </c>
      <c r="G261" s="8" t="s">
        <v>536</v>
      </c>
      <c r="H261" s="8" t="s">
        <v>509</v>
      </c>
      <c r="I261" s="8" t="s">
        <v>1620</v>
      </c>
      <c r="J261" s="8" t="s">
        <v>1011</v>
      </c>
      <c r="K261" s="24">
        <v>100</v>
      </c>
      <c r="L261" s="24">
        <v>5</v>
      </c>
      <c r="M261" s="9" t="s">
        <v>515</v>
      </c>
      <c r="N261" s="14">
        <v>3</v>
      </c>
      <c r="O261" s="14" t="s">
        <v>1559</v>
      </c>
    </row>
    <row r="262" spans="1:15" ht="13.5" hidden="1" x14ac:dyDescent="0.25">
      <c r="A262" s="10" t="s">
        <v>636</v>
      </c>
      <c r="B262" s="24" t="s">
        <v>104</v>
      </c>
      <c r="C262" s="23" t="s">
        <v>426</v>
      </c>
      <c r="D262" s="7" t="s">
        <v>427</v>
      </c>
      <c r="E262" s="7" t="s">
        <v>1749</v>
      </c>
      <c r="F262" s="8" t="s">
        <v>1014</v>
      </c>
      <c r="G262" s="8" t="s">
        <v>536</v>
      </c>
      <c r="H262" s="8" t="s">
        <v>509</v>
      </c>
      <c r="I262" s="8" t="s">
        <v>1620</v>
      </c>
      <c r="J262" s="8" t="s">
        <v>1015</v>
      </c>
      <c r="K262" s="24">
        <v>100</v>
      </c>
      <c r="L262" s="24">
        <v>5</v>
      </c>
      <c r="M262" s="9" t="s">
        <v>515</v>
      </c>
      <c r="N262" s="14">
        <v>3</v>
      </c>
      <c r="O262" s="14" t="s">
        <v>1559</v>
      </c>
    </row>
    <row r="263" spans="1:15" ht="13.5" hidden="1" x14ac:dyDescent="0.25">
      <c r="A263" s="10" t="s">
        <v>808</v>
      </c>
      <c r="B263" s="29" t="s">
        <v>264</v>
      </c>
      <c r="C263" s="29">
        <v>83</v>
      </c>
      <c r="D263" s="10" t="s">
        <v>271</v>
      </c>
      <c r="E263" s="10" t="s">
        <v>1765</v>
      </c>
      <c r="F263" s="8" t="s">
        <v>1126</v>
      </c>
      <c r="G263" s="8" t="s">
        <v>536</v>
      </c>
      <c r="H263" s="8" t="s">
        <v>509</v>
      </c>
      <c r="I263" s="8" t="s">
        <v>1620</v>
      </c>
      <c r="J263" s="8" t="s">
        <v>1127</v>
      </c>
      <c r="K263" s="24">
        <v>100</v>
      </c>
      <c r="L263" s="24">
        <v>5</v>
      </c>
      <c r="M263" s="9" t="s">
        <v>515</v>
      </c>
      <c r="N263" s="14">
        <v>3</v>
      </c>
      <c r="O263" s="14" t="s">
        <v>1559</v>
      </c>
    </row>
    <row r="264" spans="1:15" ht="13.5" hidden="1" x14ac:dyDescent="0.25">
      <c r="A264" s="10" t="s">
        <v>1449</v>
      </c>
      <c r="B264" s="29" t="s">
        <v>264</v>
      </c>
      <c r="C264" s="29">
        <v>3</v>
      </c>
      <c r="D264" s="10" t="s">
        <v>275</v>
      </c>
      <c r="E264" s="10" t="s">
        <v>1745</v>
      </c>
      <c r="F264" s="8" t="s">
        <v>1472</v>
      </c>
      <c r="G264" s="8" t="s">
        <v>536</v>
      </c>
      <c r="H264" s="8" t="s">
        <v>509</v>
      </c>
      <c r="I264" s="8" t="s">
        <v>1620</v>
      </c>
      <c r="J264" s="8" t="s">
        <v>1473</v>
      </c>
      <c r="K264" s="24">
        <v>100</v>
      </c>
      <c r="L264" s="24">
        <v>5</v>
      </c>
      <c r="M264" s="9" t="s">
        <v>515</v>
      </c>
      <c r="N264" s="14">
        <v>3</v>
      </c>
      <c r="O264" s="14" t="s">
        <v>1559</v>
      </c>
    </row>
    <row r="265" spans="1:15" ht="13.5" hidden="1" x14ac:dyDescent="0.25">
      <c r="A265" s="10" t="s">
        <v>1446</v>
      </c>
      <c r="B265" s="29" t="s">
        <v>264</v>
      </c>
      <c r="C265" s="23">
        <v>7</v>
      </c>
      <c r="D265" s="7" t="s">
        <v>274</v>
      </c>
      <c r="E265" s="7" t="s">
        <v>1695</v>
      </c>
      <c r="F265" s="8" t="s">
        <v>1466</v>
      </c>
      <c r="G265" s="8" t="s">
        <v>536</v>
      </c>
      <c r="H265" s="8" t="s">
        <v>509</v>
      </c>
      <c r="I265" s="8" t="s">
        <v>1620</v>
      </c>
      <c r="J265" s="8" t="s">
        <v>1467</v>
      </c>
      <c r="K265" s="24">
        <v>100</v>
      </c>
      <c r="L265" s="24">
        <v>5</v>
      </c>
      <c r="M265" s="9" t="s">
        <v>515</v>
      </c>
      <c r="N265" s="14">
        <v>3</v>
      </c>
      <c r="O265" s="14" t="s">
        <v>1559</v>
      </c>
    </row>
    <row r="266" spans="1:15" ht="13.5" hidden="1" x14ac:dyDescent="0.25">
      <c r="A266" s="10" t="s">
        <v>577</v>
      </c>
      <c r="B266" s="29" t="s">
        <v>90</v>
      </c>
      <c r="C266" s="24">
        <v>1008</v>
      </c>
      <c r="D266" s="7" t="s">
        <v>91</v>
      </c>
      <c r="E266" s="7" t="s">
        <v>1704</v>
      </c>
      <c r="F266" s="8" t="s">
        <v>881</v>
      </c>
      <c r="G266" s="8" t="s">
        <v>536</v>
      </c>
      <c r="H266" s="8" t="s">
        <v>509</v>
      </c>
      <c r="I266" s="8" t="s">
        <v>1620</v>
      </c>
      <c r="J266" s="8" t="s">
        <v>882</v>
      </c>
      <c r="K266" s="24">
        <v>100</v>
      </c>
      <c r="L266" s="24">
        <v>5</v>
      </c>
      <c r="M266" s="9" t="s">
        <v>515</v>
      </c>
      <c r="N266" s="14">
        <v>3</v>
      </c>
      <c r="O266" s="14" t="s">
        <v>1559</v>
      </c>
    </row>
    <row r="267" spans="1:15" ht="13.5" hidden="1" x14ac:dyDescent="0.25">
      <c r="A267" s="10" t="s">
        <v>702</v>
      </c>
      <c r="B267" s="29" t="s">
        <v>280</v>
      </c>
      <c r="C267" s="23">
        <v>60</v>
      </c>
      <c r="D267" s="7" t="s">
        <v>319</v>
      </c>
      <c r="E267" s="7" t="s">
        <v>1760</v>
      </c>
      <c r="F267" s="8" t="s">
        <v>1212</v>
      </c>
      <c r="G267" s="8" t="s">
        <v>536</v>
      </c>
      <c r="H267" s="8" t="s">
        <v>509</v>
      </c>
      <c r="I267" s="8" t="s">
        <v>1620</v>
      </c>
      <c r="J267" s="8" t="s">
        <v>1213</v>
      </c>
      <c r="K267" s="24">
        <v>100</v>
      </c>
      <c r="L267" s="24">
        <v>5</v>
      </c>
      <c r="M267" s="9" t="s">
        <v>515</v>
      </c>
      <c r="N267" s="14">
        <v>3</v>
      </c>
      <c r="O267" s="14" t="s">
        <v>1559</v>
      </c>
    </row>
    <row r="268" spans="1:15" ht="13.5" hidden="1" x14ac:dyDescent="0.25">
      <c r="A268" s="10" t="s">
        <v>693</v>
      </c>
      <c r="B268" s="29" t="s">
        <v>280</v>
      </c>
      <c r="C268" s="23">
        <v>11</v>
      </c>
      <c r="D268" s="7" t="s">
        <v>308</v>
      </c>
      <c r="E268" s="7" t="s">
        <v>1768</v>
      </c>
      <c r="F268" s="8" t="s">
        <v>1196</v>
      </c>
      <c r="G268" s="8" t="s">
        <v>536</v>
      </c>
      <c r="H268" s="8" t="s">
        <v>509</v>
      </c>
      <c r="I268" s="8" t="s">
        <v>1620</v>
      </c>
      <c r="J268" s="8" t="s">
        <v>1197</v>
      </c>
      <c r="K268" s="24">
        <v>100</v>
      </c>
      <c r="L268" s="24">
        <v>5</v>
      </c>
      <c r="M268" s="9" t="s">
        <v>515</v>
      </c>
      <c r="N268" s="14">
        <v>3</v>
      </c>
      <c r="O268" s="14" t="s">
        <v>1559</v>
      </c>
    </row>
    <row r="269" spans="1:15" ht="13.5" hidden="1" x14ac:dyDescent="0.25">
      <c r="A269" s="10" t="s">
        <v>726</v>
      </c>
      <c r="B269" s="29" t="s">
        <v>280</v>
      </c>
      <c r="C269" s="23">
        <v>33</v>
      </c>
      <c r="D269" s="7" t="s">
        <v>348</v>
      </c>
      <c r="E269" s="7" t="s">
        <v>1751</v>
      </c>
      <c r="F269" s="8" t="s">
        <v>1258</v>
      </c>
      <c r="G269" s="8" t="s">
        <v>536</v>
      </c>
      <c r="H269" s="8" t="s">
        <v>509</v>
      </c>
      <c r="I269" s="8" t="s">
        <v>1620</v>
      </c>
      <c r="J269" s="8" t="s">
        <v>1259</v>
      </c>
      <c r="K269" s="24">
        <v>100</v>
      </c>
      <c r="L269" s="24">
        <v>5</v>
      </c>
      <c r="M269" s="9" t="s">
        <v>515</v>
      </c>
      <c r="N269" s="14">
        <v>3</v>
      </c>
      <c r="O269" s="14" t="s">
        <v>1559</v>
      </c>
    </row>
    <row r="270" spans="1:15" ht="13.5" hidden="1" x14ac:dyDescent="0.25">
      <c r="A270" s="10" t="s">
        <v>730</v>
      </c>
      <c r="B270" s="29" t="s">
        <v>280</v>
      </c>
      <c r="C270" s="23">
        <v>85</v>
      </c>
      <c r="D270" s="7" t="s">
        <v>352</v>
      </c>
      <c r="E270" s="7" t="s">
        <v>1757</v>
      </c>
      <c r="F270" s="8" t="s">
        <v>1266</v>
      </c>
      <c r="G270" s="8" t="s">
        <v>536</v>
      </c>
      <c r="H270" s="8" t="s">
        <v>509</v>
      </c>
      <c r="I270" s="8" t="s">
        <v>1620</v>
      </c>
      <c r="J270" s="8" t="s">
        <v>1267</v>
      </c>
      <c r="K270" s="24">
        <v>100</v>
      </c>
      <c r="L270" s="24">
        <v>5</v>
      </c>
      <c r="M270" s="9" t="s">
        <v>515</v>
      </c>
      <c r="N270" s="14">
        <v>3</v>
      </c>
      <c r="O270" s="14" t="s">
        <v>1559</v>
      </c>
    </row>
    <row r="271" spans="1:15" ht="13.5" hidden="1" x14ac:dyDescent="0.25">
      <c r="A271" s="10" t="s">
        <v>684</v>
      </c>
      <c r="B271" s="29" t="s">
        <v>280</v>
      </c>
      <c r="C271" s="23">
        <v>15</v>
      </c>
      <c r="D271" s="7" t="s">
        <v>297</v>
      </c>
      <c r="E271" s="7" t="s">
        <v>1767</v>
      </c>
      <c r="F271" s="8" t="s">
        <v>1182</v>
      </c>
      <c r="G271" s="8" t="s">
        <v>536</v>
      </c>
      <c r="H271" s="8" t="s">
        <v>509</v>
      </c>
      <c r="I271" s="8" t="s">
        <v>1620</v>
      </c>
      <c r="J271" s="8" t="s">
        <v>1183</v>
      </c>
      <c r="K271" s="24">
        <v>100</v>
      </c>
      <c r="L271" s="24">
        <v>5</v>
      </c>
      <c r="M271" s="9" t="s">
        <v>515</v>
      </c>
      <c r="N271" s="14">
        <v>3</v>
      </c>
      <c r="O271" s="14" t="s">
        <v>1559</v>
      </c>
    </row>
    <row r="272" spans="1:15" ht="13.5" hidden="1" x14ac:dyDescent="0.25">
      <c r="A272" s="10" t="s">
        <v>674</v>
      </c>
      <c r="B272" s="29" t="s">
        <v>280</v>
      </c>
      <c r="C272" s="23">
        <v>12</v>
      </c>
      <c r="D272" s="7" t="s">
        <v>288</v>
      </c>
      <c r="E272" s="7" t="s">
        <v>1747</v>
      </c>
      <c r="F272" s="8" t="s">
        <v>1162</v>
      </c>
      <c r="G272" s="8" t="s">
        <v>536</v>
      </c>
      <c r="H272" s="8" t="s">
        <v>509</v>
      </c>
      <c r="I272" s="8" t="s">
        <v>1620</v>
      </c>
      <c r="J272" s="8" t="s">
        <v>1163</v>
      </c>
      <c r="K272" s="24">
        <v>100</v>
      </c>
      <c r="L272" s="24">
        <v>5</v>
      </c>
      <c r="M272" s="9" t="s">
        <v>515</v>
      </c>
      <c r="N272" s="14">
        <v>3</v>
      </c>
      <c r="O272" s="14" t="s">
        <v>1559</v>
      </c>
    </row>
    <row r="273" spans="1:15" ht="13.5" hidden="1" x14ac:dyDescent="0.25">
      <c r="A273" s="10" t="s">
        <v>673</v>
      </c>
      <c r="B273" s="29" t="s">
        <v>280</v>
      </c>
      <c r="C273" s="23">
        <v>41</v>
      </c>
      <c r="D273" s="7" t="s">
        <v>287</v>
      </c>
      <c r="E273" s="7" t="s">
        <v>1700</v>
      </c>
      <c r="F273" s="8" t="s">
        <v>1160</v>
      </c>
      <c r="G273" s="8" t="s">
        <v>536</v>
      </c>
      <c r="H273" s="8" t="s">
        <v>509</v>
      </c>
      <c r="I273" s="8" t="s">
        <v>1620</v>
      </c>
      <c r="J273" s="8" t="s">
        <v>1161</v>
      </c>
      <c r="K273" s="24">
        <v>100</v>
      </c>
      <c r="L273" s="24">
        <v>5</v>
      </c>
      <c r="M273" s="9" t="s">
        <v>515</v>
      </c>
      <c r="N273" s="14">
        <v>3</v>
      </c>
      <c r="O273" s="14" t="s">
        <v>1559</v>
      </c>
    </row>
    <row r="274" spans="1:15" ht="13.5" hidden="1" x14ac:dyDescent="0.25">
      <c r="A274" s="10" t="s">
        <v>671</v>
      </c>
      <c r="B274" s="29" t="s">
        <v>280</v>
      </c>
      <c r="C274" s="23">
        <v>112</v>
      </c>
      <c r="D274" s="7" t="s">
        <v>284</v>
      </c>
      <c r="E274" s="7" t="s">
        <v>1746</v>
      </c>
      <c r="F274" s="8" t="s">
        <v>1156</v>
      </c>
      <c r="G274" s="8" t="s">
        <v>536</v>
      </c>
      <c r="H274" s="8" t="s">
        <v>509</v>
      </c>
      <c r="I274" s="8" t="s">
        <v>1620</v>
      </c>
      <c r="J274" s="8" t="s">
        <v>1157</v>
      </c>
      <c r="K274" s="24">
        <v>100</v>
      </c>
      <c r="L274" s="24">
        <v>5</v>
      </c>
      <c r="M274" s="9" t="s">
        <v>515</v>
      </c>
      <c r="N274" s="14">
        <v>3</v>
      </c>
      <c r="O274" s="14" t="s">
        <v>1559</v>
      </c>
    </row>
    <row r="275" spans="1:15" ht="13.5" hidden="1" x14ac:dyDescent="0.25">
      <c r="A275" s="10" t="s">
        <v>817</v>
      </c>
      <c r="B275" s="29" t="s">
        <v>380</v>
      </c>
      <c r="C275" s="23">
        <v>1076</v>
      </c>
      <c r="D275" s="7" t="s">
        <v>440</v>
      </c>
      <c r="E275" s="7" t="s">
        <v>1698</v>
      </c>
      <c r="F275" s="8" t="s">
        <v>1327</v>
      </c>
      <c r="G275" s="8" t="s">
        <v>536</v>
      </c>
      <c r="H275" s="8" t="s">
        <v>509</v>
      </c>
      <c r="I275" s="8" t="s">
        <v>1620</v>
      </c>
      <c r="J275" s="8" t="s">
        <v>856</v>
      </c>
      <c r="K275" s="24">
        <v>100</v>
      </c>
      <c r="L275" s="24">
        <v>5</v>
      </c>
      <c r="M275" s="9" t="s">
        <v>515</v>
      </c>
      <c r="N275" s="14">
        <v>3</v>
      </c>
      <c r="O275" s="14" t="s">
        <v>1559</v>
      </c>
    </row>
    <row r="276" spans="1:15" ht="13.5" hidden="1" x14ac:dyDescent="0.25">
      <c r="A276" s="10" t="s">
        <v>765</v>
      </c>
      <c r="B276" s="29" t="s">
        <v>380</v>
      </c>
      <c r="C276" s="23">
        <v>1226</v>
      </c>
      <c r="D276" s="7" t="s">
        <v>394</v>
      </c>
      <c r="E276" s="7" t="s">
        <v>1766</v>
      </c>
      <c r="F276" s="8" t="s">
        <v>1325</v>
      </c>
      <c r="G276" s="8" t="s">
        <v>536</v>
      </c>
      <c r="H276" s="8" t="s">
        <v>509</v>
      </c>
      <c r="I276" s="8" t="s">
        <v>1620</v>
      </c>
      <c r="J276" s="8" t="s">
        <v>1326</v>
      </c>
      <c r="K276" s="24">
        <v>100</v>
      </c>
      <c r="L276" s="24">
        <v>5</v>
      </c>
      <c r="M276" s="9" t="s">
        <v>515</v>
      </c>
      <c r="N276" s="14">
        <v>3</v>
      </c>
      <c r="O276" s="14" t="s">
        <v>1559</v>
      </c>
    </row>
    <row r="277" spans="1:15" ht="13.5" hidden="1" x14ac:dyDescent="0.25">
      <c r="A277" s="10" t="s">
        <v>773</v>
      </c>
      <c r="B277" s="29" t="s">
        <v>395</v>
      </c>
      <c r="C277" s="23">
        <v>106</v>
      </c>
      <c r="D277" s="7" t="s">
        <v>399</v>
      </c>
      <c r="E277" s="7" t="s">
        <v>1769</v>
      </c>
      <c r="F277" s="8" t="s">
        <v>1342</v>
      </c>
      <c r="G277" s="8" t="s">
        <v>536</v>
      </c>
      <c r="H277" s="8" t="s">
        <v>509</v>
      </c>
      <c r="I277" s="8" t="s">
        <v>1620</v>
      </c>
      <c r="J277" s="8" t="s">
        <v>1343</v>
      </c>
      <c r="K277" s="24">
        <v>100</v>
      </c>
      <c r="L277" s="24">
        <v>5</v>
      </c>
      <c r="M277" s="9" t="s">
        <v>515</v>
      </c>
      <c r="N277" s="14">
        <v>3</v>
      </c>
      <c r="O277" s="14" t="s">
        <v>1559</v>
      </c>
    </row>
    <row r="278" spans="1:15" ht="13.5" hidden="1" x14ac:dyDescent="0.25">
      <c r="A278" s="10" t="s">
        <v>819</v>
      </c>
      <c r="B278" s="29" t="s">
        <v>403</v>
      </c>
      <c r="C278" s="23">
        <v>1813</v>
      </c>
      <c r="D278" s="7" t="s">
        <v>404</v>
      </c>
      <c r="E278" s="7" t="s">
        <v>1699</v>
      </c>
      <c r="F278" s="8" t="s">
        <v>1351</v>
      </c>
      <c r="G278" s="8" t="s">
        <v>536</v>
      </c>
      <c r="H278" s="8" t="s">
        <v>509</v>
      </c>
      <c r="I278" s="8" t="s">
        <v>1620</v>
      </c>
      <c r="J278" s="8" t="s">
        <v>1352</v>
      </c>
      <c r="K278" s="24">
        <v>100</v>
      </c>
      <c r="L278" s="24">
        <v>5</v>
      </c>
      <c r="M278" s="9" t="s">
        <v>515</v>
      </c>
      <c r="N278" s="14">
        <v>3</v>
      </c>
      <c r="O278" s="14" t="s">
        <v>1559</v>
      </c>
    </row>
    <row r="279" spans="1:15" ht="13.5" hidden="1" x14ac:dyDescent="0.25">
      <c r="A279" s="10" t="s">
        <v>568</v>
      </c>
      <c r="B279" s="29" t="s">
        <v>77</v>
      </c>
      <c r="C279" s="24">
        <v>700</v>
      </c>
      <c r="D279" s="7" t="s">
        <v>82</v>
      </c>
      <c r="E279" s="7" t="s">
        <v>1919</v>
      </c>
      <c r="F279" s="8" t="s">
        <v>865</v>
      </c>
      <c r="G279" s="8" t="s">
        <v>536</v>
      </c>
      <c r="H279" s="8" t="s">
        <v>509</v>
      </c>
      <c r="I279" s="8" t="s">
        <v>1620</v>
      </c>
      <c r="J279" s="8" t="s">
        <v>866</v>
      </c>
      <c r="K279" s="24">
        <v>100</v>
      </c>
      <c r="L279" s="24">
        <v>5</v>
      </c>
      <c r="M279" s="9" t="s">
        <v>526</v>
      </c>
      <c r="N279" s="14">
        <v>515</v>
      </c>
      <c r="O279" s="14" t="s">
        <v>1559</v>
      </c>
    </row>
    <row r="280" spans="1:15" ht="13.5" hidden="1" x14ac:dyDescent="0.25">
      <c r="A280" s="10" t="s">
        <v>1365</v>
      </c>
      <c r="B280" s="29" t="s">
        <v>100</v>
      </c>
      <c r="C280" s="24" t="s">
        <v>332</v>
      </c>
      <c r="D280" s="7" t="s">
        <v>419</v>
      </c>
      <c r="E280" s="7" t="s">
        <v>1923</v>
      </c>
      <c r="F280" s="8" t="s">
        <v>1381</v>
      </c>
      <c r="G280" s="8" t="s">
        <v>536</v>
      </c>
      <c r="H280" s="8" t="s">
        <v>509</v>
      </c>
      <c r="I280" s="8" t="s">
        <v>1620</v>
      </c>
      <c r="J280" s="8" t="s">
        <v>1382</v>
      </c>
      <c r="K280" s="24">
        <v>100</v>
      </c>
      <c r="L280" s="24">
        <v>5</v>
      </c>
      <c r="M280" s="9" t="s">
        <v>526</v>
      </c>
      <c r="N280" s="14">
        <v>515</v>
      </c>
      <c r="O280" s="14" t="s">
        <v>1560</v>
      </c>
    </row>
    <row r="281" spans="1:15" ht="13.5" hidden="1" x14ac:dyDescent="0.25">
      <c r="A281" s="10" t="s">
        <v>635</v>
      </c>
      <c r="B281" s="24" t="s">
        <v>104</v>
      </c>
      <c r="C281" s="23" t="s">
        <v>422</v>
      </c>
      <c r="D281" s="7" t="s">
        <v>423</v>
      </c>
      <c r="E281" s="7" t="s">
        <v>1734</v>
      </c>
      <c r="F281" s="8" t="s">
        <v>1012</v>
      </c>
      <c r="G281" s="8" t="s">
        <v>536</v>
      </c>
      <c r="H281" s="8" t="s">
        <v>509</v>
      </c>
      <c r="I281" s="8" t="s">
        <v>1620</v>
      </c>
      <c r="J281" s="8" t="s">
        <v>1013</v>
      </c>
      <c r="K281" s="24">
        <v>100</v>
      </c>
      <c r="L281" s="24">
        <v>5</v>
      </c>
      <c r="M281" s="9" t="s">
        <v>526</v>
      </c>
      <c r="N281" s="14">
        <v>515</v>
      </c>
      <c r="O281" s="14" t="s">
        <v>1559</v>
      </c>
    </row>
    <row r="282" spans="1:15" ht="13.5" hidden="1" x14ac:dyDescent="0.25">
      <c r="A282" s="10" t="s">
        <v>616</v>
      </c>
      <c r="B282" s="24" t="s">
        <v>104</v>
      </c>
      <c r="C282" s="23" t="s">
        <v>186</v>
      </c>
      <c r="D282" s="7" t="s">
        <v>187</v>
      </c>
      <c r="E282" s="7" t="s">
        <v>1715</v>
      </c>
      <c r="F282" s="8" t="s">
        <v>967</v>
      </c>
      <c r="G282" s="8" t="s">
        <v>536</v>
      </c>
      <c r="H282" s="8" t="s">
        <v>509</v>
      </c>
      <c r="I282" s="8" t="s">
        <v>1620</v>
      </c>
      <c r="J282" s="8" t="s">
        <v>968</v>
      </c>
      <c r="K282" s="24">
        <v>100</v>
      </c>
      <c r="L282" s="24">
        <v>5</v>
      </c>
      <c r="M282" s="9" t="s">
        <v>526</v>
      </c>
      <c r="N282" s="14">
        <v>515</v>
      </c>
      <c r="O282" s="14" t="s">
        <v>1559</v>
      </c>
    </row>
    <row r="283" spans="1:15" ht="13.5" hidden="1" x14ac:dyDescent="0.25">
      <c r="A283" s="10" t="s">
        <v>637</v>
      </c>
      <c r="B283" s="24" t="s">
        <v>104</v>
      </c>
      <c r="C283" s="23" t="s">
        <v>432</v>
      </c>
      <c r="D283" s="7" t="s">
        <v>433</v>
      </c>
      <c r="E283" s="7" t="s">
        <v>1728</v>
      </c>
      <c r="F283" s="8" t="s">
        <v>1016</v>
      </c>
      <c r="G283" s="8" t="s">
        <v>536</v>
      </c>
      <c r="H283" s="8" t="s">
        <v>509</v>
      </c>
      <c r="I283" s="8" t="s">
        <v>1620</v>
      </c>
      <c r="J283" s="8" t="s">
        <v>1017</v>
      </c>
      <c r="K283" s="24">
        <v>100</v>
      </c>
      <c r="L283" s="24">
        <v>5</v>
      </c>
      <c r="M283" s="9" t="s">
        <v>526</v>
      </c>
      <c r="N283" s="14">
        <v>515</v>
      </c>
      <c r="O283" s="14" t="s">
        <v>1559</v>
      </c>
    </row>
    <row r="284" spans="1:15" ht="13.5" hidden="1" x14ac:dyDescent="0.25">
      <c r="A284" s="10" t="s">
        <v>638</v>
      </c>
      <c r="B284" s="24" t="s">
        <v>104</v>
      </c>
      <c r="C284" s="23" t="s">
        <v>434</v>
      </c>
      <c r="D284" s="7" t="s">
        <v>435</v>
      </c>
      <c r="E284" s="7" t="s">
        <v>1711</v>
      </c>
      <c r="F284" s="8" t="s">
        <v>1018</v>
      </c>
      <c r="G284" s="8" t="s">
        <v>536</v>
      </c>
      <c r="H284" s="8" t="s">
        <v>509</v>
      </c>
      <c r="I284" s="8" t="s">
        <v>1620</v>
      </c>
      <c r="J284" s="8" t="s">
        <v>1019</v>
      </c>
      <c r="K284" s="24">
        <v>100</v>
      </c>
      <c r="L284" s="24">
        <v>5</v>
      </c>
      <c r="M284" s="9" t="s">
        <v>526</v>
      </c>
      <c r="N284" s="14">
        <v>515</v>
      </c>
      <c r="O284" s="14" t="s">
        <v>1559</v>
      </c>
    </row>
    <row r="285" spans="1:15" ht="13.5" hidden="1" x14ac:dyDescent="0.25">
      <c r="A285" s="10" t="s">
        <v>791</v>
      </c>
      <c r="B285" s="29" t="s">
        <v>215</v>
      </c>
      <c r="C285" s="23">
        <v>1062</v>
      </c>
      <c r="D285" s="7" t="s">
        <v>218</v>
      </c>
      <c r="E285" s="7" t="s">
        <v>1951</v>
      </c>
      <c r="F285" s="8" t="s">
        <v>1030</v>
      </c>
      <c r="G285" s="8" t="s">
        <v>536</v>
      </c>
      <c r="H285" s="8" t="s">
        <v>509</v>
      </c>
      <c r="I285" s="8" t="s">
        <v>1620</v>
      </c>
      <c r="J285" s="8" t="s">
        <v>1031</v>
      </c>
      <c r="K285" s="24">
        <v>100</v>
      </c>
      <c r="L285" s="24">
        <v>5</v>
      </c>
      <c r="M285" s="9" t="s">
        <v>526</v>
      </c>
      <c r="N285" s="14">
        <v>515</v>
      </c>
      <c r="O285" s="14" t="s">
        <v>1559</v>
      </c>
    </row>
    <row r="286" spans="1:15" ht="13.5" hidden="1" x14ac:dyDescent="0.25">
      <c r="A286" s="10" t="s">
        <v>800</v>
      </c>
      <c r="B286" s="29" t="s">
        <v>251</v>
      </c>
      <c r="C286" s="23">
        <v>431</v>
      </c>
      <c r="D286" s="7" t="s">
        <v>259</v>
      </c>
      <c r="E286" s="7" t="s">
        <v>1709</v>
      </c>
      <c r="F286" s="8" t="s">
        <v>1100</v>
      </c>
      <c r="G286" s="8" t="s">
        <v>536</v>
      </c>
      <c r="H286" s="8" t="s">
        <v>509</v>
      </c>
      <c r="I286" s="8" t="s">
        <v>1620</v>
      </c>
      <c r="J286" s="8" t="s">
        <v>1101</v>
      </c>
      <c r="K286" s="24">
        <v>100</v>
      </c>
      <c r="L286" s="24">
        <v>5</v>
      </c>
      <c r="M286" s="9" t="s">
        <v>526</v>
      </c>
      <c r="N286" s="14">
        <v>515</v>
      </c>
      <c r="O286" s="14" t="s">
        <v>1559</v>
      </c>
    </row>
    <row r="287" spans="1:15" ht="13.5" hidden="1" x14ac:dyDescent="0.25">
      <c r="A287" s="10" t="s">
        <v>799</v>
      </c>
      <c r="B287" s="29" t="s">
        <v>251</v>
      </c>
      <c r="C287" s="23">
        <v>420</v>
      </c>
      <c r="D287" s="7" t="s">
        <v>258</v>
      </c>
      <c r="E287" s="7" t="s">
        <v>1702</v>
      </c>
      <c r="F287" s="8" t="s">
        <v>1096</v>
      </c>
      <c r="G287" s="8" t="s">
        <v>536</v>
      </c>
      <c r="H287" s="8" t="s">
        <v>509</v>
      </c>
      <c r="I287" s="8" t="s">
        <v>1620</v>
      </c>
      <c r="J287" s="8" t="s">
        <v>1097</v>
      </c>
      <c r="K287" s="24">
        <v>100</v>
      </c>
      <c r="L287" s="24">
        <v>5</v>
      </c>
      <c r="M287" s="9" t="s">
        <v>526</v>
      </c>
      <c r="N287" s="14">
        <v>515</v>
      </c>
      <c r="O287" s="14" t="s">
        <v>1559</v>
      </c>
    </row>
    <row r="288" spans="1:15" ht="13.5" hidden="1" x14ac:dyDescent="0.25">
      <c r="A288" s="10" t="s">
        <v>1448</v>
      </c>
      <c r="B288" s="29" t="s">
        <v>264</v>
      </c>
      <c r="C288" s="23">
        <v>2</v>
      </c>
      <c r="D288" s="7" t="s">
        <v>270</v>
      </c>
      <c r="E288" s="7" t="s">
        <v>1708</v>
      </c>
      <c r="F288" s="8" t="s">
        <v>1470</v>
      </c>
      <c r="G288" s="8" t="s">
        <v>536</v>
      </c>
      <c r="H288" s="8" t="s">
        <v>509</v>
      </c>
      <c r="I288" s="8" t="s">
        <v>1620</v>
      </c>
      <c r="J288" s="8" t="s">
        <v>1471</v>
      </c>
      <c r="K288" s="24">
        <v>100</v>
      </c>
      <c r="L288" s="24">
        <v>5</v>
      </c>
      <c r="M288" s="9" t="s">
        <v>526</v>
      </c>
      <c r="N288" s="14">
        <v>515</v>
      </c>
      <c r="O288" s="14" t="s">
        <v>1559</v>
      </c>
    </row>
    <row r="289" spans="1:15" ht="13.5" hidden="1" x14ac:dyDescent="0.25">
      <c r="A289" s="10" t="s">
        <v>1444</v>
      </c>
      <c r="B289" s="29" t="s">
        <v>264</v>
      </c>
      <c r="C289" s="29">
        <v>81</v>
      </c>
      <c r="D289" s="10" t="s">
        <v>268</v>
      </c>
      <c r="E289" s="10" t="s">
        <v>1724</v>
      </c>
      <c r="F289" s="8" t="s">
        <v>1462</v>
      </c>
      <c r="G289" s="8" t="s">
        <v>536</v>
      </c>
      <c r="H289" s="8" t="s">
        <v>509</v>
      </c>
      <c r="I289" s="8" t="s">
        <v>1620</v>
      </c>
      <c r="J289" s="8" t="s">
        <v>1463</v>
      </c>
      <c r="K289" s="24">
        <v>100</v>
      </c>
      <c r="L289" s="24">
        <v>5</v>
      </c>
      <c r="M289" s="9" t="s">
        <v>526</v>
      </c>
      <c r="N289" s="14">
        <v>515</v>
      </c>
      <c r="O289" s="14" t="s">
        <v>1559</v>
      </c>
    </row>
    <row r="290" spans="1:15" ht="13.5" hidden="1" x14ac:dyDescent="0.25">
      <c r="A290" s="10" t="s">
        <v>685</v>
      </c>
      <c r="B290" s="29" t="s">
        <v>280</v>
      </c>
      <c r="C290" s="23">
        <v>137</v>
      </c>
      <c r="D290" s="7" t="s">
        <v>298</v>
      </c>
      <c r="E290" s="7" t="s">
        <v>1690</v>
      </c>
      <c r="F290" s="8" t="s">
        <v>1460</v>
      </c>
      <c r="G290" s="8" t="s">
        <v>536</v>
      </c>
      <c r="H290" s="8" t="s">
        <v>509</v>
      </c>
      <c r="I290" s="8" t="s">
        <v>1620</v>
      </c>
      <c r="J290" s="8" t="s">
        <v>1461</v>
      </c>
      <c r="K290" s="24">
        <v>100</v>
      </c>
      <c r="L290" s="24">
        <v>5</v>
      </c>
      <c r="M290" s="9" t="s">
        <v>526</v>
      </c>
      <c r="N290" s="14">
        <v>515</v>
      </c>
      <c r="O290" s="14" t="s">
        <v>1559</v>
      </c>
    </row>
    <row r="291" spans="1:15" ht="13.5" hidden="1" x14ac:dyDescent="0.25">
      <c r="A291" s="10" t="s">
        <v>682</v>
      </c>
      <c r="B291" s="29" t="s">
        <v>280</v>
      </c>
      <c r="C291" s="23">
        <v>1</v>
      </c>
      <c r="D291" s="7" t="s">
        <v>285</v>
      </c>
      <c r="E291" s="7" t="s">
        <v>1741</v>
      </c>
      <c r="F291" s="8" t="s">
        <v>1178</v>
      </c>
      <c r="G291" s="8" t="s">
        <v>536</v>
      </c>
      <c r="H291" s="8" t="s">
        <v>509</v>
      </c>
      <c r="I291" s="8" t="s">
        <v>1620</v>
      </c>
      <c r="J291" s="8" t="s">
        <v>1179</v>
      </c>
      <c r="K291" s="24">
        <v>100</v>
      </c>
      <c r="L291" s="24">
        <v>5</v>
      </c>
      <c r="M291" s="9" t="s">
        <v>526</v>
      </c>
      <c r="N291" s="14">
        <v>515</v>
      </c>
      <c r="O291" s="14" t="s">
        <v>1559</v>
      </c>
    </row>
    <row r="292" spans="1:15" ht="13.5" hidden="1" x14ac:dyDescent="0.25">
      <c r="A292" s="10" t="s">
        <v>688</v>
      </c>
      <c r="B292" s="29" t="s">
        <v>280</v>
      </c>
      <c r="C292" s="23">
        <v>114</v>
      </c>
      <c r="D292" s="7" t="s">
        <v>301</v>
      </c>
      <c r="E292" s="7" t="s">
        <v>1737</v>
      </c>
      <c r="F292" s="8" t="s">
        <v>1188</v>
      </c>
      <c r="G292" s="8" t="s">
        <v>536</v>
      </c>
      <c r="H292" s="8" t="s">
        <v>509</v>
      </c>
      <c r="I292" s="8" t="s">
        <v>1620</v>
      </c>
      <c r="J292" s="8" t="s">
        <v>1189</v>
      </c>
      <c r="K292" s="24">
        <v>100</v>
      </c>
      <c r="L292" s="24">
        <v>5</v>
      </c>
      <c r="M292" s="9" t="s">
        <v>526</v>
      </c>
      <c r="N292" s="14">
        <v>515</v>
      </c>
      <c r="O292" s="14" t="s">
        <v>1559</v>
      </c>
    </row>
    <row r="293" spans="1:15" ht="13.5" x14ac:dyDescent="0.25">
      <c r="A293" s="10" t="s">
        <v>1583</v>
      </c>
      <c r="B293" s="29" t="s">
        <v>280</v>
      </c>
      <c r="C293" s="23">
        <v>13</v>
      </c>
      <c r="D293" s="7" t="s">
        <v>1579</v>
      </c>
      <c r="E293" s="7" t="s">
        <v>1634</v>
      </c>
      <c r="F293" s="8" t="s">
        <v>1590</v>
      </c>
      <c r="G293" s="8" t="s">
        <v>536</v>
      </c>
      <c r="H293" s="8" t="s">
        <v>509</v>
      </c>
      <c r="I293" s="8" t="s">
        <v>1620</v>
      </c>
      <c r="J293" s="8" t="s">
        <v>1589</v>
      </c>
      <c r="K293" s="24">
        <v>100</v>
      </c>
      <c r="L293" s="24">
        <v>5</v>
      </c>
      <c r="M293" s="9" t="s">
        <v>526</v>
      </c>
      <c r="N293" s="14">
        <v>515</v>
      </c>
      <c r="O293" s="14" t="s">
        <v>1595</v>
      </c>
    </row>
    <row r="294" spans="1:15" ht="13.5" hidden="1" x14ac:dyDescent="0.25">
      <c r="A294" s="10" t="s">
        <v>714</v>
      </c>
      <c r="B294" s="29" t="s">
        <v>280</v>
      </c>
      <c r="C294" s="23">
        <v>42</v>
      </c>
      <c r="D294" s="7" t="s">
        <v>334</v>
      </c>
      <c r="E294" s="7" t="s">
        <v>1717</v>
      </c>
      <c r="F294" s="8" t="s">
        <v>1236</v>
      </c>
      <c r="G294" s="8" t="s">
        <v>536</v>
      </c>
      <c r="H294" s="8" t="s">
        <v>509</v>
      </c>
      <c r="I294" s="8" t="s">
        <v>1620</v>
      </c>
      <c r="J294" s="8" t="s">
        <v>1237</v>
      </c>
      <c r="K294" s="24">
        <v>100</v>
      </c>
      <c r="L294" s="24">
        <v>5</v>
      </c>
      <c r="M294" s="9" t="s">
        <v>526</v>
      </c>
      <c r="N294" s="14">
        <v>515</v>
      </c>
      <c r="O294" s="14" t="s">
        <v>1559</v>
      </c>
    </row>
    <row r="295" spans="1:15" ht="13.5" hidden="1" x14ac:dyDescent="0.25">
      <c r="A295" s="10" t="s">
        <v>683</v>
      </c>
      <c r="B295" s="29" t="s">
        <v>280</v>
      </c>
      <c r="C295" s="23">
        <v>6</v>
      </c>
      <c r="D295" s="7" t="s">
        <v>296</v>
      </c>
      <c r="E295" s="7" t="s">
        <v>1705</v>
      </c>
      <c r="F295" s="8" t="s">
        <v>1180</v>
      </c>
      <c r="G295" s="8" t="s">
        <v>536</v>
      </c>
      <c r="H295" s="8" t="s">
        <v>509</v>
      </c>
      <c r="I295" s="8" t="s">
        <v>1620</v>
      </c>
      <c r="J295" s="8" t="s">
        <v>1181</v>
      </c>
      <c r="K295" s="24">
        <v>100</v>
      </c>
      <c r="L295" s="24">
        <v>5</v>
      </c>
      <c r="M295" s="9" t="s">
        <v>526</v>
      </c>
      <c r="N295" s="14">
        <v>515</v>
      </c>
      <c r="O295" s="14" t="s">
        <v>1559</v>
      </c>
    </row>
    <row r="296" spans="1:15" ht="13.5" hidden="1" x14ac:dyDescent="0.25">
      <c r="A296" s="10" t="s">
        <v>736</v>
      </c>
      <c r="B296" s="29" t="s">
        <v>280</v>
      </c>
      <c r="C296" s="23">
        <v>24</v>
      </c>
      <c r="D296" s="7" t="s">
        <v>359</v>
      </c>
      <c r="E296" s="7" t="s">
        <v>1720</v>
      </c>
      <c r="F296" s="8" t="s">
        <v>1276</v>
      </c>
      <c r="G296" s="8" t="s">
        <v>536</v>
      </c>
      <c r="H296" s="8" t="s">
        <v>509</v>
      </c>
      <c r="I296" s="8" t="s">
        <v>1620</v>
      </c>
      <c r="J296" s="8" t="s">
        <v>1277</v>
      </c>
      <c r="K296" s="24">
        <v>100</v>
      </c>
      <c r="L296" s="24">
        <v>5</v>
      </c>
      <c r="M296" s="9" t="s">
        <v>526</v>
      </c>
      <c r="N296" s="14">
        <v>515</v>
      </c>
      <c r="O296" s="14" t="s">
        <v>1559</v>
      </c>
    </row>
    <row r="297" spans="1:15" ht="13.5" hidden="1" x14ac:dyDescent="0.25">
      <c r="A297" s="10" t="s">
        <v>762</v>
      </c>
      <c r="B297" s="29" t="s">
        <v>380</v>
      </c>
      <c r="C297" s="23">
        <v>1169</v>
      </c>
      <c r="D297" s="7" t="s">
        <v>387</v>
      </c>
      <c r="E297" s="7" t="s">
        <v>1725</v>
      </c>
      <c r="F297" s="8" t="s">
        <v>1317</v>
      </c>
      <c r="G297" s="8" t="s">
        <v>536</v>
      </c>
      <c r="H297" s="8" t="s">
        <v>509</v>
      </c>
      <c r="I297" s="8" t="s">
        <v>1620</v>
      </c>
      <c r="J297" s="8" t="s">
        <v>1318</v>
      </c>
      <c r="K297" s="24">
        <v>100</v>
      </c>
      <c r="L297" s="24">
        <v>5</v>
      </c>
      <c r="M297" s="9" t="s">
        <v>526</v>
      </c>
      <c r="N297" s="14">
        <v>515</v>
      </c>
      <c r="O297" s="14" t="s">
        <v>1559</v>
      </c>
    </row>
    <row r="298" spans="1:15" ht="13.5" hidden="1" x14ac:dyDescent="0.25">
      <c r="A298" s="10" t="s">
        <v>764</v>
      </c>
      <c r="B298" s="29" t="s">
        <v>380</v>
      </c>
      <c r="C298" s="23">
        <v>1187</v>
      </c>
      <c r="D298" s="7" t="s">
        <v>392</v>
      </c>
      <c r="E298" s="7" t="s">
        <v>1739</v>
      </c>
      <c r="F298" s="8" t="s">
        <v>1321</v>
      </c>
      <c r="G298" s="8" t="s">
        <v>536</v>
      </c>
      <c r="H298" s="8" t="s">
        <v>509</v>
      </c>
      <c r="I298" s="8" t="s">
        <v>1620</v>
      </c>
      <c r="J298" s="8" t="s">
        <v>1322</v>
      </c>
      <c r="K298" s="24">
        <v>100</v>
      </c>
      <c r="L298" s="24">
        <v>5</v>
      </c>
      <c r="M298" s="9" t="s">
        <v>526</v>
      </c>
      <c r="N298" s="14">
        <v>515</v>
      </c>
      <c r="O298" s="14" t="s">
        <v>1559</v>
      </c>
    </row>
    <row r="299" spans="1:15" ht="13.5" hidden="1" x14ac:dyDescent="0.25">
      <c r="A299" s="10" t="s">
        <v>769</v>
      </c>
      <c r="B299" s="29" t="s">
        <v>395</v>
      </c>
      <c r="C299" s="23">
        <v>103</v>
      </c>
      <c r="D299" s="7" t="s">
        <v>396</v>
      </c>
      <c r="E299" s="7" t="s">
        <v>1703</v>
      </c>
      <c r="F299" s="8" t="s">
        <v>1334</v>
      </c>
      <c r="G299" s="8" t="s">
        <v>536</v>
      </c>
      <c r="H299" s="8" t="s">
        <v>509</v>
      </c>
      <c r="I299" s="8" t="s">
        <v>1620</v>
      </c>
      <c r="J299" s="8" t="s">
        <v>1335</v>
      </c>
      <c r="K299" s="24">
        <v>100</v>
      </c>
      <c r="L299" s="24">
        <v>5</v>
      </c>
      <c r="M299" s="9" t="s">
        <v>526</v>
      </c>
      <c r="N299" s="14">
        <v>515</v>
      </c>
      <c r="O299" s="14" t="s">
        <v>1559</v>
      </c>
    </row>
    <row r="300" spans="1:15" ht="13.5" hidden="1" x14ac:dyDescent="0.25">
      <c r="A300" s="10" t="s">
        <v>820</v>
      </c>
      <c r="B300" s="29" t="s">
        <v>403</v>
      </c>
      <c r="C300" s="23">
        <v>1954</v>
      </c>
      <c r="D300" s="7" t="s">
        <v>405</v>
      </c>
      <c r="E300" s="7" t="s">
        <v>1723</v>
      </c>
      <c r="F300" s="8" t="s">
        <v>1353</v>
      </c>
      <c r="G300" s="8" t="s">
        <v>536</v>
      </c>
      <c r="H300" s="8" t="s">
        <v>509</v>
      </c>
      <c r="I300" s="8" t="s">
        <v>1620</v>
      </c>
      <c r="J300" s="8" t="s">
        <v>1354</v>
      </c>
      <c r="K300" s="24">
        <v>100</v>
      </c>
      <c r="L300" s="24">
        <v>5</v>
      </c>
      <c r="M300" s="9" t="s">
        <v>526</v>
      </c>
      <c r="N300" s="14">
        <v>515</v>
      </c>
      <c r="O300" s="14" t="s">
        <v>1559</v>
      </c>
    </row>
    <row r="301" spans="1:15" ht="13.5" hidden="1" x14ac:dyDescent="0.25">
      <c r="A301" s="10" t="s">
        <v>626</v>
      </c>
      <c r="B301" s="24" t="s">
        <v>104</v>
      </c>
      <c r="C301" s="23" t="s">
        <v>209</v>
      </c>
      <c r="D301" s="7" t="s">
        <v>210</v>
      </c>
      <c r="E301" s="7" t="s">
        <v>1761</v>
      </c>
      <c r="F301" s="8" t="s">
        <v>991</v>
      </c>
      <c r="G301" s="8" t="s">
        <v>536</v>
      </c>
      <c r="H301" s="8" t="s">
        <v>509</v>
      </c>
      <c r="I301" s="8" t="s">
        <v>1620</v>
      </c>
      <c r="J301" s="8" t="s">
        <v>992</v>
      </c>
      <c r="K301" s="24">
        <v>100</v>
      </c>
      <c r="L301" s="24">
        <v>5</v>
      </c>
      <c r="M301" s="9" t="s">
        <v>508</v>
      </c>
      <c r="N301" s="14">
        <v>1</v>
      </c>
      <c r="O301" s="14" t="s">
        <v>1559</v>
      </c>
    </row>
    <row r="302" spans="1:15" ht="13.5" hidden="1" x14ac:dyDescent="0.25">
      <c r="A302" s="10" t="s">
        <v>599</v>
      </c>
      <c r="B302" s="24" t="s">
        <v>104</v>
      </c>
      <c r="C302" s="23" t="s">
        <v>141</v>
      </c>
      <c r="D302" s="7" t="s">
        <v>142</v>
      </c>
      <c r="E302" s="7" t="s">
        <v>1783</v>
      </c>
      <c r="F302" s="8" t="s">
        <v>925</v>
      </c>
      <c r="G302" s="8" t="s">
        <v>536</v>
      </c>
      <c r="H302" s="8" t="s">
        <v>509</v>
      </c>
      <c r="I302" s="8" t="s">
        <v>1620</v>
      </c>
      <c r="J302" s="8" t="s">
        <v>926</v>
      </c>
      <c r="K302" s="24">
        <v>100</v>
      </c>
      <c r="L302" s="24">
        <v>5</v>
      </c>
      <c r="M302" s="9" t="s">
        <v>508</v>
      </c>
      <c r="N302" s="14">
        <v>1</v>
      </c>
      <c r="O302" s="14" t="s">
        <v>1559</v>
      </c>
    </row>
    <row r="303" spans="1:15" ht="13.5" hidden="1" x14ac:dyDescent="0.25">
      <c r="A303" s="10" t="s">
        <v>603</v>
      </c>
      <c r="B303" s="24" t="s">
        <v>104</v>
      </c>
      <c r="C303" s="23" t="s">
        <v>154</v>
      </c>
      <c r="D303" s="7" t="s">
        <v>155</v>
      </c>
      <c r="E303" s="7" t="s">
        <v>1764</v>
      </c>
      <c r="F303" s="8" t="s">
        <v>937</v>
      </c>
      <c r="G303" s="8" t="s">
        <v>536</v>
      </c>
      <c r="H303" s="8" t="s">
        <v>509</v>
      </c>
      <c r="I303" s="8" t="s">
        <v>1620</v>
      </c>
      <c r="J303" s="8" t="s">
        <v>938</v>
      </c>
      <c r="K303" s="24">
        <v>100</v>
      </c>
      <c r="L303" s="24">
        <v>5</v>
      </c>
      <c r="M303" s="9" t="s">
        <v>508</v>
      </c>
      <c r="N303" s="14">
        <v>1</v>
      </c>
      <c r="O303" s="14" t="s">
        <v>1559</v>
      </c>
    </row>
    <row r="304" spans="1:15" ht="13.5" hidden="1" x14ac:dyDescent="0.25">
      <c r="A304" s="10" t="s">
        <v>619</v>
      </c>
      <c r="B304" s="24" t="s">
        <v>104</v>
      </c>
      <c r="C304" s="23" t="s">
        <v>188</v>
      </c>
      <c r="D304" s="7" t="s">
        <v>189</v>
      </c>
      <c r="E304" s="7" t="s">
        <v>1790</v>
      </c>
      <c r="F304" s="8" t="s">
        <v>973</v>
      </c>
      <c r="G304" s="8" t="s">
        <v>536</v>
      </c>
      <c r="H304" s="8" t="s">
        <v>509</v>
      </c>
      <c r="I304" s="8" t="s">
        <v>1620</v>
      </c>
      <c r="J304" s="8" t="s">
        <v>974</v>
      </c>
      <c r="K304" s="24">
        <v>100</v>
      </c>
      <c r="L304" s="24">
        <v>5</v>
      </c>
      <c r="M304" s="9" t="s">
        <v>508</v>
      </c>
      <c r="N304" s="14">
        <v>1</v>
      </c>
      <c r="O304" s="14" t="s">
        <v>1559</v>
      </c>
    </row>
    <row r="305" spans="1:15" ht="13.5" hidden="1" x14ac:dyDescent="0.25">
      <c r="A305" s="10" t="s">
        <v>601</v>
      </c>
      <c r="B305" s="24" t="s">
        <v>104</v>
      </c>
      <c r="C305" s="23" t="s">
        <v>143</v>
      </c>
      <c r="D305" s="7" t="s">
        <v>144</v>
      </c>
      <c r="E305" s="7" t="s">
        <v>1791</v>
      </c>
      <c r="F305" s="8" t="s">
        <v>929</v>
      </c>
      <c r="G305" s="8" t="s">
        <v>536</v>
      </c>
      <c r="H305" s="8" t="s">
        <v>509</v>
      </c>
      <c r="I305" s="8" t="s">
        <v>1620</v>
      </c>
      <c r="J305" s="8" t="s">
        <v>930</v>
      </c>
      <c r="K305" s="24">
        <v>100</v>
      </c>
      <c r="L305" s="24">
        <v>5</v>
      </c>
      <c r="M305" s="9" t="s">
        <v>508</v>
      </c>
      <c r="N305" s="14">
        <v>1</v>
      </c>
      <c r="O305" s="14" t="s">
        <v>1559</v>
      </c>
    </row>
    <row r="306" spans="1:15" ht="13.5" hidden="1" x14ac:dyDescent="0.25">
      <c r="A306" s="10" t="s">
        <v>625</v>
      </c>
      <c r="B306" s="24" t="s">
        <v>104</v>
      </c>
      <c r="C306" s="23" t="s">
        <v>205</v>
      </c>
      <c r="D306" s="7" t="s">
        <v>206</v>
      </c>
      <c r="E306" s="7" t="s">
        <v>1934</v>
      </c>
      <c r="F306" s="8" t="s">
        <v>989</v>
      </c>
      <c r="G306" s="8" t="s">
        <v>536</v>
      </c>
      <c r="H306" s="8" t="s">
        <v>509</v>
      </c>
      <c r="I306" s="8" t="s">
        <v>1620</v>
      </c>
      <c r="J306" s="8" t="s">
        <v>990</v>
      </c>
      <c r="K306" s="24">
        <v>100</v>
      </c>
      <c r="L306" s="24">
        <v>5</v>
      </c>
      <c r="M306" s="9" t="s">
        <v>508</v>
      </c>
      <c r="N306" s="14">
        <v>1</v>
      </c>
      <c r="O306" s="14" t="s">
        <v>1559</v>
      </c>
    </row>
    <row r="307" spans="1:15" ht="13.5" hidden="1" x14ac:dyDescent="0.25">
      <c r="A307" s="10" t="s">
        <v>719</v>
      </c>
      <c r="B307" s="29" t="s">
        <v>280</v>
      </c>
      <c r="C307" s="23">
        <v>121</v>
      </c>
      <c r="D307" s="7" t="s">
        <v>339</v>
      </c>
      <c r="E307" s="7" t="s">
        <v>1758</v>
      </c>
      <c r="F307" s="8" t="s">
        <v>1246</v>
      </c>
      <c r="G307" s="8" t="s">
        <v>536</v>
      </c>
      <c r="H307" s="8" t="s">
        <v>509</v>
      </c>
      <c r="I307" s="8" t="s">
        <v>1620</v>
      </c>
      <c r="J307" s="8" t="s">
        <v>1247</v>
      </c>
      <c r="K307" s="24">
        <v>100</v>
      </c>
      <c r="L307" s="24">
        <v>5</v>
      </c>
      <c r="M307" s="9" t="s">
        <v>508</v>
      </c>
      <c r="N307" s="14">
        <v>1</v>
      </c>
      <c r="O307" s="14" t="s">
        <v>1559</v>
      </c>
    </row>
    <row r="308" spans="1:15" ht="13.5" hidden="1" x14ac:dyDescent="0.25">
      <c r="A308" s="10" t="s">
        <v>686</v>
      </c>
      <c r="B308" s="29" t="s">
        <v>280</v>
      </c>
      <c r="C308" s="23">
        <v>27</v>
      </c>
      <c r="D308" s="7" t="s">
        <v>299</v>
      </c>
      <c r="E308" s="7" t="s">
        <v>1762</v>
      </c>
      <c r="F308" s="8" t="s">
        <v>1184</v>
      </c>
      <c r="G308" s="8" t="s">
        <v>536</v>
      </c>
      <c r="H308" s="8" t="s">
        <v>509</v>
      </c>
      <c r="I308" s="8" t="s">
        <v>1620</v>
      </c>
      <c r="J308" s="8" t="s">
        <v>1185</v>
      </c>
      <c r="K308" s="24">
        <v>100</v>
      </c>
      <c r="L308" s="24">
        <v>5</v>
      </c>
      <c r="M308" s="9" t="s">
        <v>508</v>
      </c>
      <c r="N308" s="14">
        <v>1</v>
      </c>
      <c r="O308" s="14" t="s">
        <v>1559</v>
      </c>
    </row>
    <row r="309" spans="1:15" ht="13.5" hidden="1" x14ac:dyDescent="0.25">
      <c r="A309" s="10" t="s">
        <v>690</v>
      </c>
      <c r="B309" s="29" t="s">
        <v>280</v>
      </c>
      <c r="C309" s="23">
        <v>20</v>
      </c>
      <c r="D309" s="7" t="s">
        <v>305</v>
      </c>
      <c r="E309" s="7" t="s">
        <v>1784</v>
      </c>
      <c r="F309" s="8" t="s">
        <v>1192</v>
      </c>
      <c r="G309" s="8" t="s">
        <v>536</v>
      </c>
      <c r="H309" s="8" t="s">
        <v>509</v>
      </c>
      <c r="I309" s="8" t="s">
        <v>1620</v>
      </c>
      <c r="J309" s="8" t="s">
        <v>1193</v>
      </c>
      <c r="K309" s="24">
        <v>100</v>
      </c>
      <c r="L309" s="24">
        <v>5</v>
      </c>
      <c r="M309" s="9" t="s">
        <v>508</v>
      </c>
      <c r="N309" s="14">
        <v>1</v>
      </c>
      <c r="O309" s="14" t="s">
        <v>1559</v>
      </c>
    </row>
    <row r="310" spans="1:15" ht="13.5" hidden="1" x14ac:dyDescent="0.25">
      <c r="A310" s="10" t="s">
        <v>700</v>
      </c>
      <c r="B310" s="29" t="s">
        <v>280</v>
      </c>
      <c r="C310" s="23">
        <v>81</v>
      </c>
      <c r="D310" s="7" t="s">
        <v>317</v>
      </c>
      <c r="E310" s="7" t="s">
        <v>1763</v>
      </c>
      <c r="F310" s="8" t="s">
        <v>1120</v>
      </c>
      <c r="G310" s="8" t="s">
        <v>536</v>
      </c>
      <c r="H310" s="8" t="s">
        <v>509</v>
      </c>
      <c r="I310" s="8" t="s">
        <v>1620</v>
      </c>
      <c r="J310" s="8" t="s">
        <v>1121</v>
      </c>
      <c r="K310" s="24">
        <v>100</v>
      </c>
      <c r="L310" s="24">
        <v>5</v>
      </c>
      <c r="M310" s="9" t="s">
        <v>508</v>
      </c>
      <c r="N310" s="14">
        <v>1</v>
      </c>
      <c r="O310" s="14" t="s">
        <v>1559</v>
      </c>
    </row>
    <row r="311" spans="1:15" ht="13.5" hidden="1" x14ac:dyDescent="0.25">
      <c r="A311" s="10" t="s">
        <v>715</v>
      </c>
      <c r="B311" s="29" t="s">
        <v>280</v>
      </c>
      <c r="C311" s="23">
        <v>55</v>
      </c>
      <c r="D311" s="7" t="s">
        <v>335</v>
      </c>
      <c r="E311" s="7" t="s">
        <v>1780</v>
      </c>
      <c r="F311" s="8" t="s">
        <v>1238</v>
      </c>
      <c r="G311" s="8" t="s">
        <v>536</v>
      </c>
      <c r="H311" s="8" t="s">
        <v>509</v>
      </c>
      <c r="I311" s="8" t="s">
        <v>1620</v>
      </c>
      <c r="J311" s="8" t="s">
        <v>1239</v>
      </c>
      <c r="K311" s="24">
        <v>100</v>
      </c>
      <c r="L311" s="24">
        <v>5</v>
      </c>
      <c r="M311" s="9" t="s">
        <v>508</v>
      </c>
      <c r="N311" s="14">
        <v>1</v>
      </c>
      <c r="O311" s="14" t="s">
        <v>1559</v>
      </c>
    </row>
    <row r="312" spans="1:15" ht="13.5" hidden="1" x14ac:dyDescent="0.25">
      <c r="A312" s="10" t="s">
        <v>733</v>
      </c>
      <c r="B312" s="29" t="s">
        <v>280</v>
      </c>
      <c r="C312" s="23">
        <v>87</v>
      </c>
      <c r="D312" s="7" t="s">
        <v>356</v>
      </c>
      <c r="E312" s="7" t="s">
        <v>1674</v>
      </c>
      <c r="F312" s="8" t="s">
        <v>1272</v>
      </c>
      <c r="G312" s="8" t="s">
        <v>536</v>
      </c>
      <c r="H312" s="8" t="s">
        <v>509</v>
      </c>
      <c r="I312" s="8" t="s">
        <v>1620</v>
      </c>
      <c r="J312" s="8" t="s">
        <v>1273</v>
      </c>
      <c r="K312" s="24">
        <v>100</v>
      </c>
      <c r="L312" s="24">
        <v>5</v>
      </c>
      <c r="M312" s="9" t="s">
        <v>508</v>
      </c>
      <c r="N312" s="14">
        <v>1</v>
      </c>
      <c r="O312" s="14" t="s">
        <v>1559</v>
      </c>
    </row>
    <row r="313" spans="1:15" ht="13.5" hidden="1" x14ac:dyDescent="0.25">
      <c r="A313" s="81" t="s">
        <v>691</v>
      </c>
      <c r="B313" s="82" t="s">
        <v>280</v>
      </c>
      <c r="C313" s="83">
        <v>52</v>
      </c>
      <c r="D313" s="84" t="s">
        <v>306</v>
      </c>
      <c r="E313" s="7" t="s">
        <v>1786</v>
      </c>
      <c r="F313" s="9" t="s">
        <v>1194</v>
      </c>
      <c r="G313" s="8" t="s">
        <v>536</v>
      </c>
      <c r="H313" s="8" t="s">
        <v>509</v>
      </c>
      <c r="I313" s="8" t="s">
        <v>1620</v>
      </c>
      <c r="J313" s="9" t="s">
        <v>1195</v>
      </c>
      <c r="K313" s="24">
        <v>100</v>
      </c>
      <c r="L313" s="24">
        <v>5</v>
      </c>
      <c r="M313" s="9" t="s">
        <v>508</v>
      </c>
      <c r="N313" s="14">
        <v>1</v>
      </c>
      <c r="O313" s="14" t="s">
        <v>1559</v>
      </c>
    </row>
    <row r="314" spans="1:15" ht="13.5" hidden="1" x14ac:dyDescent="0.25">
      <c r="A314" s="81" t="s">
        <v>725</v>
      </c>
      <c r="B314" s="82" t="s">
        <v>280</v>
      </c>
      <c r="C314" s="83">
        <v>9</v>
      </c>
      <c r="D314" s="84" t="s">
        <v>345</v>
      </c>
      <c r="E314" s="7" t="s">
        <v>1788</v>
      </c>
      <c r="F314" s="9" t="s">
        <v>1254</v>
      </c>
      <c r="G314" s="8" t="s">
        <v>536</v>
      </c>
      <c r="H314" s="8" t="s">
        <v>509</v>
      </c>
      <c r="I314" s="8" t="s">
        <v>1620</v>
      </c>
      <c r="J314" s="9" t="s">
        <v>1255</v>
      </c>
      <c r="K314" s="24">
        <v>100</v>
      </c>
      <c r="L314" s="24">
        <v>5</v>
      </c>
      <c r="M314" s="9" t="s">
        <v>508</v>
      </c>
      <c r="N314" s="14">
        <v>1</v>
      </c>
      <c r="O314" s="14" t="s">
        <v>1559</v>
      </c>
    </row>
    <row r="315" spans="1:15" ht="13.5" hidden="1" x14ac:dyDescent="0.25">
      <c r="A315" s="81" t="s">
        <v>710</v>
      </c>
      <c r="B315" s="82" t="s">
        <v>280</v>
      </c>
      <c r="C315" s="83">
        <v>59</v>
      </c>
      <c r="D315" s="84" t="s">
        <v>328</v>
      </c>
      <c r="E315" s="7" t="s">
        <v>1785</v>
      </c>
      <c r="F315" s="9" t="s">
        <v>1228</v>
      </c>
      <c r="G315" s="8" t="s">
        <v>536</v>
      </c>
      <c r="H315" s="8" t="s">
        <v>509</v>
      </c>
      <c r="I315" s="8" t="s">
        <v>1620</v>
      </c>
      <c r="J315" s="9" t="s">
        <v>1229</v>
      </c>
      <c r="K315" s="24">
        <v>100</v>
      </c>
      <c r="L315" s="24">
        <v>5</v>
      </c>
      <c r="M315" s="9" t="s">
        <v>508</v>
      </c>
      <c r="N315" s="14">
        <v>1</v>
      </c>
      <c r="O315" s="14" t="s">
        <v>1559</v>
      </c>
    </row>
    <row r="316" spans="1:15" ht="13.5" hidden="1" x14ac:dyDescent="0.25">
      <c r="A316" s="81" t="s">
        <v>721</v>
      </c>
      <c r="B316" s="82" t="s">
        <v>280</v>
      </c>
      <c r="C316" s="83">
        <v>117</v>
      </c>
      <c r="D316" s="84" t="s">
        <v>341</v>
      </c>
      <c r="E316" s="7" t="s">
        <v>1787</v>
      </c>
      <c r="F316" s="9" t="s">
        <v>1128</v>
      </c>
      <c r="G316" s="8" t="s">
        <v>536</v>
      </c>
      <c r="H316" s="8" t="s">
        <v>509</v>
      </c>
      <c r="I316" s="8" t="s">
        <v>1620</v>
      </c>
      <c r="J316" s="9" t="s">
        <v>1129</v>
      </c>
      <c r="K316" s="24">
        <v>100</v>
      </c>
      <c r="L316" s="24">
        <v>5</v>
      </c>
      <c r="M316" s="9" t="s">
        <v>508</v>
      </c>
      <c r="N316" s="14">
        <v>1</v>
      </c>
      <c r="O316" s="14" t="s">
        <v>1559</v>
      </c>
    </row>
    <row r="317" spans="1:15" ht="13.5" hidden="1" x14ac:dyDescent="0.25">
      <c r="A317" s="81" t="s">
        <v>692</v>
      </c>
      <c r="B317" s="82" t="s">
        <v>280</v>
      </c>
      <c r="C317" s="83">
        <v>176</v>
      </c>
      <c r="D317" s="84" t="s">
        <v>307</v>
      </c>
      <c r="E317" s="7" t="s">
        <v>1777</v>
      </c>
      <c r="F317" s="9" t="s">
        <v>1122</v>
      </c>
      <c r="G317" s="8" t="s">
        <v>536</v>
      </c>
      <c r="H317" s="8" t="s">
        <v>509</v>
      </c>
      <c r="I317" s="8" t="s">
        <v>1620</v>
      </c>
      <c r="J317" s="9" t="s">
        <v>1123</v>
      </c>
      <c r="K317" s="24">
        <v>100</v>
      </c>
      <c r="L317" s="24">
        <v>5</v>
      </c>
      <c r="M317" s="9" t="s">
        <v>508</v>
      </c>
      <c r="N317" s="14">
        <v>1</v>
      </c>
      <c r="O317" s="14" t="s">
        <v>1559</v>
      </c>
    </row>
    <row r="318" spans="1:15" ht="13.5" hidden="1" x14ac:dyDescent="0.25">
      <c r="A318" s="81" t="s">
        <v>732</v>
      </c>
      <c r="B318" s="82" t="s">
        <v>280</v>
      </c>
      <c r="C318" s="83">
        <v>75</v>
      </c>
      <c r="D318" s="84" t="s">
        <v>355</v>
      </c>
      <c r="E318" s="7" t="s">
        <v>1771</v>
      </c>
      <c r="F318" s="9" t="s">
        <v>1270</v>
      </c>
      <c r="G318" s="8" t="s">
        <v>536</v>
      </c>
      <c r="H318" s="8" t="s">
        <v>509</v>
      </c>
      <c r="I318" s="8" t="s">
        <v>1620</v>
      </c>
      <c r="J318" s="9" t="s">
        <v>1271</v>
      </c>
      <c r="K318" s="24">
        <v>100</v>
      </c>
      <c r="L318" s="24">
        <v>5</v>
      </c>
      <c r="M318" s="9" t="s">
        <v>508</v>
      </c>
      <c r="N318" s="14">
        <v>1</v>
      </c>
      <c r="O318" s="14" t="s">
        <v>1559</v>
      </c>
    </row>
    <row r="319" spans="1:15" ht="13.5" hidden="1" x14ac:dyDescent="0.25">
      <c r="A319" s="81" t="s">
        <v>701</v>
      </c>
      <c r="B319" s="82" t="s">
        <v>280</v>
      </c>
      <c r="C319" s="83">
        <v>63</v>
      </c>
      <c r="D319" s="84" t="s">
        <v>318</v>
      </c>
      <c r="E319" s="7" t="s">
        <v>1789</v>
      </c>
      <c r="F319" s="9" t="s">
        <v>1210</v>
      </c>
      <c r="G319" s="8" t="s">
        <v>536</v>
      </c>
      <c r="H319" s="8" t="s">
        <v>509</v>
      </c>
      <c r="I319" s="8" t="s">
        <v>1620</v>
      </c>
      <c r="J319" s="9" t="s">
        <v>1211</v>
      </c>
      <c r="K319" s="24">
        <v>100</v>
      </c>
      <c r="L319" s="24">
        <v>5</v>
      </c>
      <c r="M319" s="9" t="s">
        <v>508</v>
      </c>
      <c r="N319" s="14">
        <v>1</v>
      </c>
      <c r="O319" s="14" t="s">
        <v>1559</v>
      </c>
    </row>
    <row r="320" spans="1:15" ht="13.5" hidden="1" x14ac:dyDescent="0.25">
      <c r="A320" s="81" t="s">
        <v>722</v>
      </c>
      <c r="B320" s="82" t="s">
        <v>280</v>
      </c>
      <c r="C320" s="83">
        <v>103</v>
      </c>
      <c r="D320" s="84" t="s">
        <v>96</v>
      </c>
      <c r="E320" s="7" t="s">
        <v>1775</v>
      </c>
      <c r="F320" s="9" t="s">
        <v>1250</v>
      </c>
      <c r="G320" s="8" t="s">
        <v>536</v>
      </c>
      <c r="H320" s="8" t="s">
        <v>509</v>
      </c>
      <c r="I320" s="8" t="s">
        <v>1620</v>
      </c>
      <c r="J320" s="9" t="s">
        <v>1251</v>
      </c>
      <c r="K320" s="24">
        <v>100</v>
      </c>
      <c r="L320" s="24">
        <v>5</v>
      </c>
      <c r="M320" s="9" t="s">
        <v>508</v>
      </c>
      <c r="N320" s="14">
        <v>1</v>
      </c>
      <c r="O320" s="14" t="s">
        <v>1559</v>
      </c>
    </row>
    <row r="321" spans="1:15" ht="13.5" hidden="1" x14ac:dyDescent="0.25">
      <c r="A321" s="81" t="s">
        <v>627</v>
      </c>
      <c r="B321" s="14" t="s">
        <v>104</v>
      </c>
      <c r="C321" s="83" t="s">
        <v>452</v>
      </c>
      <c r="D321" s="84" t="s">
        <v>453</v>
      </c>
      <c r="E321" s="7" t="s">
        <v>1844</v>
      </c>
      <c r="F321" s="9" t="s">
        <v>993</v>
      </c>
      <c r="G321" s="8" t="s">
        <v>93</v>
      </c>
      <c r="H321" s="8" t="s">
        <v>1610</v>
      </c>
      <c r="I321" s="8" t="s">
        <v>1627</v>
      </c>
      <c r="J321" s="9" t="s">
        <v>994</v>
      </c>
      <c r="K321" s="24">
        <v>100</v>
      </c>
      <c r="L321" s="24">
        <v>5</v>
      </c>
      <c r="M321" s="9" t="s">
        <v>2376</v>
      </c>
      <c r="N321" s="14"/>
      <c r="O321" s="14" t="s">
        <v>1559</v>
      </c>
    </row>
    <row r="322" spans="1:15" ht="13.5" hidden="1" x14ac:dyDescent="0.25">
      <c r="A322" s="81" t="s">
        <v>628</v>
      </c>
      <c r="B322" s="14" t="s">
        <v>104</v>
      </c>
      <c r="C322" s="83" t="s">
        <v>497</v>
      </c>
      <c r="D322" s="84" t="s">
        <v>498</v>
      </c>
      <c r="E322" s="7" t="s">
        <v>1938</v>
      </c>
      <c r="F322" s="9" t="s">
        <v>995</v>
      </c>
      <c r="G322" s="8" t="s">
        <v>541</v>
      </c>
      <c r="H322" s="8" t="s">
        <v>1610</v>
      </c>
      <c r="I322" s="8" t="s">
        <v>1627</v>
      </c>
      <c r="J322" s="9" t="s">
        <v>996</v>
      </c>
      <c r="K322" s="24">
        <v>100</v>
      </c>
      <c r="L322" s="24">
        <v>5</v>
      </c>
      <c r="M322" s="9" t="s">
        <v>2376</v>
      </c>
      <c r="N322" s="14"/>
      <c r="O322" s="14" t="s">
        <v>1559</v>
      </c>
    </row>
    <row r="323" spans="1:15" ht="13.5" hidden="1" x14ac:dyDescent="0.25">
      <c r="A323" s="81" t="s">
        <v>793</v>
      </c>
      <c r="B323" s="82" t="s">
        <v>226</v>
      </c>
      <c r="C323" s="83">
        <v>404</v>
      </c>
      <c r="D323" s="84" t="s">
        <v>229</v>
      </c>
      <c r="E323" s="7" t="s">
        <v>1952</v>
      </c>
      <c r="F323" s="9" t="s">
        <v>1042</v>
      </c>
      <c r="G323" s="8" t="s">
        <v>93</v>
      </c>
      <c r="H323" s="8" t="s">
        <v>1610</v>
      </c>
      <c r="I323" s="8" t="s">
        <v>1627</v>
      </c>
      <c r="J323" s="9" t="s">
        <v>1043</v>
      </c>
      <c r="K323" s="24">
        <v>100</v>
      </c>
      <c r="L323" s="24">
        <v>5</v>
      </c>
      <c r="M323" s="9" t="s">
        <v>2376</v>
      </c>
      <c r="N323" s="14"/>
      <c r="O323" s="14" t="s">
        <v>1559</v>
      </c>
    </row>
    <row r="324" spans="1:15" ht="13.5" hidden="1" x14ac:dyDescent="0.25">
      <c r="A324" s="81" t="s">
        <v>661</v>
      </c>
      <c r="B324" s="82" t="s">
        <v>230</v>
      </c>
      <c r="C324" s="83">
        <v>2937</v>
      </c>
      <c r="D324" s="84" t="s">
        <v>244</v>
      </c>
      <c r="E324" s="7" t="s">
        <v>1843</v>
      </c>
      <c r="F324" s="9" t="s">
        <v>1070</v>
      </c>
      <c r="G324" s="8" t="s">
        <v>93</v>
      </c>
      <c r="H324" s="8" t="s">
        <v>1610</v>
      </c>
      <c r="I324" s="8" t="s">
        <v>1627</v>
      </c>
      <c r="J324" s="9" t="s">
        <v>1071</v>
      </c>
      <c r="K324" s="24">
        <v>100</v>
      </c>
      <c r="L324" s="24">
        <v>5</v>
      </c>
      <c r="M324" s="9" t="s">
        <v>2376</v>
      </c>
      <c r="N324" s="14"/>
      <c r="O324" s="14" t="s">
        <v>1559</v>
      </c>
    </row>
    <row r="325" spans="1:15" ht="13.5" hidden="1" x14ac:dyDescent="0.25">
      <c r="A325" s="81" t="s">
        <v>667</v>
      </c>
      <c r="B325" s="82" t="s">
        <v>230</v>
      </c>
      <c r="C325" s="83">
        <v>2918</v>
      </c>
      <c r="D325" s="84" t="s">
        <v>451</v>
      </c>
      <c r="E325" s="7" t="s">
        <v>1819</v>
      </c>
      <c r="F325" s="9" t="s">
        <v>1082</v>
      </c>
      <c r="G325" s="8" t="s">
        <v>451</v>
      </c>
      <c r="H325" s="8" t="s">
        <v>1610</v>
      </c>
      <c r="I325" s="8" t="s">
        <v>1627</v>
      </c>
      <c r="J325" s="9" t="s">
        <v>1083</v>
      </c>
      <c r="K325" s="24">
        <v>100</v>
      </c>
      <c r="L325" s="24">
        <v>5</v>
      </c>
      <c r="M325" s="9" t="s">
        <v>2376</v>
      </c>
      <c r="N325" s="14"/>
      <c r="O325" s="14" t="s">
        <v>1559</v>
      </c>
    </row>
    <row r="326" spans="1:15" ht="13.5" hidden="1" x14ac:dyDescent="0.25">
      <c r="A326" s="81" t="s">
        <v>660</v>
      </c>
      <c r="B326" s="82" t="s">
        <v>230</v>
      </c>
      <c r="C326" s="83">
        <v>2984</v>
      </c>
      <c r="D326" s="84" t="s">
        <v>245</v>
      </c>
      <c r="E326" s="7" t="s">
        <v>1841</v>
      </c>
      <c r="F326" s="9" t="s">
        <v>1068</v>
      </c>
      <c r="G326" s="8" t="s">
        <v>93</v>
      </c>
      <c r="H326" s="8" t="s">
        <v>1610</v>
      </c>
      <c r="I326" s="8" t="s">
        <v>1627</v>
      </c>
      <c r="J326" s="9" t="s">
        <v>1069</v>
      </c>
      <c r="K326" s="24">
        <v>100</v>
      </c>
      <c r="L326" s="24">
        <v>5</v>
      </c>
      <c r="M326" s="9" t="s">
        <v>2376</v>
      </c>
      <c r="N326" s="14"/>
      <c r="O326" s="14" t="s">
        <v>1559</v>
      </c>
    </row>
    <row r="327" spans="1:15" ht="13.5" hidden="1" x14ac:dyDescent="0.25">
      <c r="A327" s="81" t="s">
        <v>812</v>
      </c>
      <c r="B327" s="82" t="s">
        <v>264</v>
      </c>
      <c r="C327" s="82">
        <v>166</v>
      </c>
      <c r="D327" s="81" t="s">
        <v>454</v>
      </c>
      <c r="E327" s="10" t="s">
        <v>1839</v>
      </c>
      <c r="F327" s="9" t="s">
        <v>1148</v>
      </c>
      <c r="G327" s="8" t="s">
        <v>516</v>
      </c>
      <c r="H327" s="8" t="s">
        <v>1610</v>
      </c>
      <c r="I327" s="8" t="s">
        <v>1627</v>
      </c>
      <c r="J327" s="9" t="s">
        <v>1149</v>
      </c>
      <c r="K327" s="24">
        <v>100</v>
      </c>
      <c r="L327" s="24">
        <v>5</v>
      </c>
      <c r="M327" s="9" t="s">
        <v>2376</v>
      </c>
      <c r="N327" s="14"/>
      <c r="O327" s="14" t="s">
        <v>1559</v>
      </c>
    </row>
    <row r="328" spans="1:15" ht="13.5" hidden="1" x14ac:dyDescent="0.25">
      <c r="A328" s="81" t="s">
        <v>580</v>
      </c>
      <c r="B328" s="82" t="s">
        <v>90</v>
      </c>
      <c r="C328" s="83">
        <v>1014</v>
      </c>
      <c r="D328" s="84" t="s">
        <v>92</v>
      </c>
      <c r="E328" s="7" t="s">
        <v>1842</v>
      </c>
      <c r="F328" s="9" t="s">
        <v>887</v>
      </c>
      <c r="G328" s="8" t="s">
        <v>93</v>
      </c>
      <c r="H328" s="8" t="s">
        <v>1610</v>
      </c>
      <c r="I328" s="8" t="s">
        <v>1627</v>
      </c>
      <c r="J328" s="9" t="s">
        <v>888</v>
      </c>
      <c r="K328" s="24">
        <v>100</v>
      </c>
      <c r="L328" s="24">
        <v>5</v>
      </c>
      <c r="M328" s="9" t="s">
        <v>2376</v>
      </c>
      <c r="N328" s="14"/>
      <c r="O328" s="14" t="s">
        <v>1559</v>
      </c>
    </row>
  </sheetData>
  <conditionalFormatting sqref="A2:A328">
    <cfRule type="duplicateValues" dxfId="38" priority="1"/>
  </conditionalFormatting>
  <conditionalFormatting sqref="F2:F328">
    <cfRule type="duplicateValues" dxfId="37" priority="2"/>
  </conditionalFormatting>
  <conditionalFormatting sqref="F329:G1048576 F1">
    <cfRule type="duplicateValues" dxfId="36" priority="23"/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36</vt:i4>
      </vt:variant>
    </vt:vector>
  </HeadingPairs>
  <TitlesOfParts>
    <vt:vector size="40" baseType="lpstr">
      <vt:lpstr>Resumen</vt:lpstr>
      <vt:lpstr>Hoja6</vt:lpstr>
      <vt:lpstr>Rol Abril 2026</vt:lpstr>
      <vt:lpstr>PDV</vt:lpstr>
      <vt:lpstr>ID_BENAVIDES</vt:lpstr>
      <vt:lpstr>ID_CHEDRAUI</vt:lpstr>
      <vt:lpstr>ID_CITY_MARKET</vt:lpstr>
      <vt:lpstr>ID_EL_PALACIO_DE_HIERRO</vt:lpstr>
      <vt:lpstr>ID_ESPECIALIZADAS</vt:lpstr>
      <vt:lpstr>ID_F_AHORRO_DERMA</vt:lpstr>
      <vt:lpstr>ID_FLEMING</vt:lpstr>
      <vt:lpstr>ID_FRAGUA</vt:lpstr>
      <vt:lpstr>ID_FRESKO</vt:lpstr>
      <vt:lpstr>ID_HEB</vt:lpstr>
      <vt:lpstr>ID_LA_COMER</vt:lpstr>
      <vt:lpstr>ID_LIVERPOOL</vt:lpstr>
      <vt:lpstr>ID_SAN_PABLO</vt:lpstr>
      <vt:lpstr>ID_SANAPIEL</vt:lpstr>
      <vt:lpstr>ID_SANBORNS</vt:lpstr>
      <vt:lpstr>ID_SEARS</vt:lpstr>
      <vt:lpstr>ID_SEPHORA</vt:lpstr>
      <vt:lpstr>ID_SORIANA</vt:lpstr>
      <vt:lpstr>SUC_BENAVIDES</vt:lpstr>
      <vt:lpstr>SUC_CHEDRAUI</vt:lpstr>
      <vt:lpstr>SUC_CITY_MARKET</vt:lpstr>
      <vt:lpstr>SUC_EL_PALACIO_DE_HIERRO</vt:lpstr>
      <vt:lpstr>SUC_ESPECIALIZADAS</vt:lpstr>
      <vt:lpstr>SUC_F_AHORRO_DERMA</vt:lpstr>
      <vt:lpstr>SUC_FLEMING</vt:lpstr>
      <vt:lpstr>SUC_FRAGUA</vt:lpstr>
      <vt:lpstr>SUC_FRESKO</vt:lpstr>
      <vt:lpstr>SUC_HEB</vt:lpstr>
      <vt:lpstr>SUC_LA_COMER</vt:lpstr>
      <vt:lpstr>SUC_LIVERPOOL</vt:lpstr>
      <vt:lpstr>SUC_SAN_PABLO</vt:lpstr>
      <vt:lpstr>SUC_SANAPIEL</vt:lpstr>
      <vt:lpstr>SUC_SANBORNS</vt:lpstr>
      <vt:lpstr>SUC_SEARS</vt:lpstr>
      <vt:lpstr>SUC_SEPHORA</vt:lpstr>
      <vt:lpstr>SUC_SORIANA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Viridiana Avila de Serna</dc:creator>
  <cp:keywords/>
  <dc:description/>
  <cp:lastModifiedBy>Héctor Eduardo Valle Rodríguez</cp:lastModifiedBy>
  <cp:revision/>
  <dcterms:created xsi:type="dcterms:W3CDTF">2025-01-13T16:31:58Z</dcterms:created>
  <dcterms:modified xsi:type="dcterms:W3CDTF">2026-04-01T23:12:00Z</dcterms:modified>
  <cp:category/>
  <cp:contentStatus/>
</cp:coreProperties>
</file>