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13_ncr:1_{009FC0E7-45BE-4757-A8BA-0848867193B0}" xr6:coauthVersionLast="47" xr6:coauthVersionMax="47" xr10:uidLastSave="{00000000-0000-0000-0000-000000000000}"/>
  <bookViews>
    <workbookView xWindow="-120" yWindow="-120" windowWidth="29040" windowHeight="15720" xr2:uid="{DB2827E1-ED4B-4F6F-BAF4-7F9B1A20B68B}"/>
  </bookViews>
  <sheets>
    <sheet name="Hoja1" sheetId="1" r:id="rId1"/>
    <sheet name="Hoja2" sheetId="2" r:id="rId2"/>
  </sheets>
  <externalReferences>
    <externalReference r:id="rId3"/>
  </externalReferences>
  <definedNames>
    <definedName name="_xlnm._FilterDatabase" localSheetId="1" hidden="1">Hoja2!$A$1:$C$29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8" i="1" l="1"/>
  <c r="S227" i="1"/>
  <c r="S230" i="1"/>
  <c r="S229" i="1"/>
  <c r="S231" i="1"/>
  <c r="R228" i="1"/>
  <c r="R227" i="1"/>
  <c r="R230" i="1"/>
  <c r="R229" i="1"/>
  <c r="R231" i="1"/>
  <c r="N228" i="1"/>
  <c r="N227" i="1"/>
  <c r="N230" i="1"/>
  <c r="N229" i="1"/>
  <c r="N231" i="1"/>
  <c r="M228" i="1"/>
  <c r="M227" i="1"/>
  <c r="M230" i="1"/>
  <c r="M229" i="1"/>
  <c r="M231" i="1"/>
  <c r="L228" i="1"/>
  <c r="L227" i="1"/>
  <c r="L230" i="1"/>
  <c r="L229" i="1"/>
  <c r="L231" i="1"/>
</calcChain>
</file>

<file path=xl/sharedStrings.xml><?xml version="1.0" encoding="utf-8"?>
<sst xmlns="http://schemas.openxmlformats.org/spreadsheetml/2006/main" count="3054" uniqueCount="2030">
  <si>
    <t>NSS</t>
  </si>
  <si>
    <t>Nombre</t>
  </si>
  <si>
    <t>CORREO</t>
  </si>
  <si>
    <t>84099030367</t>
  </si>
  <si>
    <t>ABAN CANUL ADDY GRACIELA</t>
  </si>
  <si>
    <t>addy.aban.90@gmail.com</t>
  </si>
  <si>
    <t>46149331210</t>
  </si>
  <si>
    <t>ACOSTA PEREZ SHARENI DAYZU</t>
  </si>
  <si>
    <t>shareniacosta64@gmail.com</t>
  </si>
  <si>
    <t>30018335874</t>
  </si>
  <si>
    <t>AGUILAR ANAYA MARISOL</t>
  </si>
  <si>
    <t>amiwis83@hotmail.com</t>
  </si>
  <si>
    <t>45007904779</t>
  </si>
  <si>
    <t xml:space="preserve">AGUILAR CABRERA TRINIDAD                          </t>
  </si>
  <si>
    <t>trinyaguilarcabrera02@g</t>
  </si>
  <si>
    <t>01028514576</t>
  </si>
  <si>
    <t xml:space="preserve">AGUILAR ROMERO ROXANA                             </t>
  </si>
  <si>
    <t>07rofana@gmail.com</t>
  </si>
  <si>
    <t>42978202218</t>
  </si>
  <si>
    <t xml:space="preserve">AGUIRRE CAMACHO ATZIN SUSANA                      </t>
  </si>
  <si>
    <t>s0567271@gmail.com</t>
  </si>
  <si>
    <t>19149629164</t>
  </si>
  <si>
    <t>ALAMO VELAZQUEZ VANESSA</t>
  </si>
  <si>
    <t>va9532139@gmail.com</t>
  </si>
  <si>
    <t>01139832917</t>
  </si>
  <si>
    <t>ALANIS ALARCON ANGEL URIEL</t>
  </si>
  <si>
    <t>jakeskate1118@gmail.com</t>
  </si>
  <si>
    <t>65957765020</t>
  </si>
  <si>
    <t xml:space="preserve">ALARCON MORALES ANDREA CONCEPCION                 </t>
  </si>
  <si>
    <t>andreux_30@hotmail.com</t>
  </si>
  <si>
    <t>23099113161</t>
  </si>
  <si>
    <t xml:space="preserve">ALARCON SICAIROS MARIA LETICIA                    </t>
  </si>
  <si>
    <t>lettyalarconsicairos@gmail.com</t>
  </si>
  <si>
    <t>23098909064</t>
  </si>
  <si>
    <t>ALARCON SICAIROS ROSA ISELA</t>
  </si>
  <si>
    <t>isselasicairos814@gmail.com</t>
  </si>
  <si>
    <t>44179813488</t>
  </si>
  <si>
    <t>ALCANTARA VALLE MARIA JOSE</t>
  </si>
  <si>
    <t>marijo.strellita@gmail.com</t>
  </si>
  <si>
    <t>45896968760</t>
  </si>
  <si>
    <t xml:space="preserve">ALVAREZ LOPEZ NORMA IVONNE                        </t>
  </si>
  <si>
    <t>normaivonne826@gmail.com</t>
  </si>
  <si>
    <t>43998221089</t>
  </si>
  <si>
    <t xml:space="preserve">ALVAREZ ZAMORES YAHAIRA BERENICE                  </t>
  </si>
  <si>
    <t>yahairabere.82@gmail.com</t>
  </si>
  <si>
    <t>47947651411</t>
  </si>
  <si>
    <t>ANIMAS SAUCEDO ANA CRISTINA</t>
  </si>
  <si>
    <t>anita.llaverito@gmail.com</t>
  </si>
  <si>
    <t>62169288248</t>
  </si>
  <si>
    <t xml:space="preserve">APARICIO CONTRERAS MARLEN YOSELIN                 </t>
  </si>
  <si>
    <t>marlencontreras304@gmail.com</t>
  </si>
  <si>
    <t>08169617183</t>
  </si>
  <si>
    <t>AQUINO ALLENDE ITZEL</t>
  </si>
  <si>
    <t>itzelallende96@gmail.com</t>
  </si>
  <si>
    <t>96139240442</t>
  </si>
  <si>
    <t xml:space="preserve">ARELLANO VAZQUEZ YANETH VALERIA                   </t>
  </si>
  <si>
    <t>Ayanethvaleria@gmail.com</t>
  </si>
  <si>
    <t>24877055020</t>
  </si>
  <si>
    <t>ARIAS SANCHEZ ANGELICA</t>
  </si>
  <si>
    <t>angelicaarias160@gmail.com</t>
  </si>
  <si>
    <t>48028324001</t>
  </si>
  <si>
    <t xml:space="preserve">ARIAS SANTOS ELIZABETH                            </t>
  </si>
  <si>
    <t>aise_83091390@yahoo.coma</t>
  </si>
  <si>
    <t>17199984109</t>
  </si>
  <si>
    <t>AVALOS CARMONA LUCERO JAQUELINE</t>
  </si>
  <si>
    <t>jaquelineavalos067@gmail.com</t>
  </si>
  <si>
    <t>19159632363</t>
  </si>
  <si>
    <t>AVILA BELTRAN FRANCIA ALINEY</t>
  </si>
  <si>
    <t>falineyabeltran@gmail.com</t>
  </si>
  <si>
    <t>23109029811</t>
  </si>
  <si>
    <t xml:space="preserve">AVILA BELTRAN GLORIA MARIBEL                      </t>
  </si>
  <si>
    <t>frisma.k69@gmail.com</t>
  </si>
  <si>
    <t>25240580768</t>
  </si>
  <si>
    <t>AYALA KIMBERLY MICHELLE</t>
  </si>
  <si>
    <t>ayala_michelle3@icloud.com</t>
  </si>
  <si>
    <t>45058107405</t>
  </si>
  <si>
    <t>AYALA SUAREZ MIRIAM</t>
  </si>
  <si>
    <t>ayalamiriam934@gmail.com</t>
  </si>
  <si>
    <t>35169519267</t>
  </si>
  <si>
    <t>BALDERAS FLORES KRISNA WENDY</t>
  </si>
  <si>
    <t>krisnaflores250316@gmail.com</t>
  </si>
  <si>
    <t>40927608402</t>
  </si>
  <si>
    <t>BALLESTEROS AUREOLES GABRIELA</t>
  </si>
  <si>
    <t>gabiballesteros_17@hotmail.com</t>
  </si>
  <si>
    <t>23068714429</t>
  </si>
  <si>
    <t xml:space="preserve">BARBA NAVARRO CLAUDIA LIZETH                      </t>
  </si>
  <si>
    <t>barbanavarro24@gmail.com</t>
  </si>
  <si>
    <t>30137500432</t>
  </si>
  <si>
    <t xml:space="preserve">BARRERA ROMERO ADRIANA                            </t>
  </si>
  <si>
    <t>lunadrii2312@gmail.com</t>
  </si>
  <si>
    <t>62968164764</t>
  </si>
  <si>
    <t xml:space="preserve">BAUTISTA CORONA MIRIAM                            </t>
  </si>
  <si>
    <t>miri198114@gmail.com</t>
  </si>
  <si>
    <t>48078402814</t>
  </si>
  <si>
    <t xml:space="preserve">BAUTISTA CORONA REYNA                             </t>
  </si>
  <si>
    <t>coroareny@gmail.com</t>
  </si>
  <si>
    <t>16089133116</t>
  </si>
  <si>
    <t>BETANCOURT BERNAL KAREN MARISOL</t>
  </si>
  <si>
    <t>Betancov_2123@outlook.com</t>
  </si>
  <si>
    <t>43066202391</t>
  </si>
  <si>
    <t>BLANCO CANALES ARCELIA</t>
  </si>
  <si>
    <t>arceliablanco481@gmail.com</t>
  </si>
  <si>
    <t>03239432630</t>
  </si>
  <si>
    <t>BOLAÑOS TREJO FERNANDA ESTEFANIA</t>
  </si>
  <si>
    <t>fernandabolanos997@gmail.com</t>
  </si>
  <si>
    <t>43836665976</t>
  </si>
  <si>
    <t xml:space="preserve">BUSTOS MARTINEZ LAURA ANGELICA                    </t>
  </si>
  <si>
    <t>lauang20181@hotmail.com</t>
  </si>
  <si>
    <t>45988220138</t>
  </si>
  <si>
    <t xml:space="preserve">CALDERON GARCIA JESSICA                           </t>
  </si>
  <si>
    <t>jessicacalderon713@gmail.com</t>
  </si>
  <si>
    <t>45028610231</t>
  </si>
  <si>
    <t>CALDERON GARCIA MARIA DE LOS ANGELES</t>
  </si>
  <si>
    <t>angiecalgar25@gmail.com</t>
  </si>
  <si>
    <t>23048676516</t>
  </si>
  <si>
    <t>CARAVEO RUIZ YARED</t>
  </si>
  <si>
    <t>charlycer8@hotmail.com</t>
  </si>
  <si>
    <t>39957844036</t>
  </si>
  <si>
    <t xml:space="preserve">CARMONA FLORES YENI                               </t>
  </si>
  <si>
    <t>jydacarmona@ gmail. com</t>
  </si>
  <si>
    <t>38169536125</t>
  </si>
  <si>
    <t xml:space="preserve">CARRANZA HERREJON JENNIFER                        </t>
  </si>
  <si>
    <t>carjenn1410@gamil.com</t>
  </si>
  <si>
    <t>23927546350</t>
  </si>
  <si>
    <t xml:space="preserve">CARREÑO MONREAL MARIA TERESA                      </t>
  </si>
  <si>
    <t>carrenoteresa249@gmail.com</t>
  </si>
  <si>
    <t>19170126742</t>
  </si>
  <si>
    <t>CASTILLO OLVERA EVELYN</t>
  </si>
  <si>
    <t>evecas73@gmail.com</t>
  </si>
  <si>
    <t>25169862627</t>
  </si>
  <si>
    <t xml:space="preserve">CELIS CHABLE GABRIELA ASUNCION                    </t>
  </si>
  <si>
    <t>asunciong60@gmail.com</t>
  </si>
  <si>
    <t>45038317629</t>
  </si>
  <si>
    <t xml:space="preserve">CHAVEZ RAMOS JONATAN RAYMUNDO                     </t>
  </si>
  <si>
    <t>jonatanchavez596@gmail.com</t>
  </si>
  <si>
    <t>43887100865</t>
  </si>
  <si>
    <t xml:space="preserve">CIENFUEGOS FLORES LAURA ELENA                     </t>
  </si>
  <si>
    <t>cienfuegoselena182@gmail.com</t>
  </si>
  <si>
    <t>37008228944</t>
  </si>
  <si>
    <t xml:space="preserve">CONTRERAS CALDERON EDITH TERESA                   </t>
  </si>
  <si>
    <t>contrerasedith749@gmail.com</t>
  </si>
  <si>
    <t>04077504530</t>
  </si>
  <si>
    <t>CONTRERAS MORALES BIANKA ARACELI</t>
  </si>
  <si>
    <t>contreras_bibi13@hotmail.com</t>
  </si>
  <si>
    <t>48048559644</t>
  </si>
  <si>
    <t xml:space="preserve">CORONEL JUAREZ MARISOL                            </t>
  </si>
  <si>
    <t>beutiful210385@gmail.com</t>
  </si>
  <si>
    <t>11119003181</t>
  </si>
  <si>
    <t>CORONILLA ALBA GUADALUPE CAROLINA</t>
  </si>
  <si>
    <t>ccoronilla13@gmail.com</t>
  </si>
  <si>
    <t>23856510385</t>
  </si>
  <si>
    <t xml:space="preserve">CORRALES ORTIZ OLGA LETICIA                       </t>
  </si>
  <si>
    <t>olgaleticiacorralesortiz@gmail.com</t>
  </si>
  <si>
    <t>08170368271</t>
  </si>
  <si>
    <t>COVARRUBIAS HERNANDEZ KELVIN ORLANDO</t>
  </si>
  <si>
    <t>kelvincovarrubias00@gmail.com</t>
  </si>
  <si>
    <t>11846680475</t>
  </si>
  <si>
    <t xml:space="preserve">CRESPO SANTIAGO SANDRA LUZ                        </t>
  </si>
  <si>
    <t>cresposandra88@gmail.com</t>
  </si>
  <si>
    <t>39129224711</t>
  </si>
  <si>
    <t xml:space="preserve">CRUZ RAMON XOCHITL                                </t>
  </si>
  <si>
    <t>flord609@gmail.com</t>
  </si>
  <si>
    <t>45876757639</t>
  </si>
  <si>
    <t xml:space="preserve">CUAHUTLE ZAMORA NORMA                             </t>
  </si>
  <si>
    <t>norma1821.nz@gmail.com</t>
  </si>
  <si>
    <t>28008104227</t>
  </si>
  <si>
    <t xml:space="preserve">CUEVAS SOTELO MIREYA                              </t>
  </si>
  <si>
    <t>yaremicvs00@gmail.com</t>
  </si>
  <si>
    <t>20058810928</t>
  </si>
  <si>
    <t>DE LEON CORONA ALAN MAURICIO</t>
  </si>
  <si>
    <t>maryfloruribe67@gmail.com</t>
  </si>
  <si>
    <t>28037400109</t>
  </si>
  <si>
    <t>DIAZ ALCALA JOEL</t>
  </si>
  <si>
    <t>alcalajoel.07@gmail.com</t>
  </si>
  <si>
    <t>45088412528</t>
  </si>
  <si>
    <t>DIAZ HERRERA ZAYARET</t>
  </si>
  <si>
    <t>zayaretdiazh@gmail.com</t>
  </si>
  <si>
    <t>37897035467</t>
  </si>
  <si>
    <t xml:space="preserve">DURAN VILLALOBOS MARIA DE JESUS                   </t>
  </si>
  <si>
    <t>marysusydv17@hotmail.com</t>
  </si>
  <si>
    <t>08169413708</t>
  </si>
  <si>
    <t>ESTRADA AGUIRRE LESLY ESMERALDA</t>
  </si>
  <si>
    <t>esmeraldaestrada0425@gmail.com</t>
  </si>
  <si>
    <t>42048304630</t>
  </si>
  <si>
    <t>ESTRADA NAVA MIRIAM ROCIO</t>
  </si>
  <si>
    <t>miriam.211329@gmmail.com</t>
  </si>
  <si>
    <t>90068823526</t>
  </si>
  <si>
    <t>FABILA HERNANDEZ JESSICA</t>
  </si>
  <si>
    <t>jessi29fabila@gmail.com</t>
  </si>
  <si>
    <t>90957804421</t>
  </si>
  <si>
    <t xml:space="preserve">FELIX CRUZ HEIDI                                  </t>
  </si>
  <si>
    <t>flakis01799@gmail.com</t>
  </si>
  <si>
    <t>76967701434</t>
  </si>
  <si>
    <t xml:space="preserve">FERNANDEZ SANCHEZ MIGUEL ANGEL                    </t>
  </si>
  <si>
    <t>legnafer2020@gmail.com</t>
  </si>
  <si>
    <t>42866940887</t>
  </si>
  <si>
    <t xml:space="preserve">FLORES SALDAÑA JAVIER                             </t>
  </si>
  <si>
    <t>javierflores40@hotmail.com</t>
  </si>
  <si>
    <t>01118404464</t>
  </si>
  <si>
    <t xml:space="preserve">FLORES URIBE GUADALUPE JAZMIN                     </t>
  </si>
  <si>
    <t>flor7jaz@gmail.com</t>
  </si>
  <si>
    <t>01008009928</t>
  </si>
  <si>
    <t xml:space="preserve">FLORES URIBE MARIA DEL CARMEN ELIZABETH           </t>
  </si>
  <si>
    <t>45068754063</t>
  </si>
  <si>
    <t>FONSECA MARES YAZMIN</t>
  </si>
  <si>
    <t>yazminfonsecamares@gmail.com</t>
  </si>
  <si>
    <t>07917304888</t>
  </si>
  <si>
    <t xml:space="preserve">FRANCHINI ALVAREZ MARTHA NAYALID                  </t>
  </si>
  <si>
    <t>cardenasmartha792@gmail.com</t>
  </si>
  <si>
    <t>94109205966</t>
  </si>
  <si>
    <t xml:space="preserve">FUENTES HERNANDEZ VIRIDIANA                       </t>
  </si>
  <si>
    <t>viri17090703@gmail.com</t>
  </si>
  <si>
    <t>04058646250</t>
  </si>
  <si>
    <t xml:space="preserve">GARCIA GONZALEZ ALMA PATRICIA                     </t>
  </si>
  <si>
    <t>almag6302@gmail.com</t>
  </si>
  <si>
    <t>28947311032</t>
  </si>
  <si>
    <t xml:space="preserve">GARCIA GONZALEZ ANA BERTHA                        </t>
  </si>
  <si>
    <t>anab.g126@gmail.com</t>
  </si>
  <si>
    <t>03927548408</t>
  </si>
  <si>
    <t xml:space="preserve">GARCIA GUERRERO ARGELIA                           </t>
  </si>
  <si>
    <t>argeliaguerrero918@gmail.com</t>
  </si>
  <si>
    <t>01927428936</t>
  </si>
  <si>
    <t xml:space="preserve">GARCIA TOLENTINO LILIANA                          </t>
  </si>
  <si>
    <t>liliana08garciatolentino@gmail.com</t>
  </si>
  <si>
    <t>94048526514</t>
  </si>
  <si>
    <t>GARCIA VIDALES YANELI</t>
  </si>
  <si>
    <t>nellyvid09@gmail.com</t>
  </si>
  <si>
    <t>11068104360</t>
  </si>
  <si>
    <t>GOMEZ BENAVIDES SANDRA VANESSA</t>
  </si>
  <si>
    <t>cbtazyanya@gmail.com</t>
  </si>
  <si>
    <t>28079005824</t>
  </si>
  <si>
    <t>GOMEZ GALVAN CLAUDIA FERNANDA</t>
  </si>
  <si>
    <t>claudiafernandagomezgalvan@gmail.com</t>
  </si>
  <si>
    <t>30026901659</t>
  </si>
  <si>
    <t xml:space="preserve">GOMEZ MARTINEZ MARISOL                            </t>
  </si>
  <si>
    <t>marisoolgomezz2369@gmail.com</t>
  </si>
  <si>
    <t>11998141540</t>
  </si>
  <si>
    <t>GONZALEZ BALDERAS DIANA</t>
  </si>
  <si>
    <t>diana81yuli@gmail.com</t>
  </si>
  <si>
    <t>24886737766</t>
  </si>
  <si>
    <t>GONZALEZ DOMINGUEZ HILDA MARGARITA</t>
  </si>
  <si>
    <t>margarethgodo@gmail.com</t>
  </si>
  <si>
    <t>90886723668</t>
  </si>
  <si>
    <t xml:space="preserve">GONZALEZ MARTINEZ MA. ASCENCION                   </t>
  </si>
  <si>
    <t>cony_111@hotmail.com</t>
  </si>
  <si>
    <t>90018009077</t>
  </si>
  <si>
    <t xml:space="preserve">GONZALEZ MEJIA MARTHA PATRICIA                    </t>
  </si>
  <si>
    <t>marthagonzalezmejia80@gmail.com</t>
  </si>
  <si>
    <t>18968003394</t>
  </si>
  <si>
    <t xml:space="preserve">GONZALEZ VILLALPANDO MHIRYAM                      </t>
  </si>
  <si>
    <t>mhiryamgv80@gmail.com</t>
  </si>
  <si>
    <t>09088509717</t>
  </si>
  <si>
    <t>GUERRERO RAMIREZ MONICA DANIELA</t>
  </si>
  <si>
    <t>modaguera104@gmail.com</t>
  </si>
  <si>
    <t>18978011155</t>
  </si>
  <si>
    <t xml:space="preserve">GUTIERREZ PERALTA NATALIA                         </t>
  </si>
  <si>
    <t>natygupeer@gmail.com</t>
  </si>
  <si>
    <t>02236922114</t>
  </si>
  <si>
    <t xml:space="preserve">GUTIERREZ ROMERO MARUJA BETTY                     </t>
  </si>
  <si>
    <t>marugr2009@gmailcom</t>
  </si>
  <si>
    <t>23836710600</t>
  </si>
  <si>
    <t xml:space="preserve">GUZMAN LIZARRAGA MARIA DE LOURDES                 </t>
  </si>
  <si>
    <t>maria_lizarraga@outlook.es</t>
  </si>
  <si>
    <t>88856606491</t>
  </si>
  <si>
    <t>GUZMAN VAZQUEZ LAURA</t>
  </si>
  <si>
    <t>lauraguzman.lgv@gmail.com</t>
  </si>
  <si>
    <t>92028105184</t>
  </si>
  <si>
    <t>HAGMAN AGUILAR INGRID ANGELICA</t>
  </si>
  <si>
    <t>ingridangelicahagman@gmail.com</t>
  </si>
  <si>
    <t>06856615163</t>
  </si>
  <si>
    <t xml:space="preserve">HERNANDEZ ANGUIANO DULCE MARIA                    </t>
  </si>
  <si>
    <t>dulce0611@hotmail.es</t>
  </si>
  <si>
    <t>39139310450</t>
  </si>
  <si>
    <t xml:space="preserve">HERNANDEZ BADILLO MITZY MALENI                    </t>
  </si>
  <si>
    <t>mitmaleni@gmail.com</t>
  </si>
  <si>
    <t>45028409063</t>
  </si>
  <si>
    <t>HERNANDEZ BONILLA NUBIA ANGELICA</t>
  </si>
  <si>
    <t>nubiher8401@gmail.com</t>
  </si>
  <si>
    <t>45129776493</t>
  </si>
  <si>
    <t>HERNANDEZ CABRERA ALEJANDRA</t>
  </si>
  <si>
    <t>alejandra.hc.art@gmail.com</t>
  </si>
  <si>
    <t>94058649602</t>
  </si>
  <si>
    <t>HERNANDEZ CASTILLO ANA LILIA</t>
  </si>
  <si>
    <t>ninkaranausa@gmail.com</t>
  </si>
  <si>
    <t>39088903750</t>
  </si>
  <si>
    <t>HERNANDEZ FLORES PATRICIA</t>
  </si>
  <si>
    <t>alouquaone@gmail.com</t>
  </si>
  <si>
    <t>04089022570</t>
  </si>
  <si>
    <t xml:space="preserve">HERNANDEZ GUTIERREZ NANCY GUADALUPE               </t>
  </si>
  <si>
    <t>hernándezgitierrrz90@hotmail.com</t>
  </si>
  <si>
    <t>08179202562</t>
  </si>
  <si>
    <t xml:space="preserve">HERNANDEZ HERNANDEZ GRECIA MONTSERRAT             </t>
  </si>
  <si>
    <t>hgrecia154@gmail.com</t>
  </si>
  <si>
    <t>90038528437</t>
  </si>
  <si>
    <t>DE JESUS HERNANDEZ JAQUELIN</t>
  </si>
  <si>
    <t>dejesusjaqueline783@gmail.com</t>
  </si>
  <si>
    <t>43079157723</t>
  </si>
  <si>
    <t>HERNANDEZ MORIN ANGELICA YANET</t>
  </si>
  <si>
    <t>angiehernandezventas@gmail.com</t>
  </si>
  <si>
    <t>43068658251</t>
  </si>
  <si>
    <t xml:space="preserve">HERNANDEZ SANCHEZ ANA LUZ                         </t>
  </si>
  <si>
    <t>luzanahdz@gmail.com</t>
  </si>
  <si>
    <t>11988003288</t>
  </si>
  <si>
    <t xml:space="preserve">ESPINAL HERNANDEZ YENI                            </t>
  </si>
  <si>
    <t>jeeshea10espinal@gmail.com</t>
  </si>
  <si>
    <t>20977708849</t>
  </si>
  <si>
    <t>HERNANDEZ ZAVALA CAROLINA</t>
  </si>
  <si>
    <t>ch931440@gmail.com</t>
  </si>
  <si>
    <t>90937011766</t>
  </si>
  <si>
    <t xml:space="preserve">IBARRA RODRIGUEZ GEORGINA                         </t>
  </si>
  <si>
    <t>ibarrageorgina22@gmail.com</t>
  </si>
  <si>
    <t>56977510793</t>
  </si>
  <si>
    <t>ISLAS MORA JUDITH</t>
  </si>
  <si>
    <t>judithislas2@gmail.com</t>
  </si>
  <si>
    <t>39028434585</t>
  </si>
  <si>
    <t>JIMENEZ RODRIGUEZ BLANCA AZUCENA</t>
  </si>
  <si>
    <t>susy.rodriguez.2024@gmail.com</t>
  </si>
  <si>
    <t>96099030072</t>
  </si>
  <si>
    <t>JUAREZ PEREZ PAOLA NAYELI</t>
  </si>
  <si>
    <t>paolaprincemoxamoxa@gmail.com</t>
  </si>
  <si>
    <t>11136600183</t>
  </si>
  <si>
    <t xml:space="preserve">KOFIADOU  ANASTASIA                               </t>
  </si>
  <si>
    <t>anakofiadou@hotmail.com</t>
  </si>
  <si>
    <t>37906913357</t>
  </si>
  <si>
    <t>LAMAS GUTIERREZ ROSA MARIA</t>
  </si>
  <si>
    <t>rosamariaxd2000@mail.com</t>
  </si>
  <si>
    <t>27159815946</t>
  </si>
  <si>
    <t xml:space="preserve">LEVARIO RAMIREZ PAULINA SHOMARA                   </t>
  </si>
  <si>
    <t>paulinashomara@gmail.com</t>
  </si>
  <si>
    <t>01947413595</t>
  </si>
  <si>
    <t>mariadelrosariolimonlopez97@gmail.com</t>
  </si>
  <si>
    <t>35230481315</t>
  </si>
  <si>
    <t>LIZARRAGA LIZARRAGA GILBERTO</t>
  </si>
  <si>
    <t>lizarragagilberto099@gmail.com</t>
  </si>
  <si>
    <t>47897149457</t>
  </si>
  <si>
    <t>LOA PALOMO VIRGINIA ALICIA</t>
  </si>
  <si>
    <t>vikilobaloa71@hotmail.com</t>
  </si>
  <si>
    <t>11088900615</t>
  </si>
  <si>
    <t>LOPEZ ABAD SAMANTHA YAEL</t>
  </si>
  <si>
    <t>samayael@hotmail.com</t>
  </si>
  <si>
    <t>90048618251</t>
  </si>
  <si>
    <t xml:space="preserve">LOPEZ CRUZ LAURA VIVIANA                          </t>
  </si>
  <si>
    <t>ravs_forever@hotmail.com</t>
  </si>
  <si>
    <t>02198711323</t>
  </si>
  <si>
    <t>LOPEZ ESTRADA SILVIA BERENICE</t>
  </si>
  <si>
    <t>silvia.estrada.20@gmail.com</t>
  </si>
  <si>
    <t>24867036683</t>
  </si>
  <si>
    <t xml:space="preserve">LOPEZ GUTIERREZ LUZ EVELIA                        </t>
  </si>
  <si>
    <t>luzevelialopezgutierrez@gmail.com</t>
  </si>
  <si>
    <t>42008312995</t>
  </si>
  <si>
    <t xml:space="preserve">LUCERO GONZALEZ ISABEL                            </t>
  </si>
  <si>
    <t>lucerodemo@hotmail.com</t>
  </si>
  <si>
    <t>05199272617</t>
  </si>
  <si>
    <t xml:space="preserve">LUPERCIO VALADEZ NANCY LIZETTE                    </t>
  </si>
  <si>
    <t>Luperciovaladezn@gmail.com</t>
  </si>
  <si>
    <t>63978029666</t>
  </si>
  <si>
    <t xml:space="preserve">MANCILLA GUTIERREZ LUZ ADRIANA                    </t>
  </si>
  <si>
    <t>mancillaadrianne1@gmail.com</t>
  </si>
  <si>
    <t>15169474010</t>
  </si>
  <si>
    <t xml:space="preserve">MANZANO CABRERA JULISSA                           </t>
  </si>
  <si>
    <t>julissa.manzano.cabrera@gmail.com</t>
  </si>
  <si>
    <t>68927647963</t>
  </si>
  <si>
    <t>MARTINEZ CRUZ ERIKA</t>
  </si>
  <si>
    <t>erikamtzcruz23@gmail.com</t>
  </si>
  <si>
    <t>04008144604</t>
  </si>
  <si>
    <t>MARTINEZ GONZALEZ LAURA ALICIA</t>
  </si>
  <si>
    <t>mtzglezalicia.19@gmail.com</t>
  </si>
  <si>
    <t>76168400711</t>
  </si>
  <si>
    <t>MARTINEZ GUTIERREZ MARIA GUADALUPE</t>
  </si>
  <si>
    <t>m9991153601@gmail.com</t>
  </si>
  <si>
    <t>07907114925</t>
  </si>
  <si>
    <t>MENDEZ JACOBO BEATRIZ</t>
  </si>
  <si>
    <t>betsylu0511@gmail.com</t>
  </si>
  <si>
    <t>04119605600</t>
  </si>
  <si>
    <t>MENDOZA MENDIOLA VANESSA</t>
  </si>
  <si>
    <t>mendozavanessa278@gmail.com</t>
  </si>
  <si>
    <t>37139501722</t>
  </si>
  <si>
    <t xml:space="preserve">MENDOZA SILVA REBECA ISABEL                       </t>
  </si>
  <si>
    <t>imendozasilva7@gmail.com</t>
  </si>
  <si>
    <t>21018261038</t>
  </si>
  <si>
    <t xml:space="preserve">MENESES VELAZQUEZ ANA LUISA                       </t>
  </si>
  <si>
    <t>luisanavel1982@gmail.com</t>
  </si>
  <si>
    <t>56957733084</t>
  </si>
  <si>
    <t xml:space="preserve">MEZA FIGUEROA CLAUDIA DEL CARMEN </t>
  </si>
  <si>
    <t>claudia.meza.prom@gmail.com</t>
  </si>
  <si>
    <t>45017500690</t>
  </si>
  <si>
    <t xml:space="preserve">MOGO VAZQUEZ MONSERRAT                            </t>
  </si>
  <si>
    <t>monserratmogo06@gmail.com</t>
  </si>
  <si>
    <t>16967848611</t>
  </si>
  <si>
    <t xml:space="preserve">MOLINA CARMONA DIANA MARINA                       </t>
  </si>
  <si>
    <t>dianimol0809@gmail.com</t>
  </si>
  <si>
    <t>23028657254</t>
  </si>
  <si>
    <t xml:space="preserve">MOLINA GARCIA VIRIDIANA MARICELA                  </t>
  </si>
  <si>
    <t>viridianamaricelamolinagarcia@gmail.com</t>
  </si>
  <si>
    <t>56160134930</t>
  </si>
  <si>
    <t xml:space="preserve">MON RANGEL MARIA DE LOURDES                       </t>
  </si>
  <si>
    <t>maria011022lourdes@gmail.com</t>
  </si>
  <si>
    <t>15937510616</t>
  </si>
  <si>
    <t xml:space="preserve">MONDRAGON LOPEZ CELIA                             </t>
  </si>
  <si>
    <t>celiamondragonlopez@gmail.com</t>
  </si>
  <si>
    <t>92048513912</t>
  </si>
  <si>
    <t xml:space="preserve">MONDRAGON VEGA NALLELY                            </t>
  </si>
  <si>
    <t>nlllmndrgn@gmail</t>
  </si>
  <si>
    <t>39977618428</t>
  </si>
  <si>
    <t xml:space="preserve">MONROY GONZALEZ MARIA ZENAIDA                     </t>
  </si>
  <si>
    <t>zheni_56@outlook.es</t>
  </si>
  <si>
    <t>07048502772</t>
  </si>
  <si>
    <t>MONTAGNER OLIVARES MIGUEL ANGEL</t>
  </si>
  <si>
    <t>montagner2105@hotmail.com</t>
  </si>
  <si>
    <t>45058613782</t>
  </si>
  <si>
    <t>MORALES DE LA TORRE TABATA ALEJANDRA</t>
  </si>
  <si>
    <t>moralestabata2@gmail.com</t>
  </si>
  <si>
    <t>90917240740</t>
  </si>
  <si>
    <t xml:space="preserve">MORALES REYES MARIA GABRIELA                      </t>
  </si>
  <si>
    <t>gabymo2011@gmail.com</t>
  </si>
  <si>
    <t>27150172156</t>
  </si>
  <si>
    <t>MUÑIZ SANCHEZ YARITZEL</t>
  </si>
  <si>
    <t>yaritzelmendoza5@gmail.com</t>
  </si>
  <si>
    <t>43038618971</t>
  </si>
  <si>
    <t>MUÑOZ CASTILLO MALINAY DEL ROCIO</t>
  </si>
  <si>
    <t>malyrociomunoz357@gmail.com</t>
  </si>
  <si>
    <t>54008232420</t>
  </si>
  <si>
    <t xml:space="preserve">NUNGARAY CAMPA MARIA TERESA                       </t>
  </si>
  <si>
    <t>mariate260782@gmail.com</t>
  </si>
  <si>
    <t>14099148331</t>
  </si>
  <si>
    <t xml:space="preserve">OLVERA ACEVEDO ROCIO                              </t>
  </si>
  <si>
    <t>rouxolvera21@gmail.com</t>
  </si>
  <si>
    <t>07109007828</t>
  </si>
  <si>
    <t>OLVERA COLIN ANGELA</t>
  </si>
  <si>
    <t>angel.olv.c0929@gmail.com</t>
  </si>
  <si>
    <t>94978007014</t>
  </si>
  <si>
    <t>OLVERA HERNANDEZ OLGA PATRICIA</t>
  </si>
  <si>
    <t>olgaolverah@gmail.com</t>
  </si>
  <si>
    <t>21159746003</t>
  </si>
  <si>
    <t>ORTEGA RAMOS WENDY MELISSA</t>
  </si>
  <si>
    <t>wendyortegace@gmail.com</t>
  </si>
  <si>
    <t>96056802612</t>
  </si>
  <si>
    <t>ORTIZ BARROSO MARIA CRISTINA</t>
  </si>
  <si>
    <t>cri_cri.b@hotmail.com</t>
  </si>
  <si>
    <t>30886826194</t>
  </si>
  <si>
    <t xml:space="preserve">ORTIZ MENDEZ ELIZABETH                            </t>
  </si>
  <si>
    <t>eliza.680802@gmail.com</t>
  </si>
  <si>
    <t>96967720440</t>
  </si>
  <si>
    <t xml:space="preserve">ORTIZ VILLASEÑOR DULCE MARIA                      </t>
  </si>
  <si>
    <t>biometrix.com.mx@gmail.com</t>
  </si>
  <si>
    <t>72028430659</t>
  </si>
  <si>
    <t xml:space="preserve">OSORIO CASTELLANOS CARMEN AZALIA                  </t>
  </si>
  <si>
    <t>carmenaoc22@gmail.com</t>
  </si>
  <si>
    <t>15099022269</t>
  </si>
  <si>
    <t xml:space="preserve">PALACIOS BAHENA ERIKA JANETH                      </t>
  </si>
  <si>
    <t>bahenajaneth26@gmail.com</t>
  </si>
  <si>
    <t>92007822353</t>
  </si>
  <si>
    <t>PASQUALLI RODRIGUEZ DIANA CAROLINA</t>
  </si>
  <si>
    <t>pasquallirodriguezdianacarolin@gmail.com</t>
  </si>
  <si>
    <t>90028309228</t>
  </si>
  <si>
    <t xml:space="preserve">PEREZ DIAZ MAYRA                                  </t>
  </si>
  <si>
    <t>maydiaz321@gmail.com</t>
  </si>
  <si>
    <t>20897016653</t>
  </si>
  <si>
    <t>PEREZ HERNANDEZ LETICIA</t>
  </si>
  <si>
    <t>lettynails1625@gmail.com</t>
  </si>
  <si>
    <t>14957505572</t>
  </si>
  <si>
    <t>PEREZ SANDOVAL MARIA</t>
  </si>
  <si>
    <t>perezsandovalmary3@gmail.com</t>
  </si>
  <si>
    <t>94098209466</t>
  </si>
  <si>
    <t xml:space="preserve">PEREZ TELLEZ DIANA MARCELA                        </t>
  </si>
  <si>
    <t>dyanmar82@gmail.com</t>
  </si>
  <si>
    <t>07937200769</t>
  </si>
  <si>
    <t xml:space="preserve">PINEDA ZUÑIGA MARIA LIZBETH                       </t>
  </si>
  <si>
    <t>mlizpineda@gmail.com</t>
  </si>
  <si>
    <t>07047902627</t>
  </si>
  <si>
    <t>PIÑA RODRIGUEZ MARIA DEL CARMEN</t>
  </si>
  <si>
    <t>m9063124@gmail.com</t>
  </si>
  <si>
    <t>04129029833</t>
  </si>
  <si>
    <t>QUEVEDO REYNOSO MARICELA</t>
  </si>
  <si>
    <t>ilove_mary512@hotmail.com</t>
  </si>
  <si>
    <t>24129258851</t>
  </si>
  <si>
    <t xml:space="preserve">QUIHUIS LUGO ELIANA GUADALUPE                     </t>
  </si>
  <si>
    <t>elyanaquihuislugo@gmail.com</t>
  </si>
  <si>
    <t>84988112318</t>
  </si>
  <si>
    <t>QUINTAL MANZANILLA SILVIA PAULINA</t>
  </si>
  <si>
    <t>time_pau1@hotmail.com</t>
  </si>
  <si>
    <t>48099012527</t>
  </si>
  <si>
    <t xml:space="preserve">QUINTERO GARISTA ANGELICA                         </t>
  </si>
  <si>
    <t>angyquintero1922@gmail.com</t>
  </si>
  <si>
    <t>14028208784</t>
  </si>
  <si>
    <t>RAMIREZ BAUTISTA ANA MARIELA</t>
  </si>
  <si>
    <t>anamariela926@gmail.com</t>
  </si>
  <si>
    <t>90916701023</t>
  </si>
  <si>
    <t>RAMIREZ CONTRERAS MARIBEL</t>
  </si>
  <si>
    <t>maribelram1769@gmail.con</t>
  </si>
  <si>
    <t>04068442385</t>
  </si>
  <si>
    <t xml:space="preserve">RAMIREZ DIAZ MONICA ROCIO                         </t>
  </si>
  <si>
    <t>mramidiaz84@gmail.com</t>
  </si>
  <si>
    <t>30008137033</t>
  </si>
  <si>
    <t>RAMIREZ FERNANDEZ YASMIN</t>
  </si>
  <si>
    <t>yazminyazminramirez@hotmail.com</t>
  </si>
  <si>
    <t>46210383744</t>
  </si>
  <si>
    <t xml:space="preserve">RAMIREZ FLORES IRIDIAN JANAI                      </t>
  </si>
  <si>
    <t>taegguk0504@gmail.com</t>
  </si>
  <si>
    <t>18169837749</t>
  </si>
  <si>
    <t>RAMIREZ LARA CATHERINE VIVIANA</t>
  </si>
  <si>
    <t>auri.lara06@outlook.com</t>
  </si>
  <si>
    <t>90078931798</t>
  </si>
  <si>
    <t xml:space="preserve">RAMIREZ RAMIREZ GUSTAVO                           </t>
  </si>
  <si>
    <t>gusi_960@yahoo.com.mx</t>
  </si>
  <si>
    <t>62169446093</t>
  </si>
  <si>
    <t xml:space="preserve">RAMIREZ RIOS DIANA                                </t>
  </si>
  <si>
    <t>dr9067457@gmail.com</t>
  </si>
  <si>
    <t>03856851468</t>
  </si>
  <si>
    <t>RANGEL PICON ADRIANA</t>
  </si>
  <si>
    <t>adriana.rangel.p70@gmail.com</t>
  </si>
  <si>
    <t>07917100740</t>
  </si>
  <si>
    <t xml:space="preserve">RANGEL VARGAS BARBARA                             </t>
  </si>
  <si>
    <t>rangelvargasbarbara@gmail.com</t>
  </si>
  <si>
    <t>21998192187</t>
  </si>
  <si>
    <t>RANGEL VILLALOBOS SALLY INDIRA</t>
  </si>
  <si>
    <t>sallyrangel.66@gmail.com</t>
  </si>
  <si>
    <t>30907282104</t>
  </si>
  <si>
    <t xml:space="preserve">RESENDIZ HERRERA DOLORES                          </t>
  </si>
  <si>
    <t>buhoblue7214@gmail.com</t>
  </si>
  <si>
    <t>37048404729</t>
  </si>
  <si>
    <t xml:space="preserve">REYES AYBAR LILIANA                               </t>
  </si>
  <si>
    <t>lilireaybar@gmail.com</t>
  </si>
  <si>
    <t>48997916548</t>
  </si>
  <si>
    <t>REYES CARVENTE MARIA DE LOS ANGELES</t>
  </si>
  <si>
    <t>angelesreyes7904@gmail.com</t>
  </si>
  <si>
    <t>92988027329</t>
  </si>
  <si>
    <t>REYES GURRUSQUIETA YAJAIRA</t>
  </si>
  <si>
    <t>yaja1368@gmail.com</t>
  </si>
  <si>
    <t>56927506669</t>
  </si>
  <si>
    <t>REYES HERNANDEZ LETICIA</t>
  </si>
  <si>
    <t>letyrh1975@gmail.com</t>
  </si>
  <si>
    <t>03977568520</t>
  </si>
  <si>
    <t xml:space="preserve">REYNA MORENO ELIZABETH                            </t>
  </si>
  <si>
    <t>elizabethreynamoreno3@gmail.com</t>
  </si>
  <si>
    <t>04917484034</t>
  </si>
  <si>
    <t xml:space="preserve">RIVAS RAMIREZ MARGARITA                           </t>
  </si>
  <si>
    <t>estrella_castillo195@hotmail.com</t>
  </si>
  <si>
    <t>11887029475</t>
  </si>
  <si>
    <t xml:space="preserve">RODRIGUEZ BAILON OLGA ELIZABETH                   </t>
  </si>
  <si>
    <t>olgaelizabethrodriguezbailon@gmail.com</t>
  </si>
  <si>
    <t>82119217766</t>
  </si>
  <si>
    <t>RODRIGUEZ GARCIA GUADALUPE</t>
  </si>
  <si>
    <t>esmema827@gmail.com</t>
  </si>
  <si>
    <t>39998134702</t>
  </si>
  <si>
    <t>RODRIGUEZ GARCIA MARIA DEL ROCIO</t>
  </si>
  <si>
    <t>roses2326@hotmail.com</t>
  </si>
  <si>
    <t>39957605353</t>
  </si>
  <si>
    <t xml:space="preserve">RODRIGUEZ MIRANDA TERESA                          </t>
  </si>
  <si>
    <t>teresarood19@gmail.com</t>
  </si>
  <si>
    <t>16927003869</t>
  </si>
  <si>
    <t xml:space="preserve">RODRIGUEZ SALINAS FELISA JUDITH                   </t>
  </si>
  <si>
    <t>dermolisa70@gmail.com</t>
  </si>
  <si>
    <t>32068806572</t>
  </si>
  <si>
    <t>RODRIGUEZ SANCHEZ BRENDA BERENICE</t>
  </si>
  <si>
    <t>berenicerdzs.25@gmail.com</t>
  </si>
  <si>
    <t>04109020828</t>
  </si>
  <si>
    <t>RODRIGUEZ SOLORZANO MARIA FERNANDA</t>
  </si>
  <si>
    <t>fernanditasolorzano1990@gmail.com</t>
  </si>
  <si>
    <t>65957545711</t>
  </si>
  <si>
    <t xml:space="preserve">ROMERO GONZALEZ NORMA LIDIA                       </t>
  </si>
  <si>
    <t>deyron.010@gmail.com</t>
  </si>
  <si>
    <t>96947740492</t>
  </si>
  <si>
    <t xml:space="preserve">ROSALES LOPEZ MONICA                              </t>
  </si>
  <si>
    <t>monicarosales829@gmail.com</t>
  </si>
  <si>
    <t>68927509270</t>
  </si>
  <si>
    <t>ROSALES LOPEZ NADIA ERENDIRA</t>
  </si>
  <si>
    <t>erina@live.com.mx</t>
  </si>
  <si>
    <t>68907419342</t>
  </si>
  <si>
    <t>RUIZ LAGUNA ROSARIO ANGELICA</t>
  </si>
  <si>
    <t>angelicarual1973@gmail.com</t>
  </si>
  <si>
    <t>45897235680</t>
  </si>
  <si>
    <t xml:space="preserve">SAID CRUZ ESTELA                                  </t>
  </si>
  <si>
    <t>estelasaid.72@gmail.com</t>
  </si>
  <si>
    <t>08250772020</t>
  </si>
  <si>
    <t>SALAMANCA MACIAS TERESA JAZMIN</t>
  </si>
  <si>
    <t>jazmin28macias7@gmail.com</t>
  </si>
  <si>
    <t>43866611791</t>
  </si>
  <si>
    <t>SALAZAR ZAVALA AURORA</t>
  </si>
  <si>
    <t>aurosalazar19@gmail.com</t>
  </si>
  <si>
    <t>43079052981</t>
  </si>
  <si>
    <t>SANCHEZ MAGALLANES KAREN FABIOLA</t>
  </si>
  <si>
    <t>fabiolamagallanes330@gmail.com</t>
  </si>
  <si>
    <t>30896921589</t>
  </si>
  <si>
    <t xml:space="preserve">SANCHEZ RAMIREZ ZAIDA                             </t>
  </si>
  <si>
    <t>zstau16@gmail.com</t>
  </si>
  <si>
    <t>42128908201</t>
  </si>
  <si>
    <t xml:space="preserve">SANDOVAL ESLAVA ALEJANDRA KARINA                  </t>
  </si>
  <si>
    <t>karinasandoval991@gmail.com</t>
  </si>
  <si>
    <t>11018312428</t>
  </si>
  <si>
    <t>SANTIAGO GONZALEZ ROSA GABRIELA</t>
  </si>
  <si>
    <t>gabysh832019@gmail.com</t>
  </si>
  <si>
    <t>39957857814</t>
  </si>
  <si>
    <t>SOSA GARCES MARLENE</t>
  </si>
  <si>
    <t>marlenesosagarces22@gmail.com</t>
  </si>
  <si>
    <t>45907376540</t>
  </si>
  <si>
    <t xml:space="preserve">TECPA SANCHEZ ANGELICA                            </t>
  </si>
  <si>
    <t>angelica_jjr@hotmail.com</t>
  </si>
  <si>
    <t>42978111989</t>
  </si>
  <si>
    <t xml:space="preserve">TORRES CRUZ MARIA GUADALUPE                       </t>
  </si>
  <si>
    <t>torresmariaguadalupe_18@yahoo.com</t>
  </si>
  <si>
    <t>48129017322</t>
  </si>
  <si>
    <t>TORRES MACEDA YIREH JANAI</t>
  </si>
  <si>
    <t>yjtorreamaceda@gmail.com</t>
  </si>
  <si>
    <t>47907245097</t>
  </si>
  <si>
    <t xml:space="preserve">TOVAR RUIZ ERIKA                                  </t>
  </si>
  <si>
    <t>chapistovar1672@gmail.com</t>
  </si>
  <si>
    <t>45117800883</t>
  </si>
  <si>
    <t>URIZAR MARTINEZ SUSANA</t>
  </si>
  <si>
    <t>susanuri78@gmail.com</t>
  </si>
  <si>
    <t>39028326336</t>
  </si>
  <si>
    <t xml:space="preserve">VALVERDE NUÑEZ SUSANA                             </t>
  </si>
  <si>
    <t>susanavalverde172824@gmail.com</t>
  </si>
  <si>
    <t>15027906989</t>
  </si>
  <si>
    <t>VARGAS VARGAS CARMEN NAYELI</t>
  </si>
  <si>
    <t>varnay05@hotmail.com</t>
  </si>
  <si>
    <t>44169752928</t>
  </si>
  <si>
    <t xml:space="preserve">VAZQUEZ CAMPOS ALONDRA ARLETTE                    </t>
  </si>
  <si>
    <t>arletvazquez54@gmail.com</t>
  </si>
  <si>
    <t>43047402730</t>
  </si>
  <si>
    <t xml:space="preserve">VEGA RAMIREZ MAYELA                               </t>
  </si>
  <si>
    <t>mayelavegaramirez74@gmail.com</t>
  </si>
  <si>
    <t>65008502711</t>
  </si>
  <si>
    <t>VELASCO FERNANDEZ ANAYELI</t>
  </si>
  <si>
    <t>anayelivelasco2703@gmail.com</t>
  </si>
  <si>
    <t>90997406245</t>
  </si>
  <si>
    <t>VILLANUEVA ANGELES ANGELICA</t>
  </si>
  <si>
    <t>angie.v.a1408@gmail</t>
  </si>
  <si>
    <t>02228382855</t>
  </si>
  <si>
    <t xml:space="preserve">ZACARIAZ DANIEL SEBASTIANA                        </t>
  </si>
  <si>
    <t>sebaszacary25@gmail.com</t>
  </si>
  <si>
    <t>68937607304</t>
  </si>
  <si>
    <t xml:space="preserve">ZARAGOZA RAMIREZ EMMA                             </t>
  </si>
  <si>
    <t>emmazarag@gmail.com</t>
  </si>
  <si>
    <t>35169648645</t>
  </si>
  <si>
    <t>ZAVALA ROSALES JULIO CESAR</t>
  </si>
  <si>
    <t>chiquilucasbaby@hotmail.com</t>
  </si>
  <si>
    <t>04129510451</t>
  </si>
  <si>
    <t>ACOSTA CAMACHO ANA KAREN</t>
  </si>
  <si>
    <t>acostakaren358@gmail.com</t>
  </si>
  <si>
    <t>20907129397</t>
  </si>
  <si>
    <t>AGUILA VIEYRA CECILIA</t>
  </si>
  <si>
    <t>ceci_aguila_vieyra@hotmail.com</t>
  </si>
  <si>
    <t>12138937151</t>
  </si>
  <si>
    <t>BARAJAS PEREZ LILIA CAROLINA</t>
  </si>
  <si>
    <t>carolinabarajas034@gmail.com</t>
  </si>
  <si>
    <t>18149536262</t>
  </si>
  <si>
    <t>BARRON RIVAS MARIA DEL CARMEN</t>
  </si>
  <si>
    <t>barronrivasmariadelcarmen@gmail.com</t>
  </si>
  <si>
    <t>48118920254</t>
  </si>
  <si>
    <t xml:space="preserve">DEL CARMEN AGUILAR KARLA GIDDIANI </t>
  </si>
  <si>
    <t>karlagiddi@gmail.com</t>
  </si>
  <si>
    <t>08159300519</t>
  </si>
  <si>
    <t>CASTILLO NAVARRO JANNETH MAGALY</t>
  </si>
  <si>
    <t>jannethmagalycastillonavarro@gmail.com</t>
  </si>
  <si>
    <t>94947408343</t>
  </si>
  <si>
    <t>CARDENAS RAMIREZ MIRIAM</t>
  </si>
  <si>
    <t>cardrami10@gmail.com</t>
  </si>
  <si>
    <t>92048547050</t>
  </si>
  <si>
    <t>CARRILLO XOCHIHUA XOCHITL</t>
  </si>
  <si>
    <t>xcarrillo163@gmail.com</t>
  </si>
  <si>
    <t>28169917300</t>
  </si>
  <si>
    <t>ESPINOZA CASTRO BELEN GUADALUPE</t>
  </si>
  <si>
    <t>espinozabelen427@gmail.com</t>
  </si>
  <si>
    <t>37907231973</t>
  </si>
  <si>
    <t>GOMEZ TORRES YADIRA ESPERANZA</t>
  </si>
  <si>
    <t>yadirat684@gmail.com</t>
  </si>
  <si>
    <t>45119664188</t>
  </si>
  <si>
    <t>LOPEZ LOPEZ BRENDA</t>
  </si>
  <si>
    <t>breenlopz@icloud.com</t>
  </si>
  <si>
    <t>19160197604</t>
  </si>
  <si>
    <t>LOREDO POSADA REBECA ABIGAIL</t>
  </si>
  <si>
    <t>rebecaabigailloredoposada@gmail.com</t>
  </si>
  <si>
    <t>48099041195</t>
  </si>
  <si>
    <t>PAEZ LOPEZ YAZMIN</t>
  </si>
  <si>
    <t>yazmin.paez.lopez@gmail.com</t>
  </si>
  <si>
    <t>92048656356</t>
  </si>
  <si>
    <t>PEREZ PIÑON JESSICA ADRIANA</t>
  </si>
  <si>
    <t>perezpinonjessica@gmail.com</t>
  </si>
  <si>
    <t>47058901449</t>
  </si>
  <si>
    <t>QUIÑONES GARZA BRENDA KARINA</t>
  </si>
  <si>
    <t>brendamarina001@hotmail.com</t>
  </si>
  <si>
    <t>44149423830</t>
  </si>
  <si>
    <t>REBOLLO MOTA EVELIN JACQUELINE</t>
  </si>
  <si>
    <t>eve_osiris24@outlook.com</t>
  </si>
  <si>
    <t>78099116085</t>
  </si>
  <si>
    <t>DE LA ROSA MOLINA IVETE</t>
  </si>
  <si>
    <t>ivette.delarosa.oax@gmail.com</t>
  </si>
  <si>
    <t>90058732885</t>
  </si>
  <si>
    <t>SANCHEZ OSORIO NANCY SUSANA</t>
  </si>
  <si>
    <t>nancysanchezwilli@gmail.com</t>
  </si>
  <si>
    <t>43887018463</t>
  </si>
  <si>
    <t>SERNA DIAZ GUADALUPE</t>
  </si>
  <si>
    <t>gpe.serna.diaz@gmail.com</t>
  </si>
  <si>
    <t>39089205098</t>
  </si>
  <si>
    <t>VERA DORADO SARAHI</t>
  </si>
  <si>
    <t>arikso3vera@gmail.com</t>
  </si>
  <si>
    <t>45119395700</t>
  </si>
  <si>
    <t>ARCIGA PADILLA SHARON MICHELLE</t>
  </si>
  <si>
    <t>miapolletsa230610@gmail.com</t>
  </si>
  <si>
    <t>39098804592</t>
  </si>
  <si>
    <t>MORALES RUIZ PERLA KARINA</t>
  </si>
  <si>
    <t>karinamoralesruiz2@gmail.com</t>
  </si>
  <si>
    <t>11068212981</t>
  </si>
  <si>
    <t>SANCHEZ MARQUEZ CARMELITA</t>
  </si>
  <si>
    <t>carmelitasanchezmarquez@gmail.com</t>
  </si>
  <si>
    <t>09998275417</t>
  </si>
  <si>
    <t>FLORES UREÑA DEYARIDA</t>
  </si>
  <si>
    <t>deyaridaurena@gmail.com</t>
  </si>
  <si>
    <t>92028431648</t>
  </si>
  <si>
    <t>CALVARIO CORONA DEYSI JOVANNA</t>
  </si>
  <si>
    <t>deycalvario@gmail.com</t>
  </si>
  <si>
    <t>55190468458</t>
  </si>
  <si>
    <t>SANTIAGO HERNANDEZ DANNA PAOLA</t>
  </si>
  <si>
    <t>dsantiagohernandez326@gmail.com</t>
  </si>
  <si>
    <t>14160177276</t>
  </si>
  <si>
    <t>IBARRA GAYTAN FABIOLA</t>
  </si>
  <si>
    <t>fabiolaibagay1405@gmail.com</t>
  </si>
  <si>
    <t>92078909329</t>
  </si>
  <si>
    <t>VALLE RODRIGUEZ HECTOR EDUARDO</t>
  </si>
  <si>
    <t>hectorvalle@live.com.mx</t>
  </si>
  <si>
    <t>07967717823</t>
  </si>
  <si>
    <t>LOPEZ RUIZ JACQUELINE</t>
  </si>
  <si>
    <t>jacka_lopez@hotmail.com</t>
  </si>
  <si>
    <t>39159608411</t>
  </si>
  <si>
    <t>ROJAS CALDERON OSWALDO LUCIO</t>
  </si>
  <si>
    <t>lucio.rojas.calderon.2401@gmail.com</t>
  </si>
  <si>
    <t>11018327723</t>
  </si>
  <si>
    <t>ALLENDE VELASCO MARICELA</t>
  </si>
  <si>
    <t>maricelaallende24@gmail.com</t>
  </si>
  <si>
    <t>04927545790</t>
  </si>
  <si>
    <t>MERCADO SILVA MARIA LUISA</t>
  </si>
  <si>
    <t>mercadomarialuisa08@gmail.com</t>
  </si>
  <si>
    <t>Fecha de Ingreso</t>
  </si>
  <si>
    <t>YUCATAN</t>
  </si>
  <si>
    <t>TAMAULIPAS</t>
  </si>
  <si>
    <t>SINALOA</t>
  </si>
  <si>
    <t>SONORA</t>
  </si>
  <si>
    <t>PUEBLA</t>
  </si>
  <si>
    <t>GUANAJUATO</t>
  </si>
  <si>
    <t>QUERETARO</t>
  </si>
  <si>
    <t>Fecha de nacimiento</t>
  </si>
  <si>
    <t>CURP</t>
  </si>
  <si>
    <t>AACA901227MYNBND00</t>
  </si>
  <si>
    <t>AOPS930724MDFCRH06</t>
  </si>
  <si>
    <t>AUAM830827MPLGNR01</t>
  </si>
  <si>
    <t>AUCT790610MPLGBR08</t>
  </si>
  <si>
    <t>AURR851007MDFGMX06</t>
  </si>
  <si>
    <t>AUCA820815MDFGMT05</t>
  </si>
  <si>
    <t>AAVV960215MTSLLN09</t>
  </si>
  <si>
    <t>AAAA981111HDFLLN03</t>
  </si>
  <si>
    <t>AAMA771130MVZLRN04</t>
  </si>
  <si>
    <t>AASL911213MSLLCT03</t>
  </si>
  <si>
    <t>AASR890320MSLLCS09</t>
  </si>
  <si>
    <t>AAVJ981126MMCLLS08</t>
  </si>
  <si>
    <t>AALN69O419MDFLPR11</t>
  </si>
  <si>
    <t>AAZY821001MNLLMH03</t>
  </si>
  <si>
    <t>AISA760725MCLNCN04</t>
  </si>
  <si>
    <t>AACM921201MDFPNR00</t>
  </si>
  <si>
    <t>AUAI960226MDFQLT07</t>
  </si>
  <si>
    <t>AEVY920630MDFRZN07</t>
  </si>
  <si>
    <t>AISA700913MSRRNN08</t>
  </si>
  <si>
    <t>AISE830913MPLRNL04</t>
  </si>
  <si>
    <t>AACL990826MJCVRC09</t>
  </si>
  <si>
    <t>AIBF960819MSLVLR07</t>
  </si>
  <si>
    <t>AIBG900325MSLVLL02</t>
  </si>
  <si>
    <t>AAXK050607MNEYXMA4</t>
  </si>
  <si>
    <t>AASM811021MDFYRR02</t>
  </si>
  <si>
    <t>BAFK950723MDFLLR07</t>
  </si>
  <si>
    <t>BAAG760617MDFLRBOO</t>
  </si>
  <si>
    <t>BANC870721MSLRVLO2</t>
  </si>
  <si>
    <t>BARA751223MDFRMD06</t>
  </si>
  <si>
    <t>BACM810314MPLTRR06</t>
  </si>
  <si>
    <t>BACR840206MPLTRY09</t>
  </si>
  <si>
    <t>BEBK910421MMCTRR08</t>
  </si>
  <si>
    <t>BXCA621206MNLLNR00</t>
  </si>
  <si>
    <t>BOTF940819MMCLRR02</t>
  </si>
  <si>
    <t>BUML660816MNLCRR00</t>
  </si>
  <si>
    <t>CAGJ820505MDFLRS04</t>
  </si>
  <si>
    <t>CXGA860825MDFLRN04</t>
  </si>
  <si>
    <t>CARY860628MSLRZR00</t>
  </si>
  <si>
    <t>CAFY780117MDFRLN03</t>
  </si>
  <si>
    <t>CAHJ951014MGTRRN09</t>
  </si>
  <si>
    <t>CAMT750917MSLRNR06</t>
  </si>
  <si>
    <t>CAOE010226MDFSLVA3</t>
  </si>
  <si>
    <t>CECG980815MYNLHB06</t>
  </si>
  <si>
    <t>CARJ830315HDFHMN03</t>
  </si>
  <si>
    <t>CIFL710713MNLNLR02</t>
  </si>
  <si>
    <t>COCE820704MDFNLD01</t>
  </si>
  <si>
    <t>COMB750505MDFNRN06</t>
  </si>
  <si>
    <t>COJM850321MPLRRR06</t>
  </si>
  <si>
    <t>COAG901201MDFRLD00</t>
  </si>
  <si>
    <t>COOO650709MSLRRLO7</t>
  </si>
  <si>
    <t>COHK030515HSLVRLA8</t>
  </si>
  <si>
    <t>CESS660605MDFRNN06</t>
  </si>
  <si>
    <t>CURX920927MMCRMC09</t>
  </si>
  <si>
    <t>CUZN671129MDFHMR03</t>
  </si>
  <si>
    <t>CUSM810328MDFVTR02</t>
  </si>
  <si>
    <t>LECA881105HDFNRL01</t>
  </si>
  <si>
    <t>DIAJ740407HDFZLL04</t>
  </si>
  <si>
    <t>DIHZ841202MDFZRY08</t>
  </si>
  <si>
    <t>DUVJ700517MDFRLS08</t>
  </si>
  <si>
    <t>EAAL940425MMCSGS08</t>
  </si>
  <si>
    <t>EANM830613MDFSVR02</t>
  </si>
  <si>
    <t>FAHJ881029MMCBRS08</t>
  </si>
  <si>
    <t>FECH780120MSPLRD01</t>
  </si>
  <si>
    <t>FESM770206HDFRNG06</t>
  </si>
  <si>
    <t>FOSJ690404HDFLLV03</t>
  </si>
  <si>
    <t>FOUG840917MDFLRD00</t>
  </si>
  <si>
    <t>FOUC800211MDFLRR08</t>
  </si>
  <si>
    <t>FOMY870419MDFNRZ08</t>
  </si>
  <si>
    <t>FAAM730930MDFRLR09</t>
  </si>
  <si>
    <t>FUHV920205MMCNRR09</t>
  </si>
  <si>
    <t>GAGA860212MJCRNL00</t>
  </si>
  <si>
    <t>GAGA730219MDFRNN08</t>
  </si>
  <si>
    <t>GAGA750324MNLRRR05</t>
  </si>
  <si>
    <t>GATL740407MDFRLL06</t>
  </si>
  <si>
    <t>GAVY851009MDFRDN07</t>
  </si>
  <si>
    <t>GOBS811211MDFMNN00</t>
  </si>
  <si>
    <t>GOGC900803MDFMLL06</t>
  </si>
  <si>
    <t>GOMM690227MDFMRR06</t>
  </si>
  <si>
    <t>GOBD810811MDFNLN09</t>
  </si>
  <si>
    <t>GODH671117MCHNML05</t>
  </si>
  <si>
    <t>GOMA670418MGTNRS02</t>
  </si>
  <si>
    <t>GOMM800214MDFNJR03</t>
  </si>
  <si>
    <t>GOVM800313MMCNLH01</t>
  </si>
  <si>
    <t>GURM850517MTSRMN05</t>
  </si>
  <si>
    <t>GUPN800727MMCTRT08</t>
  </si>
  <si>
    <t>GURM691025MNETMR06</t>
  </si>
  <si>
    <t>GULL680507MSLZZR05</t>
  </si>
  <si>
    <t>GUVL660728MDFZZR02</t>
  </si>
  <si>
    <t>HAAI810729MDFGGN01</t>
  </si>
  <si>
    <t>HEAD661106MDFRNL00</t>
  </si>
  <si>
    <t>HEBM930430MDFRDT02</t>
  </si>
  <si>
    <t>HEBN840131MDFRNB09</t>
  </si>
  <si>
    <t>HECA970328MDFRBL08</t>
  </si>
  <si>
    <t>HECA860719MMCRSN09</t>
  </si>
  <si>
    <t>HEFP890212MDFRLT06</t>
  </si>
  <si>
    <t>HEGN900205MJCRTN02</t>
  </si>
  <si>
    <t>HEHG920926MTSRRR03</t>
  </si>
  <si>
    <t>JEHJ850425MDFSRQ02</t>
  </si>
  <si>
    <t>HEMA910530MNLRRN06</t>
  </si>
  <si>
    <t>HESA860502MDFRNN01</t>
  </si>
  <si>
    <t>EIHY801002MDFSRN00</t>
  </si>
  <si>
    <t>HEZC770527MDFRVR04</t>
  </si>
  <si>
    <t>IARG700313MDFBDR02</t>
  </si>
  <si>
    <t>IAMJ750905MJCSRD05</t>
  </si>
  <si>
    <t>JIRB840803MDFMDL08</t>
  </si>
  <si>
    <t>JUPP900126MPLRRL05</t>
  </si>
  <si>
    <t>KOXA661018MNEFXN04</t>
  </si>
  <si>
    <t>LAGR690616MJCMTS07</t>
  </si>
  <si>
    <t>LERP980324MDFVML09</t>
  </si>
  <si>
    <t>LILR741214MDFMPS02</t>
  </si>
  <si>
    <t>LILG040316HSLZZLA9</t>
  </si>
  <si>
    <t>LOPV710416MNLXLR01</t>
  </si>
  <si>
    <t>LOAS890803MDFPBM01</t>
  </si>
  <si>
    <t>LOCL861202MMCPRR00</t>
  </si>
  <si>
    <t>LOES870520MJCPSL00</t>
  </si>
  <si>
    <t>LOGL710929MSRPTZ00</t>
  </si>
  <si>
    <t>LUGI830218MDFCNS08</t>
  </si>
  <si>
    <t>LUVN921007MJCPLN07</t>
  </si>
  <si>
    <t>MEGL801031MGTNTZ09</t>
  </si>
  <si>
    <t>MACJ940831MPLNBL06</t>
  </si>
  <si>
    <t>MACE760123MDFRRR05</t>
  </si>
  <si>
    <t>MAGL810512MJCRNR08</t>
  </si>
  <si>
    <t>MAGG841212MCSRTD09</t>
  </si>
  <si>
    <t>MEJB731105MDFNCT02</t>
  </si>
  <si>
    <t>MEMV960314MJCNNN04</t>
  </si>
  <si>
    <t>MESR950111MDFNLB02</t>
  </si>
  <si>
    <t>MEVA820221MDFNLN00</t>
  </si>
  <si>
    <t>MEFC770716MJCZGL08</t>
  </si>
  <si>
    <t>MOVM750128MDFGZN01</t>
  </si>
  <si>
    <t>MOCD780209MMCLRN09</t>
  </si>
  <si>
    <t>MOGV860225MSLLRR00</t>
  </si>
  <si>
    <t>MORL011022MDFNNRA5</t>
  </si>
  <si>
    <t>MOLC751005MSLNPL06</t>
  </si>
  <si>
    <t>MOVN851109MMCNGL07</t>
  </si>
  <si>
    <t>MOGZ760824MDFNNN00</t>
  </si>
  <si>
    <t>MOOM850521HDFNLG04</t>
  </si>
  <si>
    <t>MOTT860902MDFRRB00</t>
  </si>
  <si>
    <t>MORG720310MMCRYB09</t>
  </si>
  <si>
    <t>MUSY010805MGRXNRA0</t>
  </si>
  <si>
    <t>MUCM860406MNLXSL05</t>
  </si>
  <si>
    <t>NUCT820726MJCNMR00</t>
  </si>
  <si>
    <t>OEAR910121MQTLCC09</t>
  </si>
  <si>
    <t>OECA900929MMCLLN04</t>
  </si>
  <si>
    <t>OEHO800419MDFLRL01</t>
  </si>
  <si>
    <t>OERW970323MSLRMN00</t>
  </si>
  <si>
    <t>OIBC680213MDFRRR08</t>
  </si>
  <si>
    <t>OIME680208MDFRNL08</t>
  </si>
  <si>
    <t>OIVD771214MDFRLLO4</t>
  </si>
  <si>
    <t>OOCC840322MGRSSR07</t>
  </si>
  <si>
    <t>PABE900325MMSLHR01</t>
  </si>
  <si>
    <t>PARD780109MMCSDN07</t>
  </si>
  <si>
    <t>PEDM830908MMCRZY03</t>
  </si>
  <si>
    <t>PEHL700425MDFRRT01</t>
  </si>
  <si>
    <t>PESM750623MQTRNR03</t>
  </si>
  <si>
    <t>PETD820422MMCRLN04</t>
  </si>
  <si>
    <t>PIZL721219MMCNXZ05</t>
  </si>
  <si>
    <t>PIRC790514MDFXDR09</t>
  </si>
  <si>
    <t>QURM901209MJCVYR03</t>
  </si>
  <si>
    <t>QULE920125MSRHGL04</t>
  </si>
  <si>
    <t>QUMS810606MYNNNL06</t>
  </si>
  <si>
    <t>QUGA900222MPLNRN05</t>
  </si>
  <si>
    <t>RABA821221MQTMTN05</t>
  </si>
  <si>
    <t>RACM691117MDFMNR04</t>
  </si>
  <si>
    <t>RADM841007MJCMZN05</t>
  </si>
  <si>
    <t>RAFY810816MMSMRS01</t>
  </si>
  <si>
    <t>RAFI030426MDFMLRA4</t>
  </si>
  <si>
    <t>RALC980106MDFMRT06</t>
  </si>
  <si>
    <t>RARG891121HMCMMS00</t>
  </si>
  <si>
    <t>RARD940824MDFMSN09</t>
  </si>
  <si>
    <t>RAPA700823MNLNCD02</t>
  </si>
  <si>
    <t>RAVB711204MDFNRR00</t>
  </si>
  <si>
    <t>RAVS810830MMNNLL06</t>
  </si>
  <si>
    <t>REHD720114MDFSRL03</t>
  </si>
  <si>
    <t>REAL840514MDFYYL03</t>
  </si>
  <si>
    <t>RECA790704MPLYRN08</t>
  </si>
  <si>
    <t>REGY800929MCHYRJ09</t>
  </si>
  <si>
    <t>REHL751109MJCYRT06</t>
  </si>
  <si>
    <t>REME750603MNLYRL07</t>
  </si>
  <si>
    <t>RIRM731017MJCVMR07</t>
  </si>
  <si>
    <t>RXBO701009MDFDLL07</t>
  </si>
  <si>
    <t>ROGG921211MTCDRD06</t>
  </si>
  <si>
    <t>ROGR810226MDFDRC04</t>
  </si>
  <si>
    <t>ROMT761206MDFDRR07</t>
  </si>
  <si>
    <t>ROSF700107MDFDLL01</t>
  </si>
  <si>
    <t>ROSB880225MCLDNR02</t>
  </si>
  <si>
    <t>ROSF901203MJCDLR01</t>
  </si>
  <si>
    <t>ROGN750803MVZMNR00</t>
  </si>
  <si>
    <t>ROLM770618MMCSPN08</t>
  </si>
  <si>
    <t>ROLN751116MDFSPD05</t>
  </si>
  <si>
    <t>RULR730912MDFZGS01</t>
  </si>
  <si>
    <t>SACE720218MDFDRS07</t>
  </si>
  <si>
    <t>SAMT070328MJCLCRA2</t>
  </si>
  <si>
    <t>SAZA660512MNLLVR07</t>
  </si>
  <si>
    <t>SAMK901018MNLNGR00</t>
  </si>
  <si>
    <t>SARZ690512MDFNMD07</t>
  </si>
  <si>
    <t>SAEA890805MSFNSL01</t>
  </si>
  <si>
    <t>SAGR830202MDFNNS00</t>
  </si>
  <si>
    <t>SOGM780801MDFSRR00</t>
  </si>
  <si>
    <t>TESA730122MDFCNN04</t>
  </si>
  <si>
    <t>TOCG811108MDFRRD05</t>
  </si>
  <si>
    <t>TOMY900615MPLRCR05</t>
  </si>
  <si>
    <t>TORE720816MNLVZROO</t>
  </si>
  <si>
    <t>UIMS780811MDFRRS04</t>
  </si>
  <si>
    <t>VANS831124MDFLXS06</t>
  </si>
  <si>
    <t>VAVC790505MMSRRR07</t>
  </si>
  <si>
    <t>VXCA970128MASZML03</t>
  </si>
  <si>
    <t>VERM740104MNLGMY05</t>
  </si>
  <si>
    <t>VEFA850327MVZLRN01</t>
  </si>
  <si>
    <t>VIAA740814MDFLNN01</t>
  </si>
  <si>
    <t>ZADS830225MPLCNB02</t>
  </si>
  <si>
    <t>ZARE760602MDFRMM03</t>
  </si>
  <si>
    <t>ZARJ960810HDFVSL02</t>
  </si>
  <si>
    <t>AOCA950221MJCCMN03</t>
  </si>
  <si>
    <t>AUVC701122MDFGYC09</t>
  </si>
  <si>
    <t>BAPL891228MGTRRL03</t>
  </si>
  <si>
    <t>BARC950716MGTRVR02</t>
  </si>
  <si>
    <t>CAAK891211MPLRGR00</t>
  </si>
  <si>
    <t>CANJ930223MYNSVN06</t>
  </si>
  <si>
    <t>CARM740120MDFRMR06</t>
  </si>
  <si>
    <t>CAXX851129MMCRCC03</t>
  </si>
  <si>
    <t>EICB990809MSLSSL04</t>
  </si>
  <si>
    <t>GOTY730327MDFMRD01</t>
  </si>
  <si>
    <t>LOLB960220MDFPPR05</t>
  </si>
  <si>
    <t>LOPR010914MDFRSBA7</t>
  </si>
  <si>
    <t>PALY900101MPLZPZ09</t>
  </si>
  <si>
    <t>PEPJ860928MDFRXS02</t>
  </si>
  <si>
    <t>QUGB890601MNLXRR03</t>
  </si>
  <si>
    <t>REME940901MDFBTV02</t>
  </si>
  <si>
    <t>ROMI910617MOCSLV03</t>
  </si>
  <si>
    <t>SAON870903MDFNSN07</t>
  </si>
  <si>
    <t>SEDG701001MNLRZD07</t>
  </si>
  <si>
    <t>VEDS920718MDFRRR09</t>
  </si>
  <si>
    <t>AIPS930419MDFRDH03</t>
  </si>
  <si>
    <t>BARRANQUILLA # 162 COL. DANIEL GARZA C.P. 11830 MIGUEL HIDALGO, CDMX</t>
  </si>
  <si>
    <t>MANZANILLA MZ 47 LT 13 COL. LOMAS DE SAN LORENZO .CP. 09780 IZTAPALAPA, CDMX</t>
  </si>
  <si>
    <t>CALLE RIO SABINAS # 515 COL. COLINAS DEL RIO GARCIA C.P. 66006 GARCIA, N.L.</t>
  </si>
  <si>
    <t>C NOPAL 119 B 303 COL ATLAMPA 06450 CUAUHTEMOC, CDMX</t>
  </si>
  <si>
    <t>C 40 A POR 59 Y 61 560 FRACC REPARTO GRANJAS 97370 KANASIN, YUC</t>
  </si>
  <si>
    <t>CDA. 5 DE MAYO, MZ 2  L-48 D, COL. IGNACIO ZARAGOZA, C.P. 54457 NICOLÁS ROMERO, MEX.</t>
  </si>
  <si>
    <t>C. JARDINES JAPONESES # 3434 COL. LAGOS DE ORIENTE C.P. 44770 GUADALAJARA, JAL.</t>
  </si>
  <si>
    <t>C. FRONTERA  COL. MIGUEL DE LA MADRID C.P. 09690 IZTAPALAPA, CDMX.</t>
  </si>
  <si>
    <t>NORTE 72# 8004 COL. SALVADOR DIAZ MIRON C.P. 07400 GUSTAVO A. MADERO, CDMX.</t>
  </si>
  <si>
    <t>AND. PUENTE CORREO MAYOR # 85 COL. CUCHILLA RAMOS MILLAN C.P.08030 IZTACALCO, CDMX.</t>
  </si>
  <si>
    <t>Código postal</t>
  </si>
  <si>
    <t>02420</t>
  </si>
  <si>
    <t>09180</t>
  </si>
  <si>
    <t>04300</t>
  </si>
  <si>
    <t>03700</t>
  </si>
  <si>
    <t>04600</t>
  </si>
  <si>
    <t>09708</t>
  </si>
  <si>
    <t>01299</t>
  </si>
  <si>
    <t>09780</t>
  </si>
  <si>
    <t>01700</t>
  </si>
  <si>
    <t>04480</t>
  </si>
  <si>
    <t>09319</t>
  </si>
  <si>
    <t>09800</t>
  </si>
  <si>
    <t>07240</t>
  </si>
  <si>
    <t>09720</t>
  </si>
  <si>
    <t>07089</t>
  </si>
  <si>
    <t>09130</t>
  </si>
  <si>
    <t>02459</t>
  </si>
  <si>
    <t>05860</t>
  </si>
  <si>
    <t>01130</t>
  </si>
  <si>
    <t>01770</t>
  </si>
  <si>
    <t>09230</t>
  </si>
  <si>
    <t>09760</t>
  </si>
  <si>
    <t>02200</t>
  </si>
  <si>
    <t>07230</t>
  </si>
  <si>
    <t>07420</t>
  </si>
  <si>
    <t>05129</t>
  </si>
  <si>
    <t>09714</t>
  </si>
  <si>
    <t>07510</t>
  </si>
  <si>
    <t>09640</t>
  </si>
  <si>
    <t>09850</t>
  </si>
  <si>
    <t>01270</t>
  </si>
  <si>
    <t>07509</t>
  </si>
  <si>
    <t>09829</t>
  </si>
  <si>
    <t>09890</t>
  </si>
  <si>
    <t>01859</t>
  </si>
  <si>
    <t>07010</t>
  </si>
  <si>
    <t>Teléfono celular</t>
  </si>
  <si>
    <t>7299425107</t>
  </si>
  <si>
    <t>5522467975</t>
  </si>
  <si>
    <t>3326550240</t>
  </si>
  <si>
    <t>8131400123</t>
  </si>
  <si>
    <t>5634440841</t>
  </si>
  <si>
    <t>RFC</t>
  </si>
  <si>
    <t>EDAD</t>
  </si>
  <si>
    <t xml:space="preserve">AÑOS LABORANDO </t>
  </si>
  <si>
    <t>SEXO</t>
  </si>
  <si>
    <t>ESTADO       CIVIL</t>
  </si>
  <si>
    <t>ORIGINARIO</t>
  </si>
  <si>
    <t>AACA901227NU8</t>
  </si>
  <si>
    <t>CASADA</t>
  </si>
  <si>
    <t>SOLTERA</t>
  </si>
  <si>
    <t>AOPS930724Q99</t>
  </si>
  <si>
    <t>AUAM830827C9A</t>
  </si>
  <si>
    <t>AUCT790610QLA</t>
  </si>
  <si>
    <t>AURR8510079A3</t>
  </si>
  <si>
    <t>AUCA820815E84</t>
  </si>
  <si>
    <t>AAVV960215NEE</t>
  </si>
  <si>
    <t>AAAA981111JM9</t>
  </si>
  <si>
    <t>SOLTERO</t>
  </si>
  <si>
    <t>AAMA7711301L8</t>
  </si>
  <si>
    <t>VERACRUZ</t>
  </si>
  <si>
    <t>AASL911213HJ8</t>
  </si>
  <si>
    <t>AASR890320CWA</t>
  </si>
  <si>
    <t>AAVJ981126V17</t>
  </si>
  <si>
    <t>AALN6904198N7</t>
  </si>
  <si>
    <t>AAZY821001M56</t>
  </si>
  <si>
    <t>AISA760725HM2</t>
  </si>
  <si>
    <t>AACM9212012C7</t>
  </si>
  <si>
    <t>AUAI960226HI2</t>
  </si>
  <si>
    <t>AEVY920630HJ6</t>
  </si>
  <si>
    <t>AISA700913UM9</t>
  </si>
  <si>
    <t>AISE830913FL8</t>
  </si>
  <si>
    <t>AACL990826R88</t>
  </si>
  <si>
    <t>AIBF960819583</t>
  </si>
  <si>
    <t>AIBG9003256S4</t>
  </si>
  <si>
    <t>AAKI050607ET2</t>
  </si>
  <si>
    <t>AASM8110214Q1</t>
  </si>
  <si>
    <t>BAFK950723GH7</t>
  </si>
  <si>
    <t>BAAG760617FZ6</t>
  </si>
  <si>
    <t>BANC870724AR6</t>
  </si>
  <si>
    <t>BARA7512232X2</t>
  </si>
  <si>
    <t>BACM810314N51</t>
  </si>
  <si>
    <t>BACR840206N90</t>
  </si>
  <si>
    <t>BEBK910421361</t>
  </si>
  <si>
    <t>BACA621206BQ9</t>
  </si>
  <si>
    <t>BOTF940819C21</t>
  </si>
  <si>
    <t>BUML660816P67</t>
  </si>
  <si>
    <t>CAGJ8205053H2</t>
  </si>
  <si>
    <t>CAGX860825N59</t>
  </si>
  <si>
    <t>CARY860628HB5</t>
  </si>
  <si>
    <t>CAFY780117D72</t>
  </si>
  <si>
    <t>CAHJ951014UZ1</t>
  </si>
  <si>
    <t>CAMT750917DN7</t>
  </si>
  <si>
    <t>CAOE010226P10</t>
  </si>
  <si>
    <t>CECG9808151L1</t>
  </si>
  <si>
    <t>CARJ830315NR7</t>
  </si>
  <si>
    <t>CIFL710713J44</t>
  </si>
  <si>
    <t>COCE820704472</t>
  </si>
  <si>
    <t>COMB750505KA4</t>
  </si>
  <si>
    <t>COJM8503216C7</t>
  </si>
  <si>
    <t>COAG901201TQ5</t>
  </si>
  <si>
    <t>COOO6507091T5</t>
  </si>
  <si>
    <t>COHK030515KQ9</t>
  </si>
  <si>
    <t>CESS6606054T3</t>
  </si>
  <si>
    <t>CURX920927QS3</t>
  </si>
  <si>
    <t>CUZN671129N21</t>
  </si>
  <si>
    <t>CUSM810328DLA</t>
  </si>
  <si>
    <t>LECA8811052R9</t>
  </si>
  <si>
    <t>DIAJ740407JG3</t>
  </si>
  <si>
    <t>DIHZ8412024A5</t>
  </si>
  <si>
    <t>DUVJ700517A47</t>
  </si>
  <si>
    <t>EAAL940425TY8</t>
  </si>
  <si>
    <t>EANM830613UH5</t>
  </si>
  <si>
    <t>FAHJ881029DZ9</t>
  </si>
  <si>
    <t>FECH7801209H0</t>
  </si>
  <si>
    <t>SAN LUIS POTOSI</t>
  </si>
  <si>
    <t>FESM770206R38</t>
  </si>
  <si>
    <t>FOSJ690404KD9</t>
  </si>
  <si>
    <t>CASADO</t>
  </si>
  <si>
    <t>FOUG840917RO9</t>
  </si>
  <si>
    <t>FOUC8002114X4</t>
  </si>
  <si>
    <t>FOMY870419FP9</t>
  </si>
  <si>
    <t>FAAM730930AT0</t>
  </si>
  <si>
    <t>FUHV9202052Q2</t>
  </si>
  <si>
    <t>GAGA860212KH4</t>
  </si>
  <si>
    <t>GAGA7302198T8</t>
  </si>
  <si>
    <t>GAGA750324AI8</t>
  </si>
  <si>
    <t>GATL740407QZ9</t>
  </si>
  <si>
    <t>GAVY851009143</t>
  </si>
  <si>
    <t>GOBS811211AC8</t>
  </si>
  <si>
    <t>GOGC9008034N9</t>
  </si>
  <si>
    <t>GOMM690227KI1</t>
  </si>
  <si>
    <t>GOBD810811FK9</t>
  </si>
  <si>
    <t>GODH671117KJ3</t>
  </si>
  <si>
    <t>CHIHUAHUA</t>
  </si>
  <si>
    <t>GOMM670418FK6</t>
  </si>
  <si>
    <t>GOMM8002144V4</t>
  </si>
  <si>
    <t>GOVM800313GG9</t>
  </si>
  <si>
    <t>GURM850517TJ8</t>
  </si>
  <si>
    <t>GUPN800727EN6</t>
  </si>
  <si>
    <t>GURM6910255S9</t>
  </si>
  <si>
    <t>GULL680507SS0</t>
  </si>
  <si>
    <t>GUVL6607287Q5</t>
  </si>
  <si>
    <t>HAAI810729I99</t>
  </si>
  <si>
    <t>HEAD661106NY6</t>
  </si>
  <si>
    <t>HEBM930430CDA</t>
  </si>
  <si>
    <t>HEBN840131R12</t>
  </si>
  <si>
    <t>HECA970328228</t>
  </si>
  <si>
    <t>HECA8607194Z5</t>
  </si>
  <si>
    <t>HEFP890212JR4</t>
  </si>
  <si>
    <t>HEGN900205LN6</t>
  </si>
  <si>
    <t>HEHG9209263C3</t>
  </si>
  <si>
    <t>JEHJ8504259Y1</t>
  </si>
  <si>
    <t>HEMA910530683</t>
  </si>
  <si>
    <t>HESA860502AE6</t>
  </si>
  <si>
    <t>EIHY8010023A5</t>
  </si>
  <si>
    <t>HEZC7705278T1</t>
  </si>
  <si>
    <t>IARG700313CXA</t>
  </si>
  <si>
    <t>IAMJ750905KHA</t>
  </si>
  <si>
    <t>JIRB840803MV2</t>
  </si>
  <si>
    <t>JUPP900126B95</t>
  </si>
  <si>
    <t>KOAN6610189Y1</t>
  </si>
  <si>
    <t>LAGR690616JS0</t>
  </si>
  <si>
    <t>LERP980324KV9</t>
  </si>
  <si>
    <t>LILR7412147S7</t>
  </si>
  <si>
    <t>LILG040316QG6</t>
  </si>
  <si>
    <t>LOPV7104163N6</t>
  </si>
  <si>
    <t>LOAS8908031P0</t>
  </si>
  <si>
    <t>LOCL861202K94</t>
  </si>
  <si>
    <t>LOES870520MH2</t>
  </si>
  <si>
    <t>LOGL710929J95</t>
  </si>
  <si>
    <t>LUGI830218270</t>
  </si>
  <si>
    <t>LUVN9210079Y7</t>
  </si>
  <si>
    <t>MAGL801031BR0</t>
  </si>
  <si>
    <t>MACJ940831DY6</t>
  </si>
  <si>
    <t>MACE7601126G2</t>
  </si>
  <si>
    <t>MAGL810512DN1</t>
  </si>
  <si>
    <t>MAGG841212LZA</t>
  </si>
  <si>
    <t>MEJB731105AD8</t>
  </si>
  <si>
    <t>MEMV960314L31</t>
  </si>
  <si>
    <t>MESR950111RP6</t>
  </si>
  <si>
    <t>MEVA820221HM7</t>
  </si>
  <si>
    <t>MEFC770716N70</t>
  </si>
  <si>
    <t>MOVM750128QI4</t>
  </si>
  <si>
    <t>MOCD780209U57</t>
  </si>
  <si>
    <t>MOGV860225UB5</t>
  </si>
  <si>
    <t>MORL0110221I1</t>
  </si>
  <si>
    <t>MOLC751005LT9</t>
  </si>
  <si>
    <t>MOVN851109F87</t>
  </si>
  <si>
    <t>MOGZ760824NU3</t>
  </si>
  <si>
    <t>MOOM850521B14</t>
  </si>
  <si>
    <t>MOTT860902AE7</t>
  </si>
  <si>
    <t>MORG720310FY5</t>
  </si>
  <si>
    <t>MUSY010805K27</t>
  </si>
  <si>
    <t>MUCM8604065L8</t>
  </si>
  <si>
    <t>NUCT820726UM4</t>
  </si>
  <si>
    <t>OEAR910121E19</t>
  </si>
  <si>
    <t>OECA900929RS8</t>
  </si>
  <si>
    <t>OEHO8004195N5</t>
  </si>
  <si>
    <t>OERW970323FF3</t>
  </si>
  <si>
    <t>OIBC680213QX0</t>
  </si>
  <si>
    <t>OIME680208L15</t>
  </si>
  <si>
    <t>OIVD77121412A</t>
  </si>
  <si>
    <t>OOCC840322UB1</t>
  </si>
  <si>
    <t>PABE900325JLA</t>
  </si>
  <si>
    <t>PARD7801093JA</t>
  </si>
  <si>
    <t>PEDM8309085T7</t>
  </si>
  <si>
    <t>PEHL700425CB0</t>
  </si>
  <si>
    <t>PESM7506239V1</t>
  </si>
  <si>
    <t>PETD820422V15</t>
  </si>
  <si>
    <t>PIZL721219PD5</t>
  </si>
  <si>
    <t>VIUDA</t>
  </si>
  <si>
    <t>PIRC790514F75</t>
  </si>
  <si>
    <t>QURM901209I51</t>
  </si>
  <si>
    <t>QULE920125T89</t>
  </si>
  <si>
    <t>QUMS810606GM9</t>
  </si>
  <si>
    <t>QUGA900222GK1</t>
  </si>
  <si>
    <t>RABA821221AY9</t>
  </si>
  <si>
    <t>RACM691117MI1</t>
  </si>
  <si>
    <t>RADM841007PV5</t>
  </si>
  <si>
    <t>RAFY810816QQ7</t>
  </si>
  <si>
    <t>RAFI0304261Z4</t>
  </si>
  <si>
    <t>RALC980106AQ6</t>
  </si>
  <si>
    <t>RARG891121V7A</t>
  </si>
  <si>
    <t>RARD940824GD5</t>
  </si>
  <si>
    <t>RAPA700823254</t>
  </si>
  <si>
    <t>RAVB711204QE5</t>
  </si>
  <si>
    <t>RAVS810830NP7</t>
  </si>
  <si>
    <t>REHD720114SL0</t>
  </si>
  <si>
    <t>REAL8405143R6</t>
  </si>
  <si>
    <t>RECA790704A70</t>
  </si>
  <si>
    <t>REGY800929KY4</t>
  </si>
  <si>
    <t>REHL7511098T1</t>
  </si>
  <si>
    <t>REME750603BY9</t>
  </si>
  <si>
    <t>RIRM731017KH2</t>
  </si>
  <si>
    <t>ROBO701009PX0</t>
  </si>
  <si>
    <t>ROGG921211QJA</t>
  </si>
  <si>
    <t>ROGR810226QK8</t>
  </si>
  <si>
    <t>ROMT761206L82</t>
  </si>
  <si>
    <t>ROSF700107DX5</t>
  </si>
  <si>
    <t>ROSB880225TB3</t>
  </si>
  <si>
    <t>ROSF901203PU1</t>
  </si>
  <si>
    <t>ROGN750803F33</t>
  </si>
  <si>
    <t>ROLM770618HEO</t>
  </si>
  <si>
    <t>ROLN7511163LA</t>
  </si>
  <si>
    <t>RULR7309126Q1</t>
  </si>
  <si>
    <t>SACE720218F71</t>
  </si>
  <si>
    <t>SAMT070328GW7</t>
  </si>
  <si>
    <t>SAZA6605128C2</t>
  </si>
  <si>
    <t>SAMK9010182D4</t>
  </si>
  <si>
    <t>SARZ690512QY0</t>
  </si>
  <si>
    <t>SAEA890805SR5</t>
  </si>
  <si>
    <t>SAGR830202A60</t>
  </si>
  <si>
    <t>SOGM780801KAA</t>
  </si>
  <si>
    <t>TESA730122QY4</t>
  </si>
  <si>
    <t>TOCG811108128</t>
  </si>
  <si>
    <t>TOMY900615QA4</t>
  </si>
  <si>
    <t>TORE720816GF3</t>
  </si>
  <si>
    <t>UIMS780811E41</t>
  </si>
  <si>
    <t>VANS8311248V7</t>
  </si>
  <si>
    <t>MICHOACAN</t>
  </si>
  <si>
    <t>VAVC790505294</t>
  </si>
  <si>
    <t>VACA970128DM9</t>
  </si>
  <si>
    <t>VERM7401048B1</t>
  </si>
  <si>
    <t>VEFA850327R77</t>
  </si>
  <si>
    <t>VIAA740814PP8</t>
  </si>
  <si>
    <t>ZADS8302256I8</t>
  </si>
  <si>
    <t>ZARE7606028C4</t>
  </si>
  <si>
    <t>ZARJ960710NJ6</t>
  </si>
  <si>
    <t>DERMOCONSEJO</t>
  </si>
  <si>
    <t>CARM7401203I8</t>
  </si>
  <si>
    <t>GOTY730327TY5</t>
  </si>
  <si>
    <t>REME940901QN9</t>
  </si>
  <si>
    <t>MOR881004MDFRZR02</t>
  </si>
  <si>
    <t>AIPS9304199L5</t>
  </si>
  <si>
    <t>MUJER</t>
  </si>
  <si>
    <t>HOMBRE</t>
  </si>
  <si>
    <t>QUGB8906012S8</t>
  </si>
  <si>
    <t>ROCO960124AM6</t>
  </si>
  <si>
    <t>ROCO960124HDFJLS00</t>
  </si>
  <si>
    <t>AUVC701122HI0</t>
  </si>
  <si>
    <t>BAPL8912289T5</t>
  </si>
  <si>
    <t>LOPR010914P76</t>
  </si>
  <si>
    <t>SAON870903AS3</t>
  </si>
  <si>
    <t>VEDS920718NK7</t>
  </si>
  <si>
    <t>LOLB960220...</t>
  </si>
  <si>
    <t>VARH891111EN8</t>
  </si>
  <si>
    <t>VARH891111HMCLDC05</t>
  </si>
  <si>
    <t>01110</t>
  </si>
  <si>
    <t>SAMC821221IM0</t>
  </si>
  <si>
    <t>SAMC821221MDFNRR07</t>
  </si>
  <si>
    <t>FOUD820713JW7</t>
  </si>
  <si>
    <t>FOUD820713MDFLRY03</t>
  </si>
  <si>
    <t>JUAREZ 43 HAB BAJ 1 CALLEJON DEL ARTISTA BARRIO NORTE VMC. C.P. 01410 CIUDAD DE MEXICO, CDMX</t>
  </si>
  <si>
    <t>CACD840403SN3</t>
  </si>
  <si>
    <t>CACD840403MDFLRY03</t>
  </si>
  <si>
    <t>SAHD040813CWA</t>
  </si>
  <si>
    <t>SAHD040813MMCNRNA6</t>
  </si>
  <si>
    <t>CALLE 39 143 2 1A 2A AVENIDA EL SOLC.P.57200 NEZAHUALCOYOTL MEX.</t>
  </si>
  <si>
    <t>LORJ770731F53</t>
  </si>
  <si>
    <t>LORJ770731MDFPZC02</t>
  </si>
  <si>
    <t>LIMON LOPEZ MARIA DEL ROSARIO</t>
  </si>
  <si>
    <t>09830</t>
  </si>
  <si>
    <t>Domicilio Completo</t>
  </si>
  <si>
    <t>55 1813 6592</t>
  </si>
  <si>
    <t>AOCA950221</t>
  </si>
  <si>
    <t>BARC950716</t>
  </si>
  <si>
    <t>CAAK891211</t>
  </si>
  <si>
    <t>CANJ930223</t>
  </si>
  <si>
    <t>CAXX851129</t>
  </si>
  <si>
    <t>EICB990809</t>
  </si>
  <si>
    <t>MOR881004M</t>
  </si>
  <si>
    <t>PALY900101</t>
  </si>
  <si>
    <t>PEPJ860928</t>
  </si>
  <si>
    <t>ROMI910617</t>
  </si>
  <si>
    <t>SEDG701001</t>
  </si>
  <si>
    <t>AEVM830306R59</t>
  </si>
  <si>
    <t>AEVM830306MDFLLR02</t>
  </si>
  <si>
    <t>VERGELITO 283 CP.57000, MADRUGADA Y 4 AV, BENITO JUAREZ LA AURORA, C.P. 57000, NEZAHUALCOYOTL, MEX.</t>
  </si>
  <si>
    <t>MESL750325IY7</t>
  </si>
  <si>
    <t>MESL750325MJCRLS04</t>
  </si>
  <si>
    <t>PILAR ROMERO</t>
  </si>
  <si>
    <t>COORDINADORA DC</t>
  </si>
  <si>
    <t>CASADA/O</t>
  </si>
  <si>
    <t>SOLTERA/O</t>
  </si>
  <si>
    <t>83104</t>
  </si>
  <si>
    <t>67714</t>
  </si>
  <si>
    <t>72825</t>
  </si>
  <si>
    <t>45412</t>
  </si>
  <si>
    <t>02860</t>
  </si>
  <si>
    <t>37209</t>
  </si>
  <si>
    <t>66630</t>
  </si>
  <si>
    <t>72490</t>
  </si>
  <si>
    <t>97166</t>
  </si>
  <si>
    <t>07400</t>
  </si>
  <si>
    <t>55719</t>
  </si>
  <si>
    <t>43815</t>
  </si>
  <si>
    <t>81238</t>
  </si>
  <si>
    <t>06450</t>
  </si>
  <si>
    <t>07440</t>
  </si>
  <si>
    <t>08030</t>
  </si>
  <si>
    <t>07410</t>
  </si>
  <si>
    <t>56643</t>
  </si>
  <si>
    <t>14100</t>
  </si>
  <si>
    <t>54460</t>
  </si>
  <si>
    <t>66210</t>
  </si>
  <si>
    <t>03660</t>
  </si>
  <si>
    <t>66646</t>
  </si>
  <si>
    <t>68125</t>
  </si>
  <si>
    <t>07940</t>
  </si>
  <si>
    <t>64210</t>
  </si>
  <si>
    <t>66418</t>
  </si>
  <si>
    <t>66475</t>
  </si>
  <si>
    <t>09690</t>
  </si>
  <si>
    <t>01830</t>
  </si>
  <si>
    <t>44990</t>
  </si>
  <si>
    <t>CIUDAD DE MEXICO</t>
  </si>
  <si>
    <t>JALISCO</t>
  </si>
  <si>
    <t>ESTADO DE MEXICO</t>
  </si>
  <si>
    <t>NACIDO EN EL EXTRANJERO</t>
  </si>
  <si>
    <t>NUEVO LEON</t>
  </si>
  <si>
    <t>COAHUILA</t>
  </si>
  <si>
    <t>DESCONOCIDO</t>
  </si>
  <si>
    <t>CHIAPAS</t>
  </si>
  <si>
    <t>GUERRERO</t>
  </si>
  <si>
    <t>MORELOS</t>
  </si>
  <si>
    <t>TABASCO</t>
  </si>
  <si>
    <t>OAXACA</t>
  </si>
  <si>
    <t>AGUASCALIENTES</t>
  </si>
  <si>
    <t>VENTAS</t>
  </si>
  <si>
    <t>IAGF010914732</t>
  </si>
  <si>
    <t>IAGF010914MTSBYBA9</t>
  </si>
  <si>
    <t>LAGO CHURUBUSCO MZ 12 LT23 INT 226 GEOVILLAS DE TERRANOVA ALCOLMAN EDO MEX CP 55883 MÉXICO</t>
  </si>
  <si>
    <t>LAGUNA DE VALLE DE BRAVO MZ23 LT1 CASA 44 LOS HÉROES CHALCO LLL  CHALCO  CP 56644 MÉXICO</t>
  </si>
  <si>
    <t>ANTONIO CASA MZ-9 LT-29 ZONA ESCOLAR GUSTAVO ANTONIO MADERO CP 07230 CIUDAD DE MÉXICO</t>
  </si>
  <si>
    <t>CLOUTHIER 129-A  LA LOMA LL ZINACANTEPEC  CP 51355 MÉXICO</t>
  </si>
  <si>
    <t>PROMOTORES 144 ALTARES RANCHO GRANDE HERMOSILLO  CP 83296 SONORA</t>
  </si>
  <si>
    <t>ALFREDO V. BONFIL EDIF 4 INT 304 CTM CULHUACAN CROC COYOACAN CP 04480 CIUDAD DE MÉXICO</t>
  </si>
  <si>
    <t>MOCORITO, #2030 ADOLFO LOPEZ MATEOS AHOME CP 81238 SINALOA</t>
  </si>
  <si>
    <t>NORTE 72 8004 SALVADOR DÍAZ MIRON GAM CP 7400 CIUDAD DE MÉXICO</t>
  </si>
  <si>
    <t>ARTESANAL #217 BARRIO DE LA INDUSTRIA MONTERREY CP 64102 NUEVO LEÓN</t>
  </si>
  <si>
    <t>LAVANDA 923 VALLE FLORESTA  PESQUERÍA  CP 66655 NUEVO LEÓN</t>
  </si>
  <si>
    <t>CÓRDOBA #3111  PUERTA DE LAS MITRAS  SANTA CATARINA  CP 66359 NUEVO LEÓN</t>
  </si>
  <si>
    <t>CERRADA DE VÍA MORELOS #32 INTERIOR 22  SAN JUAN ALCAHUACAN  SAN CRISTÓBAL ECATEPEC  CP 55040 MÉXICO</t>
  </si>
  <si>
    <t>LINDA VISTA S/N SAN FELIPE TLALMIMILOLPAN  TOLUCA CP 50250 MÉXICO</t>
  </si>
  <si>
    <t>FUENTE MARIANA 888 GEO VILLAS DE LA INDEPENDENCIA  SAN MATEO OTZACATIPAN CP 50010 MÉXICO</t>
  </si>
  <si>
    <t>MARTINICA 32 DEP.186 TIZAYUCA HIDALGO  HIDALGO  CP 43816 CIUDAD DE MÉXICO</t>
  </si>
  <si>
    <t>JACARANDAS MZ 2 LT 5 LOS ANGELES IZTAPALAPA CP 9830 CIUDAD DE MÉXICO</t>
  </si>
  <si>
    <t>AV PLAZA CENTRAL NO 82 MZ16 LT 26 MZ 27 PLAZAS ARAGÓN  NEZAHUALCÓYOTL  CP 57139 MÉXICO</t>
  </si>
  <si>
    <t>HUAUCHINANGO 716 VICENTE GUERRERO  PUEBLA CP 72470 PUEBLA</t>
  </si>
  <si>
    <t>ACATITLA 16  COL.LA VIGA  SAN ANDRES CHOLULA  CP 72825 PUEBLA</t>
  </si>
  <si>
    <t>ABRAHAM CASTELLANOS MZ 28 LT 11 AMPLIACIÓN GABRIEL HERNÁNDEZ  GUSTAVO A. MADERO CP 07089 CIUDAD DE MÉXICO</t>
  </si>
  <si>
    <t>MANUEL DE FALLA #3267 SAN ANDRÉS  GUADALAJARA  CP 44810 JALISCO</t>
  </si>
  <si>
    <t>BETLEHEM 3296 LAGOS DE ORIENTE GUADALAJARA  CP 44770 JALISCO</t>
  </si>
  <si>
    <t>CTO. DEL BOSQUE #57 FRACC VIVEROS DE CEDROS , COL MANANTIALES SAN JUAN DEL RIO  CP 76803 QUERÉTARO</t>
  </si>
  <si>
    <t>CANADA 60 MÉXICO 86 NAUCALPAN DE JUÁREZ  CP 53428 MÉXICO</t>
  </si>
  <si>
    <t>SENDERO MUNICIPAL #218, LAS AMERICAS, APODACA, CP 66630, NUEVO LEÓN</t>
  </si>
  <si>
    <t>CALLE MANUEL GUTIÉRREZ NÁJERA #40 LAS PALMAS  NEZAHUALCÓYOTL  CP 57440 CIUDAD DE MÉXICO</t>
  </si>
  <si>
    <t>8VO RETORNO 5 B SUR 1_ F  INFONAVIT LOMA BELLA  PUEBLA  CP 72474 PUEBLA</t>
  </si>
  <si>
    <t>CALLE LOMA GRANDE #169 SAN JUAN IZTACALA PLANO NORTE ATIZAPÁN DE ZARAGOZA  CP 52928 MÉXICO</t>
  </si>
  <si>
    <t>CANARIAS 17 FRACCIONAMIENTO HÉROES  TIZAYUCA  TIZAYUCA HIDALGO  CP 43816 HIDALGO</t>
  </si>
  <si>
    <t>AUTÓNOMA DE YUCATAN 1634 UNIVERSIDADES  PUEBLA  CP 72589 PUEBLA</t>
  </si>
  <si>
    <t>XANAMBRES  77 NUEVA TEZOZOMOC AZCAPOTZALCO  CP 02459 CIUDAD DE MÉXICO</t>
  </si>
  <si>
    <t>AMAPOLA #204 ALAMEDAS DE ZALATITAN TONALA CP 45407 JALISCO</t>
  </si>
  <si>
    <t>OLIVOS #34 CUAUHTÉMOC  LA MAGDALENA CONTRERAS  CP 10020 MÉXICO</t>
  </si>
  <si>
    <t>LUIS BRAILE 111, SAN SIMÓN TICUMAC, BENITO JUÁREZ, CP 3660, CIUDAD DE MÉXICO</t>
  </si>
  <si>
    <t>CHOPOS NTE # 56 INDECO MONTERREY CP 64330 NUEVO LEÓN</t>
  </si>
  <si>
    <t>CALLE OTOMIES MZ 84 LT 5 BIS  AJUSCO  COYOACÁN  CP 04300 CIUDAD DE MÉXICO</t>
  </si>
  <si>
    <t>TEZOZOMOC#31  ANCON LOS REYES LA PAZ CP 56410 MÉXICO</t>
  </si>
  <si>
    <t>HERMENEGILDO GALEANA #11.B SANTA MARÍA NATIVITAS  XOCHIMILCO  CP 16450 CIUDAD DE MÉXICO</t>
  </si>
  <si>
    <t>AVENIDA CAMARÓN MANZANA 6 LOTE 8 CARACOL VENUSTIANO CARRANZA CP 15630 MÉXICO</t>
  </si>
  <si>
    <t>JUAN ESCUTIA 302 SAN MARCOS YACHIHUACALTEPEC TOLUCA CP 50285 MÉXICO</t>
  </si>
  <si>
    <t>TLATILCO 51, TLATILCO, AZCAPOTZALCO, CP 2860, CIUDAD DE MÉXICO</t>
  </si>
  <si>
    <t>MATLAZINCAS 208, INTERIOR 28 CERRITO COLORADO SANTIAGO DE QUERÉTARO  CP 76116 QUERÉTARO</t>
  </si>
  <si>
    <t>ANDADOR SAN MARCOS E1 302 FRACC. EL ROSARIO. COLONIA EX HACIENDA CHAPULCO PUEBLA CP 72494 PUEBLA</t>
  </si>
  <si>
    <t>IGNACIO ALLENDE 143 ARGENTINA  MIGUEL HIDALGO  CP 11270 CIUDAD DE MÉXICO</t>
  </si>
  <si>
    <t>HACIENDA TANIL 36 HACIENDA REAL TONALA CP 45428 JALISCO</t>
  </si>
  <si>
    <t>CUAUTEPEC LT 3 ARBOLILLO  GAM CP 07240 CIUDAD DE MÉXICO</t>
  </si>
  <si>
    <t>2 CERRADA DE MAGUEYES LT 10 A MZ 37 TLACOYAQUE ALVARO OBREGÓN  CP 01859 CIUDAD DE MÉXICO</t>
  </si>
  <si>
    <t>FUENTE DE VULCANO. N.163A FUENTES DEL VALLE TULTITLAN  CP 54910 MÉXICO</t>
  </si>
  <si>
    <t>CALZADA EE GUADALUPE 43 SAN RAFAEL CHAMAPA 2A SECCIÓN  NAUCALPAN DE JUAREZ CP 53660 MÉXICO</t>
  </si>
  <si>
    <t>JUAN DIEGO MZA16 LT 1 CS10 LOS HEROES COACALCO COACALCO  CP 55712 CIUDAD DE MÉXICO</t>
  </si>
  <si>
    <t>CERRADA DE GUADALUPE #67 HACIENDA LAS PALMAS IXTAPALUCA ESTADO DE MÉXICO.  IXTAPALUCA  CP 56535 MÉXICO</t>
  </si>
  <si>
    <t>AV. EDUARDO MOLINA #1720 EDIF 24 DEPTO502, VASCO DE QUIROGA, GUSTAVO A. MADERO, CP 7440, MÉXICO</t>
  </si>
  <si>
    <t>CUAUTEPEC 3 EL ARBOLILLO GAM CP 07240 CIUDAD DE MÉXICO</t>
  </si>
  <si>
    <t>BILBAO 392 EDIF 8 DEPTO 304 SAN NICOLÁS TOLENTINO  IZTAPALAPA  CP 09850 CIUDAD DE MÉXICO</t>
  </si>
  <si>
    <t>LOMA ALEGRE #6 AMPLIACIÓN EL SANTUARIO  IZTAPALAPA  CP 09829 CIUDAD DE MÉXICO</t>
  </si>
  <si>
    <t>JOSÉ MARÍA MORELOS PONIENTE MZ4 LT 27 INT 55 LOS HEROES ECATEPEC 1 SECC ECATEPEC  CP 55023 MÉXICO</t>
  </si>
  <si>
    <t>VENUSTIANO CARRANZA MZ 46 LT 4 PRESIDENTES DE MÉXICO  IZTAPALAPA  CP 09714 CIUDAD DE MÉXICO</t>
  </si>
  <si>
    <t>VILLA DE CORTES MZ63 LT 25 ESTACION VIILLA DE CORTES TLAHUAC CP 13319 CIUDAD DE MÉXICO</t>
  </si>
  <si>
    <t>CDA. ANDREA DEL CASTAÑO #21 NONOALCO MIXCOAC  BENITO JUÁREZ  CP 03700 CIUDAD DE MÉXICO</t>
  </si>
  <si>
    <t>MEXICO LINDO #372 NEZAHUALCOYOTL  BENITO JUAREZ CP 57000 CIUDAD DE MÉXICO</t>
  </si>
  <si>
    <t>HORTENSIA 7, LOMAS DE SAN LORENZO, IZTAPALAPA, CP 9780, CIUDAD DE MÉXICO</t>
  </si>
  <si>
    <t>ENRIQUE QUIJADA 777 ÁLVARO OBREGÓN  SONORA  CP 83170 SONORA</t>
  </si>
  <si>
    <t>CANAL DEL AGUILA 5621 A VALLE VERDE 2 SECTOR MONTERREY CP 64117 NUEVO LEÓN</t>
  </si>
  <si>
    <t>TEPETZINGO MZ 3 LT 16 CUMBRES DE TEPETONGO  TLALPAN  CP 14420 CIUDAD DE MÉXICO</t>
  </si>
  <si>
    <t>AGUSTÍN MELGAR LT6 MZ F COLONIA ALFREDO DEL MAZO  NAUCALPAN  CP 53716 MÉXICO</t>
  </si>
  <si>
    <t>SUDZAL MZ 45 LT 13 PEDREGAL DE SAN NICOLÁS  TLALPAN  CP 14100 CIUDAD DE MÉXICO</t>
  </si>
  <si>
    <t>LAGUNA VILLA VICTORIA #119A. SEMINARIO  TOLUCA CP 50160 MÉXICO</t>
  </si>
  <si>
    <t>AV. EMILIANO ZAPATA #126 ANTONIO BARONA  CUERNAVACA  CP 62320 MORELOS</t>
  </si>
  <si>
    <t>PRIVADA RÍO TAMAZULA #205 VISTA HERMOSA CUERNAVACA MORELOS  CP 62290 MORELOS</t>
  </si>
  <si>
    <t>JOSÉ JOAQUÍN HERRERA 136 SOLIDARIDAD 3 AGUASCALIENTES CP 20263 AGUASCALIENTES</t>
  </si>
  <si>
    <t>PROLONGACIÓN FRANCISCO SARABIA 2411 LOMA DEL GALLO CIUDAD MADERO CP 89460 TAMAULIPAS</t>
  </si>
  <si>
    <t>MARIANA VALDEZ #386 IGNACIO ALLENDE  CULIACÁN  CP 80010 SINALOA</t>
  </si>
  <si>
    <t>RIO PAPALOAPAN #11501 PRADERA DORADA 7 MAZATLAN SINALOA  CP 82139 SINALOA</t>
  </si>
  <si>
    <t>TEPATITLAN 91 JALISCO 1 SECCION TONALA CP 45412 JALISCO</t>
  </si>
  <si>
    <t>PEDRO DE MENDOZA MZ 12 LT15 LOMAS DE CAPULA ÁLVARO OBREGÓN  CP 01270 CIUDAD DE MÉXICO</t>
  </si>
  <si>
    <t>AV JARDIN MZ8 LT2 AMP LOMAS STO DOMINGO ALVARO OBREGON CP 01130 CIUDAD DE MÉXICO</t>
  </si>
  <si>
    <t>175 #400  NVA. SAN JOSE TECOH  MÉRIDA  CP 97290 YUCATÁN</t>
  </si>
  <si>
    <t>YECAPIXTLA #184, HACIENDAS TIZAYUCA, HIDALGO, CP 43815, HIDALGO</t>
  </si>
  <si>
    <t>CALLE PEZ TIGRE MZ 23 LT 10  POLÍGONO 2 ECATEPEC DE MORELOS CP 55158 MÉXICO</t>
  </si>
  <si>
    <t>CUAUTEPEC 224 EL ARBOLILLO GUSTAVO A MADERO CP 07240 CIUDAD DE MÉXICO</t>
  </si>
  <si>
    <t>FRANCIA 102 BUENAVISTA ZUMPANGO  CP 55635 MÉXICO</t>
  </si>
  <si>
    <t>3ER.ANILLO DE CIRCUNVALACIÓN EDIFICIO 35 A INT.301 LOMAS DE SOTELO  MIGUEL HIDALGO  CP 11200 CIUDAD DE MÉXICO</t>
  </si>
  <si>
    <t>ANDADOR 2 DE IGNACIO MEJIA #25 UNIDAD EJÉRCITO DE ORIENTE 2 DA SECCIÓN  IZTAPALAPA  CP 09230 MÉXICO</t>
  </si>
  <si>
    <t>MONTE LA MESA 5783 FRACCIONAMIENTO ALTURAS DEL SUR  CULIACÁN SINALOA  CP 80295 SINALOA</t>
  </si>
  <si>
    <t>VOLCÁN SAJAMA 4835 D INT 31 GUADALAJARA JALISCO  JALISCO  CP 44300 JALISCO</t>
  </si>
  <si>
    <t>PRIMAVERAS 114 MZ.14 DEPTO D2 PARQUE RESIDENCIAL COACALCO 1A SECC COACALCO DE BERRIOZÁBAL CP 55720 MÉXICO</t>
  </si>
  <si>
    <t>CUERVO#5383 VALLE VERDE 2 SECTOR MTY CP 64117 NUEVO LEÓN</t>
  </si>
  <si>
    <t>BOSQUE DE CAMELINAS 150 LAS CAMELINAS LEÓN CP 37545 GUANAJUATO</t>
  </si>
  <si>
    <t>43 LOMAS DE LA ESTANCIA  IZTAPALAPA  CP 09640 CIUDAD DE MÉXICO</t>
  </si>
  <si>
    <t>CANTERA NO. 3 SAN MIGUEL CHALMA  TLALNEPANTLA  CP 54140 MÉXICO</t>
  </si>
  <si>
    <t>CALLE MANUEL RAMÍREZ  20 DE MAYO  LOS REYES LA PAZ  CP 56516 CIUDAD DE MÉXICO</t>
  </si>
  <si>
    <t>ALDAMA 27-A SANCTORUM  CUAUTLANCINGO  CP 72730 PUEBLA</t>
  </si>
  <si>
    <t>LÁZARO CÁRDENAS 17 SAN ISIDRO  NICOLÁS ROMERO CP 54477 MÉXICO</t>
  </si>
  <si>
    <t>CALLE FRANSISCO ESPINOZALT.23 MZ.36 UNIDAD ERMITA ZARAGOZA IZTAPALAPA CP 09180 MÉXICO</t>
  </si>
  <si>
    <t>CALLE 5 DICIEMBRE NÚMERO 208 SAN MATÍAS COCOYOTLA  SAN PEDRO CHOLULA  CP 72767 PUEBLA</t>
  </si>
  <si>
    <t>MONTES DE OCA #1502 CONSTITUCION MAZATLAN SINALOA CP 82170 SINALOA</t>
  </si>
  <si>
    <t>ALHELÍ61 LOMAS DE SAN LORENZO IZTAPALAPA  CP 09780 CIUDAD DE MÉXICO</t>
  </si>
  <si>
    <t>CERRO DEL CUBILETE #14 LA PRADERA  GUSTAVO A. MADERO  CP 07509 CIUDAD DE MÉXICO</t>
  </si>
  <si>
    <t>FRANCISCO AYALA #49 VISTA ALEGRE CUAHUTÉMOC  CP 05860 CIUDAD DE MÉXICO</t>
  </si>
  <si>
    <t>PRIV. INDEPENDIENTE 6 ARBOLEDAS DEL SUR  TLALPAN CDMX  CP 14376 CIUDAD DE MÉXICO</t>
  </si>
  <si>
    <t>EL DORADO 232 PRADERAS DE SAN ANTONIO  ZAPOPAN CP 45138 JALISCO</t>
  </si>
  <si>
    <t>CERRADA OCOTILOS #6 OCOTILLOS ALVARO OBREGÓN  CP 01700 CIUDAD DE MÉXICO</t>
  </si>
  <si>
    <t>HDA TEXCOCO MZ22 LT17 AMP PRESIDENTES  ÁLVARO OBREGÓN  CP 01299 CIUDAD DE MÉXICO</t>
  </si>
  <si>
    <t>POLEO 105 MISIÓN DE SANTA CATARINA SANTA CATARINA  CP 66351 NUEVO LEÓN</t>
  </si>
  <si>
    <t>NUDO DE CEMPOALTEPETL 474 BELISARIO DOMINGUEZ  GUADALAJARA  CP 44320 JALISCO</t>
  </si>
  <si>
    <t>TALLER DE CAPSULAS 12 LOMAS DEL CHAMIZAL CUAJIMALPA DE MORELOS CP 05129 CIUDAD DE MÉXICO</t>
  </si>
  <si>
    <t>DEL COLECTOR 1002, MISIÓN DE SAN JAVIER, APODACA, CP 66646, NUEVO LEÓN</t>
  </si>
  <si>
    <t>DEL JARDIN BOTANICO EDIFICIO D15-6 LA MARGARITA  PUEBLA  CP 72560 PUEBLA</t>
  </si>
  <si>
    <t>ESPERANZA S/N BARRIO SAN PEDRO  ALMOLOYA DE JUÁREZ  CP 50900 MÉXICO</t>
  </si>
  <si>
    <t>SATURNO # 10 SAN RAFAEL CHAMAPA  NAUCALPAN DE JUÁREZ  CP 53660 MÉXICO</t>
  </si>
  <si>
    <t>ANDADOR FRESNOTITLA 27 B TETELPAN  ÁLVARO OBREGÓN  CP 01700 CIUDAD DE MÉXICO</t>
  </si>
  <si>
    <t>VICENTE SALDIVAR 23, ENTRE LUIS ESTRADA . AMPLIACIÓN OLÍMPICA  NAUCALPAN DE JUÁREZ  CP 53690 MÉXICO</t>
  </si>
  <si>
    <t>CD DEL CARMEN #11 PUEBLO DE SANBERNABE OCOTEPEC  MAGDALENA CONTRERAS  CP 10300 CIUDAD DE MÉXICO</t>
  </si>
  <si>
    <t>MAGUEY 196 GARAMBULLO  QUERÉTARO  CP 76115 QUERÉTARO</t>
  </si>
  <si>
    <t>TRIUNFO INQUILINARIO SUR #207 A FLORES MAGÓN  LEÓN GUANAJUATO  CP 37350 GUANAJUATO</t>
  </si>
  <si>
    <t>EFRAIN ORDÓÑEZ 137, VIEJO ROBLE, SAN NICOLÁS DE LOS GARZA, CP 66418, NUEVO LEÓN</t>
  </si>
  <si>
    <t>CACAMATZIN 34 COLONIA TLAXPANA, MIGUEL HIDALGO  CP 11370 CIUDAD DE MÉXICO</t>
  </si>
  <si>
    <t>MANZANA 3 LOTE 1 UNIDAD ERMITA ZARAGOZA  IZTAPALAPA  CP 09180 CIUDAD DE MÉXICO</t>
  </si>
  <si>
    <t>C HACIENDA LOS SAUCES CONDOMINIO 9 MANZANA 1 LOTE 15 HACIENDA CUAUTITLAN  EDOMEX CP 54803 MÉXICO</t>
  </si>
  <si>
    <t>OSCAR 164 PAVÓN NEZAHUALCOYOTL CP 57610 CIUDAD DE MÉXICO</t>
  </si>
  <si>
    <t>AVENIDA FRANCISCO GONZÁLEZ BOCANEGRA 9605 PUERTA DEL SOL MAZATLÁN  CP 82134 SINALOA</t>
  </si>
  <si>
    <t>JABALIES 109 JABALIES  MAZATLÁN  CP 82165 SINALOA</t>
  </si>
  <si>
    <t>TEPACHE #160A÷REYES Y YAÑEZ  HERMOSILLO  SONORA CP 83104 SONORA</t>
  </si>
  <si>
    <t>TULIPÁN 15 ARCO IRIS HERMOSILLO  CP 83288 SONORA</t>
  </si>
  <si>
    <t>CANGREJO 29 COLONIA DEL MAR  TLÁHUAC  CP 13270 CIUDAD DE MÉXICO</t>
  </si>
  <si>
    <t>VALENTIN GOMEZ FARIAS 1448 LAZARO CÁRDENAS  CULIACAN  CP 80290 SINALOA</t>
  </si>
  <si>
    <t>PUERTO HONG KONG MZ. 5 LT.15,, EJIDO DE SAN JUAN DE ARAGON, GUSTAVO A. MADERO, CP 7940, CIUDAD DE MÉXICO</t>
  </si>
  <si>
    <t>BUGAMBILIAS #82 LAS PEÑITAS ATIZAPÁN DE ZARAGOZA  CP 52920 MÉXICO</t>
  </si>
  <si>
    <t>CALLE 12 DE OCTUBRE NO.118 SAN LUIS MEXTEPEC ZINACANTEPEC CP 51355 MÉXICO</t>
  </si>
  <si>
    <t>LAGO TRASIMENO 2 ANAHUAC MIGUEL HIDALGO CP 11320 CIUDAD DE MÉXICO</t>
  </si>
  <si>
    <t>IGNACIO RAMIREZ N.57 A HOGARES MARLA  ECATEPEC DE MORELOS  CP 55030 MÉXICO</t>
  </si>
  <si>
    <t>MONTES DE OCA #1502 CONSTITUCIÓN  MAZATLÁN SINALOA  CP 82170 SINALOA</t>
  </si>
  <si>
    <t>PROL. MORELOS 530  LOMAS ESTRELLA IZTAPALAPA CP 09890 CIUDAD DE MÉXICO</t>
  </si>
  <si>
    <t>CARRETERA NAUCALPAN TOLUCA #17  EL CAPULIN NAUCALPAN  CP 53697 CIUDAD DE MÉXICO</t>
  </si>
  <si>
    <t>SIERRA DE PINOS # 78 SAN FELIPE DE JESÚS GUSTAVO A MADERO CP 07510 CIUDAD DE MÉXICO</t>
  </si>
  <si>
    <t>CALLE 10A  NÚMERO 495 V16  PORTAL SAN PEDRO KANASIN  CP 97370 YUCATÁN</t>
  </si>
  <si>
    <t>MAYAS 56 CIUDAD AZTECA SECC PONIENTE ECATEPEC  CP 55120 MÉXICO</t>
  </si>
  <si>
    <t>MARES DE ASÍA #18 EX HACIENDA DE PAULA  TEMASCALAPA  CP 55993 MÉXICO</t>
  </si>
  <si>
    <t>PEDRO A BALLESTEROS #7329 FOMERREY #6 MONTERRREY CP 64233 NUEVO LEÓN</t>
  </si>
  <si>
    <t>INFONAVIT CENTRO N3 DEPTO 502 SANTA MARIA GUADALUPE LAS TORRES 1RA SECCIÓN  CUAUTITLÁN IZCALLI  CP 54743 MÉXICO</t>
  </si>
  <si>
    <t>ADOLFO DE LA HUERTA 155 LÁZARO CÁRDENAS  CULIACÁN  CP 80290 SINALOA</t>
  </si>
  <si>
    <t>GLORIA MN41 LT17, JUAN GONZALES ROMERO, CALDIA GUASTAVO A MADERO, CP 7410, CIUDAD DE MÉXICO</t>
  </si>
  <si>
    <t>LORCA 521 PRIVADAS DE SAN MIGUEL  GUADALUPE  CP 67714 NUEVO LEÓN</t>
  </si>
  <si>
    <t>GUANAJUATO 1989 LIBERTAD  AHOME  CP 81240 SINALOA</t>
  </si>
  <si>
    <t>MEMBRILLO 25 EL TANQUE  MAGDALENA CONTRERAS  CP 10320 CIUDAD DE MÉXICO</t>
  </si>
  <si>
    <t>CALLE CAMPECHE ESQUINA LADERA 1 LAS MARGARITAS SAN JOSÉ EL ALTO QUERÉTARO  CP 76140 QUERÉTARO</t>
  </si>
  <si>
    <t>CUERNAVACA 46  VERGEL DE GUADALUPE  NEZAHUALCOYOTL  CP 57150 CIUDAD DE MÉXICO</t>
  </si>
  <si>
    <t>BLVD.DON ALBERTO #4739 PRIVADA LILYS #3  URBI QUINTA DEL CEDRO SEGUNDA SECCIÓN  TIJUANA BAJA CALIFORNIA  CP 22564 BAJA CALIFORNIA</t>
  </si>
  <si>
    <t>PRIMERA PRIVADA DE LERDO DE TEJADA #13 ALTAVISTA  CUERNAVACA  CP 62010 MORELOS</t>
  </si>
  <si>
    <t>FRAY JUAN DE CEPEDA 2609 TRES CRUCES  PUEBLA CP 72595 PUEBLA</t>
  </si>
  <si>
    <t>HEROES 195 GUERRERO CUAUHTEMOC CP 6300 CIUDAD DE MÉXICO</t>
  </si>
  <si>
    <t>PRIVADA TALLERES 20 MISIÓN SAN JOSÉ  PUEBLA  CP 72590 PUEBLA</t>
  </si>
  <si>
    <t>GENARO ESTRADA #4001 LA CAMPESINA GUADALAJARA  CP 44769 JALISCO</t>
  </si>
  <si>
    <t>CARLOS R MENÉNDEZ #1327 LA CAMPESINA GUADALAJARA  CP 44760 JALISCO</t>
  </si>
  <si>
    <t>CAMPO HORCON  190 EDIF,. J101 REYNOSA TAMAULIPAS  AZCAPOTZALCO  CP 02200 MÉXICO</t>
  </si>
  <si>
    <t>MINA EL VERDE #15 FRANCISCO VILLA  IZTAPALAPA  CP 09720 CIUDAD DE MÉXICO</t>
  </si>
  <si>
    <t>3ER CIRCUITO DE BULEVARD LOS HÉROES CHALCO MZ14 LT27 LOS HÉROES CHALCO 56644 LOS HÉROES CHALCO  CHALCO DE DÍAZ COVARRUBIAS CP 55644 MÉXICO</t>
  </si>
  <si>
    <t>MIGUEL JOSÉ AZANZA #2942 URBIVILLA DEL REY AHOME CP 81278 SINALOA</t>
  </si>
  <si>
    <t>AND ACATLÁN DE JUÁREZ 134 JALISCO 1 SECCIONE  TONALA  CP 45412 JALISCO</t>
  </si>
  <si>
    <t>AHUIZOTL , MZ 37 LT 20 SANTA ISABEL TOLA GUSTAVO A. MADERO CP 07010 CIUDAD DE MÉXICO</t>
  </si>
  <si>
    <t>AV. PASEOS DE LA PIEDAD #3 I-101 FRACCIONAMIENTO PASEOS DEL MARQUES  EL MARQUES  CP 76245 QUERÉTARO</t>
  </si>
  <si>
    <t>PASEO DE GARZAS 601 PASEO DE CAPELLANIA GARCIA CP 66007 TAMAULIPAS</t>
  </si>
  <si>
    <t>AV. DE LAS TORRES 99 PREDIO LA ANGOSTURA  ÁLVARO OBREGÓN CP 01770 CIUDAD DE MÉXICO</t>
  </si>
  <si>
    <t>SANTA CLEMENCIA 1233 SANTA MARIA GUADALAJARA  CP 44350 JALISCO</t>
  </si>
  <si>
    <t>CALLE 28 DE ENERO #7 SUR STA. CRUZ DE LAS FLORES MUNICIPIO DE TLAJOMULCO DE ZUÑIGA CP 45640 JALISCO</t>
  </si>
  <si>
    <t>CDA.ANDREA DEL CASTAGNO #21 SANTA MARIA NONOALCO  BENITO  JUAREZ  CP 03700 CIUDAD DE MÉXICO</t>
  </si>
  <si>
    <t>19X 24 Y 26 S/N  CHABLEKAL MERIDA  CP 97302 YUCATÁN</t>
  </si>
  <si>
    <t>ESPIGA 4204, FOMERREY 1, MONTERREY, CP 64210, NUEVO LEÓN</t>
  </si>
  <si>
    <t>IGNACIO ALLENDE 22 CUITLAHUAC JOSÉFA VERGARA Y HERNÁNDEZ CP 76087 QUERÉTARO</t>
  </si>
  <si>
    <t>VICENTE GUERRERO 4 SAN SALVADOR TIZATLALLI  METEPEC CP 52172 MÉXICO</t>
  </si>
  <si>
    <t>SAN CIPRIAN 10 10 DE MAYO  VENUSTIANO CARRANZA  CP 15290 CIUDAD DE MÉXICO</t>
  </si>
  <si>
    <t>3RA CDA VALLE SAN DAMIÁN  PASEOS DEL VALLE  NEXTLALPAN  CP 55796 MÉXICO</t>
  </si>
  <si>
    <t>SAUCE #2116 ZARAGOZA  COAHUILA  CP 25016 COAHUILA</t>
  </si>
  <si>
    <t>CALLE SAN LEÓN MZ640 LT37 SANTA ÚRSULA COAPA  COYOACÁN  CP 04600 CIUDAD DE MÉXICO</t>
  </si>
  <si>
    <t>SANTA CATALINA 438 SANTA MARGARITA  ZAPOPAN  CP 45140 JALISCO</t>
  </si>
  <si>
    <t>NAYARIT 825 NUEVO MÉXICO  REYNOSA  CP 88758 TAMAULIPAS</t>
  </si>
  <si>
    <t>2 CERRADA DE MARGARITAS LOTE 3 S/N SAN PABLO  CHIMALHUACÁN  CP 56334 MÉXICO</t>
  </si>
  <si>
    <t>JOSE ÁLVAREZ FRANCO 14 A SANTA PAULA TONALA CP 45426 JALISCO</t>
  </si>
  <si>
    <t>CHINARA NUM.29 TRIANGULO  IZTAPALAPA  CP 09760 CIUDAD DE MÉXICO</t>
  </si>
  <si>
    <t>JOSE MARIA VEREA 2986 A SAN RAFAEL  GUADALAJARA  CP 44810 JALISCO</t>
  </si>
  <si>
    <t>LEO 74   ESTRELLA  ECATEPEC DE MORELOS  CP 55210 MÉXICO</t>
  </si>
  <si>
    <t>AV.CANAL DE TEZONTLE 1730 U.HAB.CUCHILLA DEL MORAL IZTAPALAPA  CP 09319 CIUDAD DE MÉXICO</t>
  </si>
  <si>
    <t>TOLTECAS MZ 9 LOTE 22 MIXCOATL IZTAPALAPA CP 09708 CIUDAD DE MÉXICO</t>
  </si>
  <si>
    <t>HACIENDA DEL PINO 232 HACIENDA DEL SOL GARCÍA CP 66003 NUEVO LEÓN</t>
  </si>
  <si>
    <t>LAURELES 16009 ARBOLEDAS INVIES  MAZATLÁN  CP 82139 SINALOA</t>
  </si>
  <si>
    <t>SEGUNDA CERRADA DE BOSQUES DE PORTUGAL MZ 131 LOTE 28-3 HÉROES TECAMAC TECAMAC CP 55764 MÉXICO</t>
  </si>
  <si>
    <t>CDA DE LOS SERAFINES OESTE 2 PUEBLO DEL ÁNGEL  HERMOSILLO CP 83118 SONORA</t>
  </si>
  <si>
    <t>MULEGE 20043 BUENOS AIRES SUR  TIJUANA  CP 22207 BAJA CALIFORNIA</t>
  </si>
  <si>
    <t>39#143B EL SOL NEZAHUALCÓYOTL  CP 57200 CIUDAD DE MÉXICO</t>
  </si>
  <si>
    <t>ARCE#534 COL BOSQUE REAL APODACA  CP 66612 NUEVO LEÓN</t>
  </si>
  <si>
    <t>CALLE 2 NÚMERO 11 EL NARDO ECATEPEC  CP 55320 MÉXICO</t>
  </si>
  <si>
    <t>AV LEON DE LOS ALDAMA 3270 SAN FELIPE DE JESÚS  GUSTAVO A MADERO CP 07510 CIUDAD DE MÉXICO</t>
  </si>
  <si>
    <t>NACISO  DEPTO 1696 GEOVILLAS DE SAN ISIDRO  LA PAZ  CP 56516 MÉXICO</t>
  </si>
  <si>
    <t>CEDRO 8 F FRACCIONAMIENTO ALTUS PINAR TONALÁ  CP 45410 JALISCO</t>
  </si>
  <si>
    <t>ARAUCARIA  LOMA DORADA TONALÁ CP 45402 JALISCO</t>
  </si>
  <si>
    <t>CRÁTER ATLAS MZ 15 A LT12  COLONIA SELENE  TLÁHUAC  CP 13420 CIUDAD DE MÉXICO</t>
  </si>
  <si>
    <t>SUR 115 A JUVENTINO ROSAS IZTACALCO CP 8700 CIUDAD DE MÉXICO</t>
  </si>
  <si>
    <t>JÚPITER 26-B VILLAS DE SAN GILBERTO 3  TLAJOMULCO DE ZÚÑIGA CP 45670 JALISCO</t>
  </si>
  <si>
    <t>MORELOS 66 URBANA IXHUATEPEC  ECATEPEC  CP 55349 MÉXICO</t>
  </si>
  <si>
    <t>MARTE #6 EL MIRADOR IZTAPALAPA CP 09800 CIUDAD DE MÉXICO</t>
  </si>
  <si>
    <t>EL FUERTE 72 SAN LORENZO XICOTÉNCATL  IZTAPALAPA  CP 09130 CIUDAD DE MÉXICO</t>
  </si>
  <si>
    <t>LAGO VICTORIA PRIV. RIO FRAILES MZ21 LT28 CASA 23 VALLE SAN PEDRO URBI VILLAS  TECAMAC, MEX. CP 55767 CIUDAD DE MÉXICO</t>
  </si>
  <si>
    <t>SM 1 DEPTO 6 107  EX HACIENDA DEL ROSARIO AZCAPOTZALCO  CP 02420 CIUDAD DE MÉXICO</t>
  </si>
  <si>
    <t>CALLE 309 # 730 NUEVA ATZACOALCO  GUSTAVO A MADERO  CP 07420 CIUDAD DE MÉXICO</t>
  </si>
  <si>
    <t>PASEO DE FRAMBUESAS 20 VILLAS DEL MAR 3  BENITO JUÁREZ  CP 77517 QUINTANA ROO</t>
  </si>
  <si>
    <t>BEGONIA 2G-2, INFONAVIT SAN RAMON, PUEBLA, CP 72490, PUEBLA</t>
  </si>
  <si>
    <t>ANDADOR DEL ENCINO C-67 INT 5, SAN BARTOLO, PUEBLA, CP 72490, PUEBLA</t>
  </si>
  <si>
    <t>ANTONIO LÓPEZ SAENZ 1765, JOSÉ ÁNGEL ESPINOZA FERRUSQUILLA, AHOME, CP 81238, SINALOA</t>
  </si>
  <si>
    <t>4 DE OCTUBRE, SAN MIGUEL, SAN FRANCISCO DEL RINCON, CP 36353, GUANAJUATO</t>
  </si>
  <si>
    <t>UXPANAPAN 114, LOS CASTILLOS, LEÓN GUANAJUATO, CP 37209, GUANAJUATO</t>
  </si>
  <si>
    <t>MERCURIO 805, SAN PEDRO 400, SAN PEDRO GARZA GARCIA, CP 66210, NUEVO LEÓN</t>
  </si>
  <si>
    <t>TITAN #102, SATELITE, OAXACA DE JUÁREZ, CP 68125, OAXACA</t>
  </si>
  <si>
    <t>51 #134, FIDEL VELAZQUEZ, MERIDA, CP 97166, YUCATÁN</t>
  </si>
  <si>
    <t xml:space="preserve">AV PRESIDENTE JUAREZ MZ. 20 LT 2 COL LIBERALES DE 1857 CP 01110 </t>
  </si>
  <si>
    <t>JOAQUÍN ITURBIDE MZ22 LT4, PARAJE SAN JUAN, IZTAPALAPA, CP 9830, CIUDAD DE MÉXICO</t>
  </si>
  <si>
    <t>315 #741, NUEVA ATZACOALCO, GUSTAVO A. MADERO, CP 7420, CIUDAD DE MÉXICO</t>
  </si>
  <si>
    <t>CALLE AVIACIÓN CIVIL, GENERAL VICENTE VILLADA, 57710, MÉXICO</t>
  </si>
  <si>
    <t>LAGO SEUL MZ 11 LT 33 CANTAROS 3 NICOLAS ROMERO ESTADO DE MÉXICO. C.P 54416</t>
  </si>
  <si>
    <t>TIXCANDAL MZ 128LT.4, PEDREGAL DE SAN NICOLÁS, TLALPAN, CP 14100, CIUDAD DE MÉXICO</t>
  </si>
  <si>
    <t>AV.SAN JUAN DE ARAGÓN 530, DM NACIONAL, GUSTAVO A. MADERO, CP 7450, CIUDAD DE MÉXICO</t>
  </si>
  <si>
    <t>26 # 131, ESTADO DE MÉXICO, NEZAHUALCÓYOTL, CP 57210, CIUDAD DE MÉXICO</t>
  </si>
  <si>
    <t>CALLE 6 415 11, FRANCISCO I MADERO, MIGUEL HIDALGO DISTRITO FEDERAL, C.P. 11480, MEXICO</t>
  </si>
  <si>
    <t>JUANA MARÍA PAVON,LOTE 11,K,DEPARTAMENTO 302, ESTADO DE MEXICO, COACALCO, CP 55719, CIUDAD DE MÉXICO</t>
  </si>
  <si>
    <t>CIRCUITO GABRIEL GARCÍA MÁRQUEZ MZ3 LT 1 CASA B, CONJUNTO URBANO SAN MARCOS HUIXTOCO, CHALCO, CP 56643, MÉXICO</t>
  </si>
  <si>
    <t>LOMA TECOTLAN NORTE 7993A, LOMA DORADA, TONALÁ, CP 45412, JALISCO</t>
  </si>
  <si>
    <t>CALZADA DESIERTO DE LOS LEONES #50, SANTA ROSA XOCHIAC, ÁLVARO OBREGÓN, CP 1830, CIUDAD DE MÉXICO</t>
  </si>
  <si>
    <t>CHE CHEN 621, JARDINES DE CASA BLANCA, SAN NICOLÁS DE LOS GARZA NL, CP 66475, NUEVO LEÓN</t>
  </si>
  <si>
    <t>PENINSULA DE INDOCHINA 21 EL ROSARIO 2 SECTOR 3 TLALEPANTLA DE BAZ ESTADO DE MÉXICO CP 54090</t>
  </si>
  <si>
    <t>JOSE SALOME PIÑA EDF 73 INT. 41 COL MIRAVALLE TLAQUEPAQUE, JALISCO CP.44990</t>
  </si>
  <si>
    <t>AV MINAS S/N, LA CONSEPCION, NICOLÁS ROMERO, CP 54460, MÉXICO</t>
  </si>
  <si>
    <t>AV. ANTIGUOS EJIDATARIOS 220, PASEO DE SAN BERNABÉ, MONTERREY NL C.P. 64103</t>
  </si>
  <si>
    <t/>
  </si>
  <si>
    <t>CISNEROS LOZANO CINTYA BERENICE</t>
  </si>
  <si>
    <t>DORADO GUTIERREZ SULLIQUEY</t>
  </si>
  <si>
    <t>GARCIA VILLALPANDO LUIS GAEL</t>
  </si>
  <si>
    <t xml:space="preserve">MARTINEZ DE ANDA GIOVANNA DANIELA </t>
  </si>
  <si>
    <t>PEREZ LUGO CLAUDIA ISELA</t>
  </si>
  <si>
    <t>VERÓNICA SÁNCHEZ MÁRQUEZ</t>
  </si>
  <si>
    <t>SUPERVISOR</t>
  </si>
  <si>
    <t>NÓMINA</t>
  </si>
  <si>
    <t>CILC821224MNLSZN03</t>
  </si>
  <si>
    <t>CILC821224QA0</t>
  </si>
  <si>
    <t>DOGS730614MDFRTL01</t>
  </si>
  <si>
    <t>DOGS730614P5A</t>
  </si>
  <si>
    <t>GAVL050308HGTRLSA6</t>
  </si>
  <si>
    <t>GAVL05030814A</t>
  </si>
  <si>
    <t>MAAG050128MJCRNVA7</t>
  </si>
  <si>
    <t>MAAG050128KA3</t>
  </si>
  <si>
    <t>PELC720413MDFRGL09</t>
  </si>
  <si>
    <t>PELC720413NT5</t>
  </si>
  <si>
    <t>43108206723</t>
  </si>
  <si>
    <t>11967306165</t>
  </si>
  <si>
    <t>17220555985</t>
  </si>
  <si>
    <t>2200514301</t>
  </si>
  <si>
    <t>11927230414</t>
  </si>
  <si>
    <t>id_nomina</t>
  </si>
  <si>
    <t>BTL-SUP-1244</t>
  </si>
  <si>
    <t>BTL-SUP-1228</t>
  </si>
  <si>
    <t>BTL-SUP-1242</t>
  </si>
  <si>
    <t>BTL-SUP-1236</t>
  </si>
  <si>
    <t>BTL-SUP-1240</t>
  </si>
  <si>
    <t>BTL-SUP-1234</t>
  </si>
  <si>
    <t>BTL-VTA-1250</t>
  </si>
  <si>
    <t>BTL-SUP-1232</t>
  </si>
  <si>
    <t>BTL-SUP-1237</t>
  </si>
  <si>
    <t>BTL-DC-1046</t>
  </si>
  <si>
    <t>BTL-DC-1036</t>
  </si>
  <si>
    <t>BTL-DC-1211</t>
  </si>
  <si>
    <t>BTL-DC-1072</t>
  </si>
  <si>
    <t>BTL-DC-1085</t>
  </si>
  <si>
    <t>BTL-DC-1196</t>
  </si>
  <si>
    <t>BTL-DC-1062</t>
  </si>
  <si>
    <t>BTL-DC-1014</t>
  </si>
  <si>
    <t>BTL-DC-1091</t>
  </si>
  <si>
    <t>BTL-SUP-1231</t>
  </si>
  <si>
    <t>BTL-DC-1021</t>
  </si>
  <si>
    <t>BTL-DC-1076</t>
  </si>
  <si>
    <t>BTL-DC-1183</t>
  </si>
  <si>
    <t>BTL-DC-1073</t>
  </si>
  <si>
    <t>BTL-DC-1111</t>
  </si>
  <si>
    <t>BTL-DC-1066</t>
  </si>
  <si>
    <t>BTL-DC-1034</t>
  </si>
  <si>
    <t>BTL-DC-1055</t>
  </si>
  <si>
    <t>BTL-DC-1032</t>
  </si>
  <si>
    <t>BTL-DC-1101</t>
  </si>
  <si>
    <t>BTL-DC-1187</t>
  </si>
  <si>
    <t>BTL-DC-1049</t>
  </si>
  <si>
    <t>BTL-DC-1081</t>
  </si>
  <si>
    <t>BTL-DC-1120</t>
  </si>
  <si>
    <t>BTL-DC-1092</t>
  </si>
  <si>
    <t>BTL-DC-1172</t>
  </si>
  <si>
    <t>BTL-DC-1216</t>
  </si>
  <si>
    <t>BTL-DC-1006</t>
  </si>
  <si>
    <t>BTL-DC-1150</t>
  </si>
  <si>
    <t>BTL-DC-1203</t>
  </si>
  <si>
    <t>BTL-DC-1056</t>
  </si>
  <si>
    <t>BTL-DC-1133</t>
  </si>
  <si>
    <t>BTL-DC-1026</t>
  </si>
  <si>
    <t>BTL-DC-1192</t>
  </si>
  <si>
    <t>BTL-DC-1165</t>
  </si>
  <si>
    <t>BTL-DC-1105</t>
  </si>
  <si>
    <t>BTL-DC-1143</t>
  </si>
  <si>
    <t>BTL-DC-1069</t>
  </si>
  <si>
    <t>BTL-DC-1221</t>
  </si>
  <si>
    <t>BTL-DC-1175</t>
  </si>
  <si>
    <t>BTL-DC-1047</t>
  </si>
  <si>
    <t>BTL-DC-1074</t>
  </si>
  <si>
    <t>BTL-DC-1193</t>
  </si>
  <si>
    <t>BTL-DC-1078</t>
  </si>
  <si>
    <t>BTL-DC-1137</t>
  </si>
  <si>
    <t>BTL-DC-1043</t>
  </si>
  <si>
    <t>BTL-DC-1209</t>
  </si>
  <si>
    <t>BTL-DC-1140</t>
  </si>
  <si>
    <t>BTL-DC-1149</t>
  </si>
  <si>
    <t>BTL-DC-1132</t>
  </si>
  <si>
    <t>BTL-DC-1009</t>
  </si>
  <si>
    <t>BTL-DC-1019</t>
  </si>
  <si>
    <t>BTL-DC-1177</t>
  </si>
  <si>
    <t>BTL-DC-1163</t>
  </si>
  <si>
    <t>BTL-DC-1182</t>
  </si>
  <si>
    <t>BTL-DC-1208</t>
  </si>
  <si>
    <t>BTL-DC-1155</t>
  </si>
  <si>
    <t>BTL-DC-1054</t>
  </si>
  <si>
    <t>BTL-DC-1087</t>
  </si>
  <si>
    <t>BTL-DC-1153</t>
  </si>
  <si>
    <t>BTL-DC-1136</t>
  </si>
  <si>
    <t>BTL-DC-1215</t>
  </si>
  <si>
    <t>BTL-DC-1098</t>
  </si>
  <si>
    <t>BTL-DC-1051</t>
  </si>
  <si>
    <t>BTL-DC-1029</t>
  </si>
  <si>
    <t>BTL-DC-1169</t>
  </si>
  <si>
    <t>BTL-DC-1080</t>
  </si>
  <si>
    <t>BTL-DC-1146</t>
  </si>
  <si>
    <t>BTL-DC-1045</t>
  </si>
  <si>
    <t>BTL-DC-1048</t>
  </si>
  <si>
    <t>BTL-DC-1129</t>
  </si>
  <si>
    <t>BTL-DC-1171</t>
  </si>
  <si>
    <t>BTL-DC-1071</t>
  </si>
  <si>
    <t>BTL-DC-1178</t>
  </si>
  <si>
    <t>BTL-DC-1038</t>
  </si>
  <si>
    <t>BTL-DC-1134</t>
  </si>
  <si>
    <t>BTL-DC-1097</t>
  </si>
  <si>
    <t>BTL-DC-1159</t>
  </si>
  <si>
    <t>BTL-DC-1075</t>
  </si>
  <si>
    <t>BTL-DC-1121</t>
  </si>
  <si>
    <t>BTL-DC-1173</t>
  </si>
  <si>
    <t>BTL-DC-1042</t>
  </si>
  <si>
    <t>BTL-DC-1016</t>
  </si>
  <si>
    <t>BTL-DC-1151</t>
  </si>
  <si>
    <t>BTL-DC-1164</t>
  </si>
  <si>
    <t>BTL-DC-1005</t>
  </si>
  <si>
    <t>BTL-DC-1220</t>
  </si>
  <si>
    <t>BTL-SUP-1230</t>
  </si>
  <si>
    <t>BTL-DC-1037</t>
  </si>
  <si>
    <t>BTL-DC-1202</t>
  </si>
  <si>
    <t>BTL-DC-1083</t>
  </si>
  <si>
    <t>BTL-DC-1089</t>
  </si>
  <si>
    <t>BTL-SUP-1238</t>
  </si>
  <si>
    <t>BTL-DC-1041</t>
  </si>
  <si>
    <t>BTL-DC-1030</t>
  </si>
  <si>
    <t>BTL-DC-1015</t>
  </si>
  <si>
    <t>BTL-DC-1127</t>
  </si>
  <si>
    <t>BTL-DC-1139</t>
  </si>
  <si>
    <t>BTL-DC-1174</t>
  </si>
  <si>
    <t>BTL-DC-1122</t>
  </si>
  <si>
    <t>BTL-DC-1188</t>
  </si>
  <si>
    <t>BTL-DC-1084</t>
  </si>
  <si>
    <t>BTL-DC-1213</t>
  </si>
  <si>
    <t>BTL-DC-1116</t>
  </si>
  <si>
    <t>BTL-DC-1135</t>
  </si>
  <si>
    <t>BTL-DC-1144</t>
  </si>
  <si>
    <t>BTL-DC-1035</t>
  </si>
  <si>
    <t>BTL-DC-1198</t>
  </si>
  <si>
    <t>BTL-DC-1109</t>
  </si>
  <si>
    <t>BTL-DC-1161</t>
  </si>
  <si>
    <t>BTL-DC-1185</t>
  </si>
  <si>
    <t>BTL-DC-1027</t>
  </si>
  <si>
    <t>BTL-DC-1053</t>
  </si>
  <si>
    <t>BTL-DC-1128</t>
  </si>
  <si>
    <t>BTL-DC-1088</t>
  </si>
  <si>
    <t>BTL-DC-1141</t>
  </si>
  <si>
    <t>BTL-DC-1020</t>
  </si>
  <si>
    <t>BTL-DC-1082</t>
  </si>
  <si>
    <t>BTL-DC-1207</t>
  </si>
  <si>
    <t>BTL-DC-1010</t>
  </si>
  <si>
    <t>BTL-DC-1195</t>
  </si>
  <si>
    <t>BTL-DC-1180</t>
  </si>
  <si>
    <t>BTL-DC-1033</t>
  </si>
  <si>
    <t>BTL-DC-1115</t>
  </si>
  <si>
    <t>BTL-DC-1154</t>
  </si>
  <si>
    <t>BTL-DC-1102</t>
  </si>
  <si>
    <t>BTL-DC-1219</t>
  </si>
  <si>
    <t>BTL-DC-1099</t>
  </si>
  <si>
    <t>BTL-DC-1204</t>
  </si>
  <si>
    <t>BTL-DC-1125</t>
  </si>
  <si>
    <t>BTL-DC-1008</t>
  </si>
  <si>
    <t>BTL-DC-1077</t>
  </si>
  <si>
    <t>BTL-DC-1142</t>
  </si>
  <si>
    <t>BTL-DC-1090</t>
  </si>
  <si>
    <t>BTL-DC-1024</t>
  </si>
  <si>
    <t>BTL-DC-1011</t>
  </si>
  <si>
    <t>BTL-DC-1112</t>
  </si>
  <si>
    <t>BTL-SUP-1229</t>
  </si>
  <si>
    <t>BTL-DC-1052</t>
  </si>
  <si>
    <t>BTL-DC-1096</t>
  </si>
  <si>
    <t>BTL-DC-1167</t>
  </si>
  <si>
    <t>BTL-DC-1170</t>
  </si>
  <si>
    <t>BTL-DC-1217</t>
  </si>
  <si>
    <t>BTL-DC-1214</t>
  </si>
  <si>
    <t>BTL-DC-1210</t>
  </si>
  <si>
    <t>BTL-DC-1058</t>
  </si>
  <si>
    <t>BTL-DC-1179</t>
  </si>
  <si>
    <t>BTL-DC-1162</t>
  </si>
  <si>
    <t>BTL-SUP-1239</t>
  </si>
  <si>
    <t>BTL-DC-1126</t>
  </si>
  <si>
    <t>BTL-DC-1070</t>
  </si>
  <si>
    <t>BTL-DC-1138</t>
  </si>
  <si>
    <t>BTL-DC-1040</t>
  </si>
  <si>
    <t>BTL-DC-1176</t>
  </si>
  <si>
    <t>BTL-DC-1222</t>
  </si>
  <si>
    <t>BTL-DC-1044</t>
  </si>
  <si>
    <t>BTL-DC-1086</t>
  </si>
  <si>
    <t>BTL-DC-1002</t>
  </si>
  <si>
    <t>BTL-DC-1100</t>
  </si>
  <si>
    <t>BTL-DC-1107</t>
  </si>
  <si>
    <t>BTL-DC-1106</t>
  </si>
  <si>
    <t>BTL-DC-1110</t>
  </si>
  <si>
    <t>BTL-DC-1060</t>
  </si>
  <si>
    <t>BTL-DC-1000</t>
  </si>
  <si>
    <t>BTL-DC-1199</t>
  </si>
  <si>
    <t>BTL-DC-1158</t>
  </si>
  <si>
    <t>BTL-DC-1012</t>
  </si>
  <si>
    <t>BTL-DC-1065</t>
  </si>
  <si>
    <t>BTL-DC-1145</t>
  </si>
  <si>
    <t>BTL-DC-1189</t>
  </si>
  <si>
    <t>BTL-DC-1017</t>
  </si>
  <si>
    <t>BTL-DC-1197</t>
  </si>
  <si>
    <t>BTL-DC-1007</t>
  </si>
  <si>
    <t>BTL-DC-1108</t>
  </si>
  <si>
    <t>BTL-DC-1022</t>
  </si>
  <si>
    <t>BTL-DC-1123</t>
  </si>
  <si>
    <t>BTL-DC-1131</t>
  </si>
  <si>
    <t>BTL-DC-1181</t>
  </si>
  <si>
    <t>BTL-DC-1064</t>
  </si>
  <si>
    <t>BTL-DC-1050</t>
  </si>
  <si>
    <t>BTL-DC-1025</t>
  </si>
  <si>
    <t>BTL-DC-1113</t>
  </si>
  <si>
    <t>BTL-DC-1160</t>
  </si>
  <si>
    <t>BTL-DC-1184</t>
  </si>
  <si>
    <t>BTL-DC-1094</t>
  </si>
  <si>
    <t>BTL-DC-1147</t>
  </si>
  <si>
    <t>BTL-DC-1103</t>
  </si>
  <si>
    <t>BTL-DC-1114</t>
  </si>
  <si>
    <t>BTL-DC-1023</t>
  </si>
  <si>
    <t>BTL-DC-1186</t>
  </si>
  <si>
    <t>BTL-SUP-1235</t>
  </si>
  <si>
    <t>BTL-DC-1124</t>
  </si>
  <si>
    <t>BTL-DC-1190</t>
  </si>
  <si>
    <t>BTL-DC-1093</t>
  </si>
  <si>
    <t>BTL-DC-1194</t>
  </si>
  <si>
    <t>BTL-DC-1156</t>
  </si>
  <si>
    <t>BTL-DC-1095</t>
  </si>
  <si>
    <t>BTL-DC-1212</t>
  </si>
  <si>
    <t>BTL-DC-1061</t>
  </si>
  <si>
    <t>BTL-DC-1079</t>
  </si>
  <si>
    <t>BTL-DC-1148</t>
  </si>
  <si>
    <t>BTL-DC-1004</t>
  </si>
  <si>
    <t>BTL-SUP-1243</t>
  </si>
  <si>
    <t>BTL-DC-1068</t>
  </si>
  <si>
    <t>BTL-DC-1059</t>
  </si>
  <si>
    <t>BTL-DC-1152</t>
  </si>
  <si>
    <t>BTL-DC-1063</t>
  </si>
  <si>
    <t>BTL-DC-1028</t>
  </si>
  <si>
    <t>BTL-DC-1031</t>
  </si>
  <si>
    <t>BTL-DC-1166</t>
  </si>
  <si>
    <t>BTL-DC-1057</t>
  </si>
  <si>
    <t>BTL-DC-1119</t>
  </si>
  <si>
    <t>BTL-DC-1200</t>
  </si>
  <si>
    <t>BTL-DC-1018</t>
  </si>
  <si>
    <t>BTL-DC-1118</t>
  </si>
  <si>
    <t>BTL-DC-1191</t>
  </si>
  <si>
    <t>BTL-DC-1039</t>
  </si>
  <si>
    <t>BTL-DC-1067</t>
  </si>
  <si>
    <t>BTL-DC-1168</t>
  </si>
  <si>
    <t>BTL-DC-1201</t>
  </si>
  <si>
    <t>BTL-DC-1013</t>
  </si>
  <si>
    <t>BTL-DC-1003</t>
  </si>
  <si>
    <t>BTL-SUP-1241</t>
  </si>
  <si>
    <t>BTL-SUP-1233</t>
  </si>
  <si>
    <t>BTL-DC-1117</t>
  </si>
  <si>
    <t>BTL-DC-1001</t>
  </si>
  <si>
    <t>BTL-DC-1205</t>
  </si>
  <si>
    <t>BTL-DC-1218</t>
  </si>
  <si>
    <t>BTL-DC-1206</t>
  </si>
  <si>
    <t>BTL-ADM-1249</t>
  </si>
  <si>
    <t>BTL-REC-1246</t>
  </si>
  <si>
    <t>BTL-LOVE-1247</t>
  </si>
  <si>
    <t>BTL-DC-1130</t>
  </si>
  <si>
    <t>BTL-DC-1157</t>
  </si>
  <si>
    <t>BTL-DC-1104</t>
  </si>
  <si>
    <t>BTL-COORD-1248</t>
  </si>
  <si>
    <t>BTL-DC-1224</t>
  </si>
  <si>
    <t>BTL-DC-1223</t>
  </si>
  <si>
    <t>BTL-DC-1226</t>
  </si>
  <si>
    <t>BTL-DC-1225</t>
  </si>
  <si>
    <t>BTL-DC-1227</t>
  </si>
  <si>
    <t>BTL-NOM-1250</t>
  </si>
  <si>
    <t>RECLUTAMIENTO</t>
  </si>
  <si>
    <t>LOVE ISDIN</t>
  </si>
  <si>
    <t>ADMINISTRADOR</t>
  </si>
  <si>
    <t>SBC (DIARIO)</t>
  </si>
  <si>
    <t>ROL</t>
  </si>
  <si>
    <t>USUARIO INICIAL</t>
  </si>
  <si>
    <t xml:space="preserve">53169825675 </t>
  </si>
  <si>
    <t xml:space="preserve">45118802730 </t>
  </si>
  <si>
    <t xml:space="preserve">54149613264 </t>
  </si>
  <si>
    <t xml:space="preserve">28937530757 </t>
  </si>
  <si>
    <t xml:space="preserve">01038301287 </t>
  </si>
  <si>
    <t xml:space="preserve">75947747830 </t>
  </si>
  <si>
    <t xml:space="preserve">03947614990 </t>
  </si>
  <si>
    <t xml:space="preserve">23169859412 </t>
  </si>
  <si>
    <t xml:space="preserve">01220140303 </t>
  </si>
  <si>
    <t xml:space="preserve">04068618182 </t>
  </si>
  <si>
    <t xml:space="preserve">75927406696 </t>
  </si>
  <si>
    <t xml:space="preserve">30028500707 </t>
  </si>
  <si>
    <t xml:space="preserve">85220740188 </t>
  </si>
  <si>
    <t>SARA LUZ RAMIREZ DEL TORO</t>
  </si>
  <si>
    <t>FABIOLA ARMAS DIAZ</t>
  </si>
  <si>
    <t>DAFNE CITLALI REYES HERNANDEZ</t>
  </si>
  <si>
    <t>ROSARIO LUCERO ORTIZ OJEDA</t>
  </si>
  <si>
    <t>LIZETH CORONADO DE LA ROSA</t>
  </si>
  <si>
    <t>MARTHA LILIANA MORA RODRIGUEZ</t>
  </si>
  <si>
    <t>ANA PATRICIA ORTEGA RAMIREZ</t>
  </si>
  <si>
    <t>HILDA SANJUANA GALAVIZ VALDEZ</t>
  </si>
  <si>
    <t>NELLY DIANA ESPINOZA PALOMARES</t>
  </si>
  <si>
    <t>KARLA XIMENA VILCHIZ GALVAN</t>
  </si>
  <si>
    <t>ALONDRA MIRIAM GARCIA LARIOS</t>
  </si>
  <si>
    <t>ALBERTINA MINAKATA AZPEITIA</t>
  </si>
  <si>
    <t>YADHIRA BERENISSE PEREZ MARTINEZ</t>
  </si>
  <si>
    <t>MAIRIM TERESA SEPULVEDA CARREÑO</t>
  </si>
  <si>
    <t xml:space="preserve">ramiressaral98@gmail.com </t>
  </si>
  <si>
    <t>armasdiazfabiola@gmail.com</t>
  </si>
  <si>
    <t>dafne344758@gmail.com</t>
  </si>
  <si>
    <t xml:space="preserve">lucerrosa1166@gmail.com </t>
  </si>
  <si>
    <t xml:space="preserve">lizethdelarosa1824@gmail.com </t>
  </si>
  <si>
    <t xml:space="preserve">mlmorag@hotmail.com </t>
  </si>
  <si>
    <t>paatyortega28@gmail.com.mx</t>
  </si>
  <si>
    <t>hildasagalaviz@gmail.com</t>
  </si>
  <si>
    <t>nelly1998ep@gmail.com</t>
  </si>
  <si>
    <t xml:space="preserve">karlavilchiz@hotmail.com </t>
  </si>
  <si>
    <t>miriamwayne111@icloud.com</t>
  </si>
  <si>
    <t>albertinaminakata1@gmail.com</t>
  </si>
  <si>
    <t xml:space="preserve">yadhiraberenissep@gmail.com </t>
  </si>
  <si>
    <t xml:space="preserve">carrenomairim17@gmail.com </t>
  </si>
  <si>
    <t xml:space="preserve">RATS981105FP7 </t>
  </si>
  <si>
    <t xml:space="preserve">RATS981105MJCMRR06 </t>
  </si>
  <si>
    <t xml:space="preserve">AADF880728EN7 </t>
  </si>
  <si>
    <t xml:space="preserve">AADF880728MDFRZB08 </t>
  </si>
  <si>
    <t xml:space="preserve">REHD960325RP4 </t>
  </si>
  <si>
    <t xml:space="preserve">REHD960325MMCYRF05 </t>
  </si>
  <si>
    <t xml:space="preserve">OIOR7610079A9 </t>
  </si>
  <si>
    <t xml:space="preserve">OIOR761007MDFRJS03 </t>
  </si>
  <si>
    <t xml:space="preserve">CORL8302189R8 </t>
  </si>
  <si>
    <t xml:space="preserve">CORL830218MDFRSZ00 </t>
  </si>
  <si>
    <t xml:space="preserve">MORM770201EW7 </t>
  </si>
  <si>
    <t xml:space="preserve">MORM770201MJCRDR04 </t>
  </si>
  <si>
    <t>OERA830928NB4</t>
  </si>
  <si>
    <t>OERA830928MDFRMN08</t>
  </si>
  <si>
    <t xml:space="preserve">GAVH7610082T1 </t>
  </si>
  <si>
    <t xml:space="preserve">GAVH761008MNLLLL00 </t>
  </si>
  <si>
    <t xml:space="preserve">EIPN9808202X8 </t>
  </si>
  <si>
    <t xml:space="preserve">EIPN980820MMSSLL07 </t>
  </si>
  <si>
    <t xml:space="preserve">VIGK011229DG3 </t>
  </si>
  <si>
    <t xml:space="preserve">VIGK011229MCLLLRA5 </t>
  </si>
  <si>
    <t xml:space="preserve">GALA860921H20 </t>
  </si>
  <si>
    <t xml:space="preserve">GALA860921MJCRRL02 </t>
  </si>
  <si>
    <t xml:space="preserve">MIAA740423BL7 </t>
  </si>
  <si>
    <t xml:space="preserve">MIAA740423MJCNZL04 </t>
  </si>
  <si>
    <t xml:space="preserve">PEMY851121EX6 </t>
  </si>
  <si>
    <t xml:space="preserve">PEMY851121MDFRRD00 </t>
  </si>
  <si>
    <t xml:space="preserve">SECM070517716 </t>
  </si>
  <si>
    <t xml:space="preserve">SECM070517MSLPRRA8 </t>
  </si>
  <si>
    <t xml:space="preserve">J. URUETA 1357, entre JUAN R. ZAVALA y PEDRO C. NEGRETE, COL. EL MIRADOR, GUADALAJARA, JALISCO </t>
  </si>
  <si>
    <t xml:space="preserve">CDA DESIDERIO PEÑA 56, entre PROLONG DES PENA Y CANAL STA CRUZ, SAN JERONIMO XOCHIMILCO, CDMX </t>
  </si>
  <si>
    <t xml:space="preserve">SUR 78 MZ 32 LT 7, entre SANTARRITA y CIUDAD AZTECA, COL. NUEVO PASEO DE SAN AGUSTIN 3A SECCION, ECATEPEC DE MORELOS, MEX </t>
  </si>
  <si>
    <t xml:space="preserve">CALLE 11 No. 36-1, AV. 2, COL. LAS AGUILAS, NEZAHUALCOYOTL, MEX. </t>
  </si>
  <si>
    <t xml:space="preserve">ZAPOTECAS 72, MZ 421, LT 9, CD. AZTECA 1RA SECC, ECATEPEC DE MORELOS, MEXICO </t>
  </si>
  <si>
    <t xml:space="preserve">AV. JAVIER MINA 2508, entre FELIX BERNARDELLI Y HUERTAS, COL. SAN ANTONIO, GUADALAJARA, JALISCO </t>
  </si>
  <si>
    <t>VELA 290, RIVIERA DEL SOL 2, JUAREZ, NUEVO LEON</t>
  </si>
  <si>
    <t xml:space="preserve">MECÁNICA 920, FOMERREY 19, GUADALUPE, NUEVO LEÓN </t>
  </si>
  <si>
    <t xml:space="preserve">VIAS DEL FERROCARIL 642, entre EUCALIPTO y AV DE LOS MAESTROS, COL. PATIOS DE LA ESTACION, CUERNAVACA, MORELOS </t>
  </si>
  <si>
    <t xml:space="preserve">CIRCUITO ALAMEDA DE MALLORCA 176, entre CALLE ALAMEDAS DE CANTABRIA y BV FCO NAVARRRETE, COL. ALAMEDAS DE ESPAÑA, LEON, GUANAJUATO </t>
  </si>
  <si>
    <t xml:space="preserve">HDA LA LLAVE 3316, entre HDA SAN MARCOS Y HDA TETLAN, COL. SAN JOSE RIO VERDE, GUADALAJARA, JAL. </t>
  </si>
  <si>
    <t xml:space="preserve">JUAN MANUEL 934, entre CRUZ VERDE Y JESUS, COL. GUADALAJARA CENTRO, GUADALAJARA, JAL. </t>
  </si>
  <si>
    <t xml:space="preserve">C. PALMILLAS MZ 124 LT 1, entre CALLE CUAUHTEMOC y AVENIDA VIA GUSTAVO BAZ, COL. CONSEJO AGRARISTA MEXICANO, IZTAPALAPA, CDMX </t>
  </si>
  <si>
    <t xml:space="preserve">BLVD. TABASCO 1815 PTE, entre CALLE TLAXCALA y CALLE SAN FRANCISCO, COL. ESTRELLA, AHOME, LOS MOCHIS, SINALOA </t>
  </si>
  <si>
    <t>27 años</t>
  </si>
  <si>
    <t>37 años</t>
  </si>
  <si>
    <t xml:space="preserve">29 años </t>
  </si>
  <si>
    <t>49 años</t>
  </si>
  <si>
    <t>43 años</t>
  </si>
  <si>
    <t>42 años</t>
  </si>
  <si>
    <t>48 años</t>
  </si>
  <si>
    <t xml:space="preserve">27 años </t>
  </si>
  <si>
    <t>24 años</t>
  </si>
  <si>
    <t>39 años</t>
  </si>
  <si>
    <t>50 años</t>
  </si>
  <si>
    <t>40 años</t>
  </si>
  <si>
    <t>18 años</t>
  </si>
  <si>
    <t xml:space="preserve">Femenino </t>
  </si>
  <si>
    <t xml:space="preserve">Mujer </t>
  </si>
  <si>
    <t>Mujer</t>
  </si>
  <si>
    <t>Soltero</t>
  </si>
  <si>
    <t xml:space="preserve">Soltera </t>
  </si>
  <si>
    <t>Soltera</t>
  </si>
  <si>
    <t>Casado</t>
  </si>
  <si>
    <t>BLANCA DIANA PEREZ MENDOZA</t>
  </si>
  <si>
    <t>PEMB830124R83</t>
  </si>
  <si>
    <t>PEMB830124MNLRNL01</t>
  </si>
  <si>
    <t>JIMENEZ #208, COL. LAZARO CARDENAS, ESCOBEDO, NUEVO LEON</t>
  </si>
  <si>
    <t>Femenino</t>
  </si>
  <si>
    <t>Divorciada</t>
  </si>
  <si>
    <t>blancadianaperezmendoza@gmail.com</t>
  </si>
  <si>
    <t>BTL-DC-1228</t>
  </si>
  <si>
    <t>BTL-DC-1229</t>
  </si>
  <si>
    <t>BTL-DC-1230</t>
  </si>
  <si>
    <t>BTL-DC-1231</t>
  </si>
  <si>
    <t>BTL-DC-1232</t>
  </si>
  <si>
    <t>BTL-DC-1233</t>
  </si>
  <si>
    <t>BTL-DC-1234</t>
  </si>
  <si>
    <t>BTL-DC-1235</t>
  </si>
  <si>
    <t>BTL-DC-1236</t>
  </si>
  <si>
    <t>BTL-DC-1237</t>
  </si>
  <si>
    <t>BTL-DC-1238</t>
  </si>
  <si>
    <t>BTL-DC-1239</t>
  </si>
  <si>
    <t>BTL-DC-1240</t>
  </si>
  <si>
    <t>BTL-DC-1241</t>
  </si>
  <si>
    <t>BTL-DC-1242</t>
  </si>
  <si>
    <t>Nombre del Asegurado / Paciente</t>
  </si>
  <si>
    <t>Fecha de Expedición</t>
  </si>
  <si>
    <t>Tipo de Documento</t>
  </si>
  <si>
    <t>ROCIO OLVERA ACEVEDO</t>
  </si>
  <si>
    <t>Incapacidad</t>
  </si>
  <si>
    <t>GABRIELA BALLESTEROS AUREOLES</t>
  </si>
  <si>
    <t>Receta Médica</t>
  </si>
  <si>
    <t>ALAN MAURICIO DE LEON CORONA</t>
  </si>
  <si>
    <t>CLAUDIA FERNANDA GOMEZ GALVAN</t>
  </si>
  <si>
    <t>YENI CARMONA FLORES</t>
  </si>
  <si>
    <t>Incapacidad (Inicial)</t>
  </si>
  <si>
    <t>LAURA GUZMAN VAZQUEZ</t>
  </si>
  <si>
    <t>RAMIREZ FLORES IRIDIAN JANAI</t>
  </si>
  <si>
    <t>Nota Médica (Urgencias)</t>
  </si>
  <si>
    <t>RODRIGUEZ BAILON OLGA ELIZABETH</t>
  </si>
  <si>
    <t>ELIZABETH ARIAS SANTOS</t>
  </si>
  <si>
    <t>Justificante de Asistencia</t>
  </si>
  <si>
    <t>BRENDA BERENICE RODRIGUEZ SANCHEZ</t>
  </si>
  <si>
    <t>DIANA MARCELA PEREZ TELLEZ</t>
  </si>
  <si>
    <t>NALLELY MONDRAGON VEGA</t>
  </si>
  <si>
    <t>CAROLINA HERNANDEZ ZAVALA</t>
  </si>
  <si>
    <t>Solicitud de Servicios</t>
  </si>
  <si>
    <t>SAMANTHA YAEL LOPEZ ABAD</t>
  </si>
  <si>
    <t>GEORGINA IBARRA RODRIGUEZ</t>
  </si>
  <si>
    <t>SHARENI DAYZU ACOSTA PEREZ</t>
  </si>
  <si>
    <t>JAQUELIN DE JESUS HERNANDEZ</t>
  </si>
  <si>
    <t>Incapacidad (Subsecuente)</t>
  </si>
  <si>
    <t>OLGA LETICIA CORRALES ORTIZ</t>
  </si>
  <si>
    <t>Constancia de Atención</t>
  </si>
  <si>
    <t>NANCY LIZETTE LUPERCIO VALADEZ</t>
  </si>
  <si>
    <t>MARIA DEL ROSARIO LIMON LOPEZ</t>
  </si>
  <si>
    <t>LAURA ALICIA MARTINEZ GONZALEZ</t>
  </si>
  <si>
    <t>CARMEN AZALIA OSORIO CASTELLANOS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</si>
</sst>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/mm/yyyy;@"/>
  </numFmts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1F1F1F"/>
      <name val="Google Sans Text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5" xfId="0" applyFont="1" applyBorder="1" applyAlignment="1">
      <alignment horizontal="center" vertical="top"/>
    </xf>
    <xf numFmtId="0" fontId="0" fillId="0" borderId="2" xfId="0" applyBorder="1"/>
    <xf numFmtId="0" fontId="3" fillId="0" borderId="2" xfId="1" applyFill="1" applyBorder="1"/>
    <xf numFmtId="0" fontId="2" fillId="0" borderId="2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5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0" fontId="4" fillId="0" borderId="2" xfId="1" applyFont="1" applyFill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4" xfId="0" applyBorder="1"/>
    <xf numFmtId="0" fontId="3" fillId="0" borderId="4" xfId="1" applyFill="1" applyBorder="1"/>
    <xf numFmtId="0" fontId="2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left"/>
    </xf>
    <xf numFmtId="0" fontId="5" fillId="0" borderId="0" xfId="0" applyFont="1"/>
    <xf numFmtId="14" fontId="6" fillId="0" borderId="7" xfId="0" applyNumberFormat="1" applyFont="1" applyBorder="1" applyAlignment="1" applyProtection="1">
      <alignment vertical="center"/>
      <protection locked="0"/>
    </xf>
    <xf numFmtId="14" fontId="6" fillId="0" borderId="6" xfId="0" applyNumberFormat="1" applyFont="1" applyBorder="1" applyAlignment="1" applyProtection="1">
      <alignment vertical="center"/>
      <protection locked="0"/>
    </xf>
    <xf numFmtId="14" fontId="5" fillId="0" borderId="7" xfId="0" applyNumberFormat="1" applyFont="1" applyBorder="1" applyAlignment="1" applyProtection="1">
      <alignment vertical="center"/>
      <protection locked="0"/>
    </xf>
    <xf numFmtId="0" fontId="5" fillId="0" borderId="0" xfId="0" quotePrefix="1" applyFont="1"/>
    <xf numFmtId="14" fontId="5" fillId="0" borderId="0" xfId="0" applyNumberFormat="1" applyFont="1"/>
    <xf numFmtId="49" fontId="0" fillId="0" borderId="2" xfId="0" applyNumberFormat="1" applyBorder="1"/>
    <xf numFmtId="49" fontId="0" fillId="2" borderId="2" xfId="0" applyNumberFormat="1" applyFill="1" applyBorder="1"/>
    <xf numFmtId="49" fontId="2" fillId="0" borderId="2" xfId="0" applyNumberFormat="1" applyFont="1" applyBorder="1"/>
    <xf numFmtId="49" fontId="0" fillId="0" borderId="4" xfId="0" applyNumberFormat="1" applyBorder="1"/>
    <xf numFmtId="49" fontId="0" fillId="0" borderId="2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7" fillId="0" borderId="8" xfId="0" applyFont="1" applyBorder="1" applyAlignment="1">
      <alignment wrapText="1"/>
    </xf>
    <xf numFmtId="14" fontId="0" fillId="0" borderId="0" xfId="0" applyNumberFormat="1"/>
    <xf numFmtId="0" fontId="0" fillId="3" borderId="0" xfId="0" applyFill="1"/>
    <xf numFmtId="14" fontId="0" fillId="3" borderId="0" xfId="0" applyNumberFormat="1" applyFill="1"/>
  </cellXfs>
  <cellStyles count="2">
    <cellStyle name="Hipervínculo" xfId="1" builtinId="8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5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eteele%20platform/beteele-platform/EMPLEADOS_EXPORT_MARZO.xlsx" TargetMode="External"/><Relationship Id="rId2" Type="http://schemas.openxmlformats.org/officeDocument/2006/relationships/externalLinkPath" Target="file:///D:\IA\Beteele%20platform\beteele-platform\EMPLEADOS_EXPORT_MARZO.xlsx" TargetMode="External"/><Relationship Id="rId1" Type="http://schemas.openxmlformats.org/officeDocument/2006/relationships/externalLinkPath" Target="/IA/Beteele%20platform/beteele-platform/EMPLEADOS_EXPORT_MAR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mpleados"/>
    </sheetNames>
    <sheetDataSet>
      <sheetData sheetId="0">
        <row r="1">
          <cell r="A1" t="str">
            <v>num_empleado</v>
          </cell>
          <cell r="B1" t="str">
            <v>agencia_id</v>
          </cell>
          <cell r="C1" t="str">
            <v>btl_id</v>
          </cell>
          <cell r="D1" t="str">
            <v>codigo_postal</v>
          </cell>
          <cell r="E1" t="str">
            <v>correo</v>
          </cell>
          <cell r="F1" t="str">
            <v>curp</v>
          </cell>
          <cell r="G1" t="str">
            <v>documento_baja_pdf</v>
          </cell>
          <cell r="H1" t="str">
            <v>documento_renuncia_pdf</v>
          </cell>
          <cell r="I1" t="str">
            <v>domicilio</v>
          </cell>
          <cell r="J1" t="str">
            <v>domicilio_completo</v>
          </cell>
          <cell r="K1" t="str">
            <v>edad</v>
          </cell>
          <cell r="L1" t="str">
            <v>estado</v>
          </cell>
          <cell r="M1" t="str">
            <v>estado_civil</v>
          </cell>
          <cell r="N1" t="str">
            <v>expediente_imss_pdf</v>
          </cell>
          <cell r="O1" t="str">
            <v>expediente_pdf</v>
          </cell>
          <cell r="P1" t="str">
            <v>fecha_baja</v>
          </cell>
          <cell r="Q1" t="str">
            <v>fecha_ingreso</v>
          </cell>
          <cell r="R1" t="str">
            <v>fecha_ingreso_inicial</v>
          </cell>
          <cell r="S1" t="str">
            <v>fecha_nacimiento</v>
          </cell>
          <cell r="T1" t="str">
            <v>id</v>
          </cell>
          <cell r="U1" t="str">
            <v>nombre_completo</v>
          </cell>
          <cell r="V1" t="str">
            <v>nss</v>
          </cell>
          <cell r="W1" t="str">
            <v>originario</v>
          </cell>
          <cell r="X1" t="str">
            <v>pdv_asignado</v>
          </cell>
          <cell r="Y1" t="str">
            <v>recibos_nomina</v>
          </cell>
          <cell r="Z1" t="str">
            <v>rfc</v>
          </cell>
          <cell r="AA1" t="str">
            <v>rol</v>
          </cell>
          <cell r="AB1" t="str">
            <v>sexo</v>
          </cell>
          <cell r="AC1" t="str">
            <v>sueldo_mensual</v>
          </cell>
          <cell r="AD1" t="str">
            <v>supervisor_id</v>
          </cell>
          <cell r="AE1" t="str">
            <v>telefono</v>
          </cell>
          <cell r="AF1" t="str">
            <v>telefono_celular</v>
          </cell>
          <cell r="AG1" t="str">
            <v>territorio</v>
          </cell>
          <cell r="AH1" t="str">
            <v>total_sbc</v>
          </cell>
        </row>
        <row r="2">
          <cell r="A2">
            <v>439</v>
          </cell>
          <cell r="B2" t="str">
            <v>w9dqy2wz4o5mxe8</v>
          </cell>
          <cell r="C2" t="str">
            <v>BTL-DC-439</v>
          </cell>
          <cell r="D2" t="str">
            <v>97302</v>
          </cell>
          <cell r="E2" t="str">
            <v>addy.aban.90@gmail.com</v>
          </cell>
          <cell r="F2" t="str">
            <v>AACA901227MYNBND00</v>
          </cell>
          <cell r="G2" t="str">
            <v/>
          </cell>
          <cell r="H2" t="str">
            <v/>
          </cell>
          <cell r="I2" t="str">
            <v/>
          </cell>
          <cell r="J2" t="str">
            <v>19X 24 Y 26 S/N  CHABLEKAL MERIDA  CP 97302 YUCATÁN</v>
          </cell>
          <cell r="K2">
            <v>0</v>
          </cell>
          <cell r="L2" t="str">
            <v>ACTIVO</v>
          </cell>
          <cell r="M2" t="str">
            <v>CASADO/A</v>
          </cell>
          <cell r="N2" t="str">
            <v/>
          </cell>
          <cell r="O2" t="str">
            <v/>
          </cell>
          <cell r="P2" t="str">
            <v/>
          </cell>
          <cell r="Q2" t="str">
            <v>2025-03-13 00:00:00.000Z</v>
          </cell>
          <cell r="R2" t="str">
            <v>2025-03-13 00:00:00.000Z</v>
          </cell>
          <cell r="S2" t="str">
            <v>1990-12-27 00:00:00.000Z</v>
          </cell>
          <cell r="T2" t="str">
            <v>7b3z5i0b8punn32</v>
          </cell>
          <cell r="U2" t="str">
            <v>ABAN CANUL ADDY GRACIELA</v>
          </cell>
          <cell r="V2" t="str">
            <v>84099030367</v>
          </cell>
          <cell r="W2" t="str">
            <v>YUCATAN</v>
          </cell>
          <cell r="X2" t="str">
            <v/>
          </cell>
          <cell r="Y2" t="str">
            <v/>
          </cell>
          <cell r="Z2" t="str">
            <v>AACA901227NU8</v>
          </cell>
          <cell r="AA2" t="str">
            <v>DERMOCONSEJO</v>
          </cell>
          <cell r="AB2" t="str">
            <v>MUJER</v>
          </cell>
          <cell r="AC2">
            <v>604.86191870648997</v>
          </cell>
          <cell r="AD2" t="str">
            <v/>
          </cell>
          <cell r="AE2" t="str">
            <v/>
          </cell>
          <cell r="AF2" t="str">
            <v>9997375648</v>
          </cell>
          <cell r="AG2" t="str">
            <v>YUCATAN</v>
          </cell>
          <cell r="AH2">
            <v>0</v>
          </cell>
        </row>
        <row r="3">
          <cell r="A3">
            <v>555</v>
          </cell>
          <cell r="B3" t="str">
            <v>w9dqy2wz4o5mxe8</v>
          </cell>
          <cell r="C3" t="str">
            <v>BTL-DC-555</v>
          </cell>
          <cell r="D3" t="str">
            <v>45412</v>
          </cell>
          <cell r="E3" t="str">
            <v>acostakaren358@gmail.com</v>
          </cell>
          <cell r="F3" t="str">
            <v>AOCA950221MJCCMN03</v>
          </cell>
          <cell r="G3" t="str">
            <v/>
          </cell>
          <cell r="H3" t="str">
            <v/>
          </cell>
          <cell r="I3" t="str">
            <v/>
          </cell>
          <cell r="J3" t="str">
            <v>LOMA TECOTLAN NORTE 7993A, LOMA DORADA, TONALÁ, CP 45412, JALISCO</v>
          </cell>
          <cell r="K3">
            <v>0</v>
          </cell>
          <cell r="L3" t="str">
            <v>ACTIVO</v>
          </cell>
          <cell r="M3" t="str">
            <v>CASADO/A</v>
          </cell>
          <cell r="N3" t="str">
            <v/>
          </cell>
          <cell r="O3" t="str">
            <v/>
          </cell>
          <cell r="P3" t="str">
            <v/>
          </cell>
          <cell r="Q3" t="str">
            <v>2026-01-13 00:00:00.000Z</v>
          </cell>
          <cell r="R3" t="str">
            <v>2026-01-13 00:00:00.000Z</v>
          </cell>
          <cell r="S3" t="str">
            <v>1995-02-21 00:00:00.000Z</v>
          </cell>
          <cell r="T3" t="str">
            <v>u03w6oxmvu2v50y</v>
          </cell>
          <cell r="U3" t="str">
            <v xml:space="preserve">ACOSTA CAMACHO ANA KAREN </v>
          </cell>
          <cell r="V3" t="str">
            <v>04129510451</v>
          </cell>
          <cell r="W3" t="str">
            <v>JALISCO</v>
          </cell>
          <cell r="X3" t="str">
            <v/>
          </cell>
          <cell r="Y3" t="str">
            <v/>
          </cell>
          <cell r="Z3" t="str">
            <v>AOCA950221</v>
          </cell>
          <cell r="AA3" t="str">
            <v>DERMOCONSEJO</v>
          </cell>
          <cell r="AB3" t="str">
            <v>MUJER</v>
          </cell>
          <cell r="AC3">
            <v>330.576219178082</v>
          </cell>
          <cell r="AD3" t="str">
            <v/>
          </cell>
          <cell r="AE3" t="str">
            <v/>
          </cell>
          <cell r="AF3" t="str">
            <v>3325871316</v>
          </cell>
          <cell r="AG3" t="str">
            <v>GDL</v>
          </cell>
          <cell r="AH3">
            <v>0</v>
          </cell>
        </row>
        <row r="4">
          <cell r="A4">
            <v>420</v>
          </cell>
          <cell r="B4" t="str">
            <v>w9dqy2wz4o5mxe8</v>
          </cell>
          <cell r="C4" t="str">
            <v>BTL-DC-420</v>
          </cell>
          <cell r="D4" t="str">
            <v>11830</v>
          </cell>
          <cell r="E4" t="str">
            <v>shareniacosta64@gmail.com</v>
          </cell>
          <cell r="F4" t="str">
            <v>AOPS930724MDFCRH06</v>
          </cell>
          <cell r="G4" t="str">
            <v/>
          </cell>
          <cell r="H4" t="str">
            <v/>
          </cell>
          <cell r="I4" t="str">
            <v/>
          </cell>
          <cell r="J4" t="str">
            <v>BARRANQUILLA # 162 COL. DANIEL GARZA C.P. 11830 MIGUEL HIDALGO, CDMX</v>
          </cell>
          <cell r="K4">
            <v>0</v>
          </cell>
          <cell r="L4" t="str">
            <v>ACTIVO</v>
          </cell>
          <cell r="M4" t="str">
            <v>SOLTERO/A</v>
          </cell>
          <cell r="N4" t="str">
            <v/>
          </cell>
          <cell r="O4" t="str">
            <v/>
          </cell>
          <cell r="P4" t="str">
            <v/>
          </cell>
          <cell r="Q4" t="str">
            <v>2026-01-12 00:00:00.000Z</v>
          </cell>
          <cell r="R4" t="str">
            <v>2025-02-04 00:00:00.000Z</v>
          </cell>
          <cell r="S4" t="str">
            <v>1993-07-24 00:00:00.000Z</v>
          </cell>
          <cell r="T4" t="str">
            <v>vkgj6526x3403d9</v>
          </cell>
          <cell r="U4" t="str">
            <v>ACOSTA PEREZ SHARENI DAYZU</v>
          </cell>
          <cell r="V4" t="str">
            <v>46149331210</v>
          </cell>
          <cell r="W4" t="str">
            <v>CIUDAD DE MEXICO</v>
          </cell>
          <cell r="X4" t="str">
            <v/>
          </cell>
          <cell r="Y4" t="str">
            <v/>
          </cell>
          <cell r="Z4" t="str">
            <v>AOPS930724Q99</v>
          </cell>
          <cell r="AA4" t="str">
            <v>DERMOCONSEJO</v>
          </cell>
          <cell r="AB4" t="str">
            <v>MUJER</v>
          </cell>
          <cell r="AC4">
            <v>330.576219178082</v>
          </cell>
          <cell r="AD4" t="str">
            <v/>
          </cell>
          <cell r="AE4" t="str">
            <v/>
          </cell>
          <cell r="AF4" t="str">
            <v>7299425107</v>
          </cell>
          <cell r="AG4" t="str">
            <v>CDMX</v>
          </cell>
          <cell r="AH4">
            <v>0</v>
          </cell>
        </row>
        <row r="5">
          <cell r="A5">
            <v>551</v>
          </cell>
          <cell r="B5" t="str">
            <v>w9dqy2wz4o5mxe8</v>
          </cell>
          <cell r="C5" t="str">
            <v>BTL-DC-551</v>
          </cell>
          <cell r="D5" t="str">
            <v>3810</v>
          </cell>
          <cell r="E5" t="str">
            <v>ceci_aguila_vieyra@hotmail.com</v>
          </cell>
          <cell r="F5" t="str">
            <v>AUVC701122MDFGYC09</v>
          </cell>
          <cell r="G5" t="str">
            <v/>
          </cell>
          <cell r="H5" t="str">
            <v/>
          </cell>
          <cell r="I5" t="str">
            <v/>
          </cell>
          <cell r="J5" t="str">
            <v>26 # 131, ESTADO DE MÉXICO, NEZAHUALCÓYOTL, CP 57210, CIUDAD DE MÉXICO</v>
          </cell>
          <cell r="K5">
            <v>0</v>
          </cell>
          <cell r="L5" t="str">
            <v>ACTIVO</v>
          </cell>
          <cell r="M5" t="str">
            <v>CASADO/A</v>
          </cell>
          <cell r="N5" t="str">
            <v/>
          </cell>
          <cell r="O5" t="str">
            <v/>
          </cell>
          <cell r="P5" t="str">
            <v/>
          </cell>
          <cell r="Q5" t="str">
            <v>2026-01-12 00:00:00.000Z</v>
          </cell>
          <cell r="R5" t="str">
            <v>2026-01-12 00:00:00.000Z</v>
          </cell>
          <cell r="S5" t="str">
            <v>1970-11-22 00:00:00.000Z</v>
          </cell>
          <cell r="T5" t="str">
            <v>51nl283h87bkjb5</v>
          </cell>
          <cell r="U5" t="str">
            <v>AGUILA VIEYRA CECILIA</v>
          </cell>
          <cell r="V5" t="str">
            <v>20907129397</v>
          </cell>
          <cell r="W5" t="str">
            <v>CIUDAD DE MEXICO</v>
          </cell>
          <cell r="X5" t="str">
            <v/>
          </cell>
          <cell r="Y5" t="str">
            <v/>
          </cell>
          <cell r="Z5" t="str">
            <v>AUVC701122HI0</v>
          </cell>
          <cell r="AA5" t="str">
            <v>DERMOCONSEJO</v>
          </cell>
          <cell r="AB5" t="str">
            <v>MUJER</v>
          </cell>
          <cell r="AC5">
            <v>330.576219178082</v>
          </cell>
          <cell r="AD5" t="str">
            <v/>
          </cell>
          <cell r="AE5" t="str">
            <v/>
          </cell>
          <cell r="AF5" t="str">
            <v>5544571643</v>
          </cell>
          <cell r="AG5" t="str">
            <v>CDMX</v>
          </cell>
          <cell r="AH5">
            <v>0</v>
          </cell>
        </row>
        <row r="6">
          <cell r="A6">
            <v>511</v>
          </cell>
          <cell r="B6" t="str">
            <v>w9dqy2wz4o5mxe8</v>
          </cell>
          <cell r="C6" t="str">
            <v>BTL-DC-511</v>
          </cell>
          <cell r="D6" t="str">
            <v>02420</v>
          </cell>
          <cell r="E6" t="str">
            <v>amiwis83@hotmail.com</v>
          </cell>
          <cell r="F6" t="str">
            <v>AUAM830827MPLGNR01</v>
          </cell>
          <cell r="G6" t="str">
            <v/>
          </cell>
          <cell r="H6" t="str">
            <v/>
          </cell>
          <cell r="I6" t="str">
            <v/>
          </cell>
          <cell r="J6" t="str">
            <v>SM 1 DEPTO 6 107  EX HACIENDA DEL ROSARIO AZCAPOTZALCO  CP 02420 CIUDAD DE MÉXICO</v>
          </cell>
          <cell r="K6">
            <v>0</v>
          </cell>
          <cell r="L6" t="str">
            <v>ACTIVO</v>
          </cell>
          <cell r="M6" t="str">
            <v>SOLTERO/A</v>
          </cell>
          <cell r="N6" t="str">
            <v/>
          </cell>
          <cell r="O6" t="str">
            <v/>
          </cell>
          <cell r="P6" t="str">
            <v/>
          </cell>
          <cell r="Q6" t="str">
            <v>2025-08-15 00:00:00.000Z</v>
          </cell>
          <cell r="R6" t="str">
            <v>2025-08-15 00:00:00.000Z</v>
          </cell>
          <cell r="S6" t="str">
            <v>1983-08-27 00:00:00.000Z</v>
          </cell>
          <cell r="T6" t="str">
            <v>441tk35w9yu3o6q</v>
          </cell>
          <cell r="U6" t="str">
            <v xml:space="preserve">AGUILAR ANAYA MARISOL </v>
          </cell>
          <cell r="V6" t="str">
            <v>30018335874</v>
          </cell>
          <cell r="W6" t="str">
            <v>PUEBLA</v>
          </cell>
          <cell r="X6" t="str">
            <v/>
          </cell>
          <cell r="Y6" t="str">
            <v/>
          </cell>
          <cell r="Z6" t="str">
            <v>AUAM830827C9A</v>
          </cell>
          <cell r="AA6" t="str">
            <v>DERMOCONSEJO</v>
          </cell>
          <cell r="AB6" t="str">
            <v>MUJER</v>
          </cell>
          <cell r="AC6">
            <v>559.31507163709796</v>
          </cell>
          <cell r="AD6" t="str">
            <v/>
          </cell>
          <cell r="AE6" t="str">
            <v/>
          </cell>
          <cell r="AF6" t="str">
            <v>5510263755</v>
          </cell>
          <cell r="AG6" t="str">
            <v>CDMX</v>
          </cell>
          <cell r="AH6">
            <v>0</v>
          </cell>
        </row>
        <row r="7">
          <cell r="A7">
            <v>204</v>
          </cell>
          <cell r="B7" t="str">
            <v>w9dqy2wz4o5mxe8</v>
          </cell>
          <cell r="C7" t="str">
            <v>BTL-DC-204</v>
          </cell>
          <cell r="D7" t="str">
            <v>09180</v>
          </cell>
          <cell r="E7" t="str">
            <v>trinyaguilarcabrera02@g</v>
          </cell>
          <cell r="F7" t="str">
            <v>AUCT790610MPLGBR08</v>
          </cell>
          <cell r="G7" t="str">
            <v/>
          </cell>
          <cell r="H7" t="str">
            <v/>
          </cell>
          <cell r="I7" t="str">
            <v/>
          </cell>
          <cell r="J7" t="str">
            <v>CALLE FRANSISCO ESPINOZALT.23 MZ.36 UNIDAD ERMITA ZARAGOZA IZTAPALAPA CP 09180 MÉXICO</v>
          </cell>
          <cell r="K7">
            <v>0</v>
          </cell>
          <cell r="L7" t="str">
            <v>ACTIVO</v>
          </cell>
          <cell r="M7" t="str">
            <v>SOLTERO/A</v>
          </cell>
          <cell r="N7" t="str">
            <v/>
          </cell>
          <cell r="O7" t="str">
            <v/>
          </cell>
          <cell r="P7" t="str">
            <v/>
          </cell>
          <cell r="Q7" t="str">
            <v>2023-08-11 00:00:00.000Z</v>
          </cell>
          <cell r="R7" t="str">
            <v>2023-08-11 00:00:00.000Z</v>
          </cell>
          <cell r="S7" t="str">
            <v>1979-06-10 00:00:00.000Z</v>
          </cell>
          <cell r="T7" t="str">
            <v>64094z320d0re26</v>
          </cell>
          <cell r="U7" t="str">
            <v xml:space="preserve">AGUILAR CABRERA TRINIDAD </v>
          </cell>
          <cell r="V7" t="str">
            <v>45007904779</v>
          </cell>
          <cell r="W7" t="str">
            <v>PUEBLA</v>
          </cell>
          <cell r="X7" t="str">
            <v/>
          </cell>
          <cell r="Y7" t="str">
            <v/>
          </cell>
          <cell r="Z7" t="str">
            <v>AUCT790610QLA</v>
          </cell>
          <cell r="AA7" t="str">
            <v>DERMOCONSEJO</v>
          </cell>
          <cell r="AB7" t="str">
            <v>MUJER</v>
          </cell>
          <cell r="AC7">
            <v>617.18691039748398</v>
          </cell>
          <cell r="AD7" t="str">
            <v/>
          </cell>
          <cell r="AE7" t="str">
            <v/>
          </cell>
          <cell r="AF7" t="str">
            <v>5544566296</v>
          </cell>
          <cell r="AG7" t="str">
            <v>CDMX</v>
          </cell>
          <cell r="AH7">
            <v>0</v>
          </cell>
        </row>
        <row r="8">
          <cell r="A8">
            <v>75</v>
          </cell>
          <cell r="B8" t="str">
            <v>w9dqy2wz4o5mxe8</v>
          </cell>
          <cell r="C8" t="str">
            <v>BTL-DC-75</v>
          </cell>
          <cell r="D8" t="str">
            <v>04300</v>
          </cell>
          <cell r="E8" t="str">
            <v>07rofana@gmail.com</v>
          </cell>
          <cell r="F8" t="str">
            <v>AURR851007MDFGMX06</v>
          </cell>
          <cell r="G8" t="str">
            <v/>
          </cell>
          <cell r="H8" t="str">
            <v/>
          </cell>
          <cell r="I8" t="str">
            <v/>
          </cell>
          <cell r="J8" t="str">
            <v>CALLE OTOMIES MZ 84 LT 5 BIS  AJUSCO  COYOACÁN  CP 04300 CIUDAD DE MÉXICO</v>
          </cell>
          <cell r="K8">
            <v>0</v>
          </cell>
          <cell r="L8" t="str">
            <v>ACTIVO</v>
          </cell>
          <cell r="M8" t="str">
            <v>CASADO/A</v>
          </cell>
          <cell r="N8" t="str">
            <v/>
          </cell>
          <cell r="O8" t="str">
            <v/>
          </cell>
          <cell r="P8" t="str">
            <v/>
          </cell>
          <cell r="Q8" t="str">
            <v>2022-08-01 00:00:00.000Z</v>
          </cell>
          <cell r="R8" t="str">
            <v>2022-08-01 00:00:00.000Z</v>
          </cell>
          <cell r="S8" t="str">
            <v>1985-10-07 00:00:00.000Z</v>
          </cell>
          <cell r="T8" t="str">
            <v>8r6wc2bxpx04q6y</v>
          </cell>
          <cell r="U8" t="str">
            <v xml:space="preserve">AGUILAR ROMERO ROXANA </v>
          </cell>
          <cell r="V8" t="str">
            <v>01028514576</v>
          </cell>
          <cell r="W8" t="str">
            <v>CIUDAD DE MEXICO</v>
          </cell>
          <cell r="X8" t="str">
            <v/>
          </cell>
          <cell r="Y8" t="str">
            <v/>
          </cell>
          <cell r="Z8" t="str">
            <v>AURR8510079A3</v>
          </cell>
          <cell r="AA8" t="str">
            <v>DERMOCONSEJO</v>
          </cell>
          <cell r="AB8" t="str">
            <v>MUJER</v>
          </cell>
          <cell r="AC8">
            <v>585.60529328542498</v>
          </cell>
          <cell r="AD8" t="str">
            <v/>
          </cell>
          <cell r="AE8" t="str">
            <v/>
          </cell>
          <cell r="AF8" t="str">
            <v>5528357725</v>
          </cell>
          <cell r="AG8" t="str">
            <v>CDMX</v>
          </cell>
          <cell r="AH8">
            <v>0</v>
          </cell>
        </row>
        <row r="9">
          <cell r="A9">
            <v>459</v>
          </cell>
          <cell r="B9" t="str">
            <v>w9dqy2wz4o5mxe8</v>
          </cell>
          <cell r="C9" t="str">
            <v>BTL-DC-459</v>
          </cell>
          <cell r="D9" t="str">
            <v>88758</v>
          </cell>
          <cell r="E9" t="str">
            <v>va9532139@gmail.com</v>
          </cell>
          <cell r="F9" t="str">
            <v>AAVV960215MTSLLN09</v>
          </cell>
          <cell r="G9" t="str">
            <v/>
          </cell>
          <cell r="H9" t="str">
            <v/>
          </cell>
          <cell r="I9" t="str">
            <v/>
          </cell>
          <cell r="J9" t="str">
            <v>NAYARIT 825 NUEVO MÉXICO  REYNOSA  CP 88758 TAMAULIPAS</v>
          </cell>
          <cell r="K9">
            <v>0</v>
          </cell>
          <cell r="L9" t="str">
            <v>ACTIVO</v>
          </cell>
          <cell r="M9" t="str">
            <v>SOLTERO/A</v>
          </cell>
          <cell r="N9" t="str">
            <v/>
          </cell>
          <cell r="O9" t="str">
            <v/>
          </cell>
          <cell r="P9" t="str">
            <v/>
          </cell>
          <cell r="Q9" t="str">
            <v>2025-05-08 00:00:00.000Z</v>
          </cell>
          <cell r="R9" t="str">
            <v>2025-05-08 00:00:00.000Z</v>
          </cell>
          <cell r="S9" t="str">
            <v>1996-02-15 00:00:00.000Z</v>
          </cell>
          <cell r="T9" t="str">
            <v>rb5frd52318p212</v>
          </cell>
          <cell r="U9" t="str">
            <v xml:space="preserve">ALAMO VELAZQUEZ VANESSA </v>
          </cell>
          <cell r="V9" t="str">
            <v>19149629164</v>
          </cell>
          <cell r="W9" t="str">
            <v>TAMAULIPAS</v>
          </cell>
          <cell r="X9" t="str">
            <v/>
          </cell>
          <cell r="Y9" t="str">
            <v/>
          </cell>
          <cell r="Z9" t="str">
            <v>AAVV960215NEE</v>
          </cell>
          <cell r="AA9" t="str">
            <v>DERMOCONSEJO</v>
          </cell>
          <cell r="AB9" t="str">
            <v>MUJER</v>
          </cell>
          <cell r="AC9">
            <v>612.73907523018102</v>
          </cell>
          <cell r="AD9" t="str">
            <v/>
          </cell>
          <cell r="AE9" t="str">
            <v/>
          </cell>
          <cell r="AF9" t="str">
            <v>8992183465</v>
          </cell>
          <cell r="AG9" t="str">
            <v>TAMAULIPAS</v>
          </cell>
          <cell r="AH9">
            <v>0</v>
          </cell>
        </row>
        <row r="10">
          <cell r="A10">
            <v>337</v>
          </cell>
          <cell r="B10" t="str">
            <v>w9dqy2wz4o5mxe8</v>
          </cell>
          <cell r="C10" t="str">
            <v>BTL-DC-337</v>
          </cell>
          <cell r="D10" t="str">
            <v>55120</v>
          </cell>
          <cell r="E10" t="str">
            <v>jakeskate1118@gmail.com</v>
          </cell>
          <cell r="F10" t="str">
            <v>AAAA981111HDFLLN03</v>
          </cell>
          <cell r="G10" t="str">
            <v/>
          </cell>
          <cell r="H10" t="str">
            <v/>
          </cell>
          <cell r="I10" t="str">
            <v/>
          </cell>
          <cell r="J10" t="str">
            <v>MAYAS 56 CIUDAD AZTECA SECC PONIENTE ECATEPEC  CP 55120 MÉXICO</v>
          </cell>
          <cell r="K10">
            <v>0</v>
          </cell>
          <cell r="L10" t="str">
            <v>ACTIVO</v>
          </cell>
          <cell r="M10" t="str">
            <v>SOLTERO/A</v>
          </cell>
          <cell r="N10" t="str">
            <v/>
          </cell>
          <cell r="O10" t="str">
            <v/>
          </cell>
          <cell r="P10" t="str">
            <v/>
          </cell>
          <cell r="Q10" t="str">
            <v>2024-07-09 00:00:00.000Z</v>
          </cell>
          <cell r="R10" t="str">
            <v>2024-07-09 00:00:00.000Z</v>
          </cell>
          <cell r="S10" t="str">
            <v>1998-11-11 00:00:00.000Z</v>
          </cell>
          <cell r="T10" t="str">
            <v>u4qt53b1xs29f75</v>
          </cell>
          <cell r="U10" t="str">
            <v>ALANIS ALARCON ANGEL URIEL</v>
          </cell>
          <cell r="V10" t="str">
            <v>01139832917</v>
          </cell>
          <cell r="W10" t="str">
            <v>CIUDAD DE MEXICO</v>
          </cell>
          <cell r="X10" t="str">
            <v/>
          </cell>
          <cell r="Y10" t="str">
            <v/>
          </cell>
          <cell r="Z10" t="str">
            <v>AAAA981111JM9</v>
          </cell>
          <cell r="AA10" t="str">
            <v>DERMOCONSEJO</v>
          </cell>
          <cell r="AB10" t="str">
            <v>HOMBRE</v>
          </cell>
          <cell r="AC10">
            <v>550.14721603413398</v>
          </cell>
          <cell r="AD10" t="str">
            <v/>
          </cell>
          <cell r="AE10" t="str">
            <v/>
          </cell>
          <cell r="AF10" t="str">
            <v>5561150912</v>
          </cell>
          <cell r="AG10" t="str">
            <v>CDMX</v>
          </cell>
          <cell r="AH10">
            <v>0</v>
          </cell>
        </row>
        <row r="11">
          <cell r="A11">
            <v>124</v>
          </cell>
          <cell r="B11" t="str">
            <v>w9dqy2wz4o5mxe8</v>
          </cell>
          <cell r="C11" t="str">
            <v>BTL-DC-124</v>
          </cell>
          <cell r="D11" t="str">
            <v>03700</v>
          </cell>
          <cell r="E11" t="str">
            <v>andreux_30@hotmail.com</v>
          </cell>
          <cell r="F11" t="str">
            <v>AAMA771130MVZLRN04</v>
          </cell>
          <cell r="G11" t="str">
            <v/>
          </cell>
          <cell r="H11" t="str">
            <v/>
          </cell>
          <cell r="I11" t="str">
            <v/>
          </cell>
          <cell r="J11" t="str">
            <v>CDA. ANDREA DEL CASTAÑO #21 NONOALCO MIXCOAC  BENITO JUÁREZ  CP 03700 CIUDAD DE MÉXICO</v>
          </cell>
          <cell r="K11">
            <v>0</v>
          </cell>
          <cell r="L11" t="str">
            <v>ACTIVO</v>
          </cell>
          <cell r="M11" t="str">
            <v>SOLTERO/A</v>
          </cell>
          <cell r="N11" t="str">
            <v/>
          </cell>
          <cell r="O11" t="str">
            <v/>
          </cell>
          <cell r="P11" t="str">
            <v/>
          </cell>
          <cell r="Q11" t="str">
            <v>2023-02-01 00:00:00.000Z</v>
          </cell>
          <cell r="R11" t="str">
            <v>2022-08-02 00:00:00.000Z</v>
          </cell>
          <cell r="S11" t="str">
            <v>1977-11-30 00:00:00.000Z</v>
          </cell>
          <cell r="T11" t="str">
            <v>az7w6k93d86k37c</v>
          </cell>
          <cell r="U11" t="str">
            <v xml:space="preserve">ALARCON MORALES ANDREA CONCEPCION </v>
          </cell>
          <cell r="V11" t="str">
            <v>65957765020</v>
          </cell>
          <cell r="W11" t="str">
            <v>VERACRUZ</v>
          </cell>
          <cell r="X11" t="str">
            <v/>
          </cell>
          <cell r="Y11" t="str">
            <v/>
          </cell>
          <cell r="Z11" t="str">
            <v>AAMA7711301L8</v>
          </cell>
          <cell r="AA11" t="str">
            <v>DERMOCONSEJO</v>
          </cell>
          <cell r="AB11" t="str">
            <v>MUJER</v>
          </cell>
          <cell r="AC11">
            <v>612.94332607231001</v>
          </cell>
          <cell r="AD11" t="str">
            <v/>
          </cell>
          <cell r="AE11" t="str">
            <v/>
          </cell>
          <cell r="AF11" t="str">
            <v>5538906057</v>
          </cell>
          <cell r="AG11" t="str">
            <v>CDMX</v>
          </cell>
          <cell r="AH11">
            <v>0</v>
          </cell>
        </row>
        <row r="12">
          <cell r="A12">
            <v>304</v>
          </cell>
          <cell r="B12" t="str">
            <v>w9dqy2wz4o5mxe8</v>
          </cell>
          <cell r="C12" t="str">
            <v>BTL-DC-304</v>
          </cell>
          <cell r="D12" t="str">
            <v>80290</v>
          </cell>
          <cell r="E12" t="str">
            <v>lettyalarconsicairos@gmail.com</v>
          </cell>
          <cell r="F12" t="str">
            <v>AASL911213MSLLCT03</v>
          </cell>
          <cell r="G12" t="str">
            <v/>
          </cell>
          <cell r="H12" t="str">
            <v/>
          </cell>
          <cell r="I12" t="str">
            <v/>
          </cell>
          <cell r="J12" t="str">
            <v>VALENTIN GOMEZ FARIAS 1448 LAZARO CÁRDENAS  CULIACAN  CP 80290 SINALOA</v>
          </cell>
          <cell r="K12">
            <v>0</v>
          </cell>
          <cell r="L12" t="str">
            <v>ACTIVO</v>
          </cell>
          <cell r="M12" t="str">
            <v>CASADO/A</v>
          </cell>
          <cell r="N12" t="str">
            <v/>
          </cell>
          <cell r="O12" t="str">
            <v/>
          </cell>
          <cell r="P12" t="str">
            <v/>
          </cell>
          <cell r="Q12" t="str">
            <v>2024-04-15 00:00:00.000Z</v>
          </cell>
          <cell r="R12" t="str">
            <v>2024-04-15 00:00:00.000Z</v>
          </cell>
          <cell r="S12" t="str">
            <v>1991-12-13 00:00:00.000Z</v>
          </cell>
          <cell r="T12" t="str">
            <v>emza72c8st53h00</v>
          </cell>
          <cell r="U12" t="str">
            <v xml:space="preserve">ALARCON SICAIROS MARIA LETICIA </v>
          </cell>
          <cell r="V12" t="str">
            <v>23099113161</v>
          </cell>
          <cell r="W12" t="str">
            <v>SINALOA</v>
          </cell>
          <cell r="X12" t="str">
            <v/>
          </cell>
          <cell r="Y12" t="str">
            <v/>
          </cell>
          <cell r="Z12" t="str">
            <v>AASL911213HJ8</v>
          </cell>
          <cell r="AA12" t="str">
            <v>DERMOCONSEJO</v>
          </cell>
          <cell r="AB12" t="str">
            <v>MUJER</v>
          </cell>
          <cell r="AC12">
            <v>668.73050235795995</v>
          </cell>
          <cell r="AD12" t="str">
            <v/>
          </cell>
          <cell r="AE12" t="str">
            <v/>
          </cell>
          <cell r="AF12" t="str">
            <v>6673410866</v>
          </cell>
          <cell r="AG12" t="str">
            <v>SINALOA</v>
          </cell>
          <cell r="AH12">
            <v>0</v>
          </cell>
        </row>
        <row r="13">
          <cell r="A13">
            <v>348</v>
          </cell>
          <cell r="B13" t="str">
            <v>w9dqy2wz4o5mxe8</v>
          </cell>
          <cell r="C13" t="str">
            <v>BTL-DC-348</v>
          </cell>
          <cell r="D13" t="str">
            <v>80290</v>
          </cell>
          <cell r="E13" t="str">
            <v>isselasicairos814@gmail.com</v>
          </cell>
          <cell r="F13" t="str">
            <v>AASR890320MSLLCS09</v>
          </cell>
          <cell r="G13" t="str">
            <v/>
          </cell>
          <cell r="H13" t="str">
            <v/>
          </cell>
          <cell r="I13" t="str">
            <v/>
          </cell>
          <cell r="J13" t="str">
            <v>ADOLFO DE LA HUERTA 155 LÁZARO CÁRDENAS  CULIACÁN  CP 80290 SINALOA</v>
          </cell>
          <cell r="K13">
            <v>0</v>
          </cell>
          <cell r="L13" t="str">
            <v>ACTIVO</v>
          </cell>
          <cell r="M13" t="str">
            <v>SOLTERO/A</v>
          </cell>
          <cell r="N13" t="str">
            <v/>
          </cell>
          <cell r="O13" t="str">
            <v/>
          </cell>
          <cell r="P13" t="str">
            <v/>
          </cell>
          <cell r="Q13" t="str">
            <v>2024-08-06 00:00:00.000Z</v>
          </cell>
          <cell r="R13" t="str">
            <v>2024-08-06 00:00:00.000Z</v>
          </cell>
          <cell r="S13" t="str">
            <v>1989-03-20 00:00:00.000Z</v>
          </cell>
          <cell r="T13" t="str">
            <v>2n1c651wf52y844</v>
          </cell>
          <cell r="U13" t="str">
            <v xml:space="preserve">ALARCON SICAIROS ROSA ISELA </v>
          </cell>
          <cell r="V13" t="str">
            <v>23098909064</v>
          </cell>
          <cell r="W13" t="str">
            <v>SINALOA</v>
          </cell>
          <cell r="X13" t="str">
            <v/>
          </cell>
          <cell r="Y13" t="str">
            <v/>
          </cell>
          <cell r="Z13" t="str">
            <v>AASR890320CWA</v>
          </cell>
          <cell r="AA13" t="str">
            <v>DERMOCONSEJO</v>
          </cell>
          <cell r="AB13" t="str">
            <v>MUJER</v>
          </cell>
          <cell r="AC13">
            <v>650.34214170222299</v>
          </cell>
          <cell r="AD13" t="str">
            <v/>
          </cell>
          <cell r="AE13" t="str">
            <v/>
          </cell>
          <cell r="AF13" t="str">
            <v>6678403908</v>
          </cell>
          <cell r="AG13" t="str">
            <v>SINALOA</v>
          </cell>
          <cell r="AH13">
            <v>0</v>
          </cell>
        </row>
        <row r="14">
          <cell r="A14">
            <v>445</v>
          </cell>
          <cell r="B14" t="str">
            <v>w9dqy2wz4o5mxe8</v>
          </cell>
          <cell r="C14" t="str">
            <v>BTL-DC-445</v>
          </cell>
          <cell r="D14" t="str">
            <v>52172</v>
          </cell>
          <cell r="E14" t="str">
            <v>marijo.strellita@gmail.com</v>
          </cell>
          <cell r="F14" t="str">
            <v>AAVJ981126MMCLLS08</v>
          </cell>
          <cell r="G14" t="str">
            <v/>
          </cell>
          <cell r="H14" t="str">
            <v/>
          </cell>
          <cell r="I14" t="str">
            <v/>
          </cell>
          <cell r="J14" t="str">
            <v>VICENTE GUERRERO 4 SAN SALVADOR TIZATLALLI  METEPEC CP 52172 MÉXICO</v>
          </cell>
          <cell r="K14">
            <v>0</v>
          </cell>
          <cell r="L14" t="str">
            <v>ACTIVO</v>
          </cell>
          <cell r="M14" t="str">
            <v>SOLTERO/A</v>
          </cell>
          <cell r="N14" t="str">
            <v/>
          </cell>
          <cell r="O14" t="str">
            <v/>
          </cell>
          <cell r="P14" t="str">
            <v/>
          </cell>
          <cell r="Q14" t="str">
            <v>2025-04-03 00:00:00.000Z</v>
          </cell>
          <cell r="R14" t="str">
            <v>2025-04-03 00:00:00.000Z</v>
          </cell>
          <cell r="S14" t="str">
            <v>1998-11-26 00:00:00.000Z</v>
          </cell>
          <cell r="T14" t="str">
            <v>hj08rzvyqk5xx90</v>
          </cell>
          <cell r="U14" t="str">
            <v xml:space="preserve">ALCANTARA VALLE MARIA JOSE </v>
          </cell>
          <cell r="V14" t="str">
            <v>44179813488</v>
          </cell>
          <cell r="W14" t="str">
            <v>ESTADO DE MEXICO</v>
          </cell>
          <cell r="X14" t="str">
            <v/>
          </cell>
          <cell r="Y14" t="str">
            <v/>
          </cell>
          <cell r="Z14" t="str">
            <v>AAVJ981126V17</v>
          </cell>
          <cell r="AA14" t="str">
            <v>DERMOCONSEJO</v>
          </cell>
          <cell r="AB14" t="str">
            <v>MUJER</v>
          </cell>
          <cell r="AC14">
            <v>675.16507163709798</v>
          </cell>
          <cell r="AD14" t="str">
            <v/>
          </cell>
          <cell r="AE14" t="str">
            <v/>
          </cell>
          <cell r="AF14" t="str">
            <v>7291206270</v>
          </cell>
          <cell r="AG14" t="str">
            <v>TOLUCA</v>
          </cell>
          <cell r="AH14">
            <v>0</v>
          </cell>
        </row>
        <row r="15">
          <cell r="A15">
            <v>550</v>
          </cell>
          <cell r="B15" t="str">
            <v>w9dqy2wz4o5mxe8</v>
          </cell>
          <cell r="C15" t="str">
            <v>BTL-DC-550</v>
          </cell>
          <cell r="D15" t="str">
            <v>57000</v>
          </cell>
          <cell r="E15" t="str">
            <v>maricelaallende24@gmail.com</v>
          </cell>
          <cell r="F15" t="str">
            <v>AEVM830306MDFLLR02</v>
          </cell>
          <cell r="G15" t="str">
            <v/>
          </cell>
          <cell r="H15" t="str">
            <v/>
          </cell>
          <cell r="I15" t="str">
            <v/>
          </cell>
          <cell r="J15" t="str">
            <v>VERGELITO 283 CP.57000, MADRUGADA Y 4 AV, BENITO JUAREZ LA AURORA, C.P. 57000, NEZAHUALCOYOTL, MEX.</v>
          </cell>
          <cell r="K15">
            <v>0</v>
          </cell>
          <cell r="L15" t="str">
            <v>ACTIVO</v>
          </cell>
          <cell r="M15" t="str">
            <v>CASADO/A</v>
          </cell>
          <cell r="N15" t="str">
            <v/>
          </cell>
          <cell r="O15" t="str">
            <v/>
          </cell>
          <cell r="P15" t="str">
            <v/>
          </cell>
          <cell r="Q15" t="str">
            <v>2026-01-12 00:00:00.000Z</v>
          </cell>
          <cell r="R15" t="str">
            <v>2026-01-12 00:00:00.000Z</v>
          </cell>
          <cell r="S15" t="str">
            <v>2065-04-26 00:00:00.000Z</v>
          </cell>
          <cell r="T15" t="str">
            <v>l98559897njgzq3</v>
          </cell>
          <cell r="U15" t="str">
            <v xml:space="preserve">ALLENDE VELASCO MARISELA </v>
          </cell>
          <cell r="V15" t="str">
            <v>11018327723</v>
          </cell>
          <cell r="W15" t="str">
            <v>CIUDAD DE MEXICO</v>
          </cell>
          <cell r="X15" t="str">
            <v/>
          </cell>
          <cell r="Y15" t="str">
            <v/>
          </cell>
          <cell r="Z15" t="str">
            <v>AEVM830306R59</v>
          </cell>
          <cell r="AA15" t="str">
            <v>DERMOCONSEJO</v>
          </cell>
          <cell r="AB15" t="str">
            <v>MUJER</v>
          </cell>
          <cell r="AC15">
            <v>330.576219178082</v>
          </cell>
          <cell r="AD15" t="str">
            <v/>
          </cell>
          <cell r="AE15" t="str">
            <v/>
          </cell>
          <cell r="AF15" t="str">
            <v>5512998370</v>
          </cell>
          <cell r="AG15" t="str">
            <v>CDMX</v>
          </cell>
          <cell r="AH15">
            <v>0</v>
          </cell>
        </row>
        <row r="16">
          <cell r="A16">
            <v>33</v>
          </cell>
          <cell r="B16" t="str">
            <v>w9dqy2wz4o5mxe8</v>
          </cell>
          <cell r="C16" t="str">
            <v>BTL-DC-33</v>
          </cell>
          <cell r="D16" t="str">
            <v>9830</v>
          </cell>
          <cell r="E16" t="str">
            <v>normaivonne826@gmail.com</v>
          </cell>
          <cell r="F16" t="str">
            <v>AALN69O419MDFLPR11</v>
          </cell>
          <cell r="G16" t="str">
            <v/>
          </cell>
          <cell r="H16" t="str">
            <v/>
          </cell>
          <cell r="I16" t="str">
            <v/>
          </cell>
          <cell r="J16" t="str">
            <v>JACARANDAS MZ 2 LT 5 LOS ANGELES IZTAPALAPA CP 9830 CIUDAD DE MÉXICO</v>
          </cell>
          <cell r="K16">
            <v>0</v>
          </cell>
          <cell r="L16" t="str">
            <v>ACTIVO</v>
          </cell>
          <cell r="M16" t="str">
            <v>SOLTERO/A</v>
          </cell>
          <cell r="N16" t="str">
            <v/>
          </cell>
          <cell r="O16" t="str">
            <v/>
          </cell>
          <cell r="P16" t="str">
            <v/>
          </cell>
          <cell r="Q16" t="str">
            <v>2021-03-10 00:00:00.000Z</v>
          </cell>
          <cell r="R16" t="str">
            <v>2021-03-09 00:00:00.000Z</v>
          </cell>
          <cell r="S16" t="str">
            <v>1969-04-19 00:00:00.000Z</v>
          </cell>
          <cell r="T16" t="str">
            <v>e3hcjf6p6n838c0</v>
          </cell>
          <cell r="U16" t="str">
            <v xml:space="preserve">ALVAREZ LOPEZ NORMA IVONNE </v>
          </cell>
          <cell r="V16" t="str">
            <v>45896968760</v>
          </cell>
          <cell r="W16" t="str">
            <v>CIUDAD DE MEXICO</v>
          </cell>
          <cell r="X16" t="str">
            <v/>
          </cell>
          <cell r="Y16" t="str">
            <v/>
          </cell>
          <cell r="Z16" t="str">
            <v>AALN6904198N7</v>
          </cell>
          <cell r="AA16" t="str">
            <v>DERMOCONSEJO</v>
          </cell>
          <cell r="AB16" t="str">
            <v>MUJER</v>
          </cell>
          <cell r="AC16">
            <v>605.26974174713598</v>
          </cell>
          <cell r="AD16" t="str">
            <v/>
          </cell>
          <cell r="AE16" t="str">
            <v/>
          </cell>
          <cell r="AF16" t="str">
            <v>5627604325</v>
          </cell>
          <cell r="AG16" t="str">
            <v>CDMX</v>
          </cell>
          <cell r="AH16">
            <v>0</v>
          </cell>
        </row>
        <row r="17">
          <cell r="A17">
            <v>229</v>
          </cell>
          <cell r="B17" t="str">
            <v>w9dqy2wz4o5mxe8</v>
          </cell>
          <cell r="C17" t="str">
            <v>BTL-DC-229</v>
          </cell>
          <cell r="D17" t="str">
            <v>66351</v>
          </cell>
          <cell r="E17" t="str">
            <v>yahairabere.82@gmail.com</v>
          </cell>
          <cell r="F17" t="str">
            <v>AAZY821001MNLLMH03</v>
          </cell>
          <cell r="G17" t="str">
            <v/>
          </cell>
          <cell r="H17" t="str">
            <v/>
          </cell>
          <cell r="I17" t="str">
            <v/>
          </cell>
          <cell r="J17" t="str">
            <v>POLEO 105 MISIÓN DE SANTA CATARINA SANTA CATARINA  CP 66351 NUEVO LEÓN</v>
          </cell>
          <cell r="K17">
            <v>0</v>
          </cell>
          <cell r="L17" t="str">
            <v>ACTIVO</v>
          </cell>
          <cell r="M17" t="str">
            <v>CASADO/A</v>
          </cell>
          <cell r="N17" t="str">
            <v/>
          </cell>
          <cell r="O17" t="str">
            <v/>
          </cell>
          <cell r="P17" t="str">
            <v/>
          </cell>
          <cell r="Q17" t="str">
            <v>2023-12-15 00:00:00.000Z</v>
          </cell>
          <cell r="R17" t="str">
            <v>2023-12-15 00:00:00.000Z</v>
          </cell>
          <cell r="S17" t="str">
            <v>1982-10-01 00:00:00.000Z</v>
          </cell>
          <cell r="T17" t="str">
            <v>jfq96l9066bf01d</v>
          </cell>
          <cell r="U17" t="str">
            <v xml:space="preserve">ALVAREZ ZAMORES YAHAIRA BERENICE </v>
          </cell>
          <cell r="V17" t="str">
            <v>43998221089</v>
          </cell>
          <cell r="W17" t="str">
            <v>NUEVO LEON</v>
          </cell>
          <cell r="X17" t="str">
            <v/>
          </cell>
          <cell r="Y17" t="str">
            <v/>
          </cell>
          <cell r="Z17" t="str">
            <v>AAZY821001M56</v>
          </cell>
          <cell r="AA17" t="str">
            <v>DERMOCONSEJO</v>
          </cell>
          <cell r="AB17" t="str">
            <v>MUJER</v>
          </cell>
          <cell r="AC17">
            <v>609.92232023354995</v>
          </cell>
          <cell r="AD17" t="str">
            <v/>
          </cell>
          <cell r="AE17" t="str">
            <v/>
          </cell>
          <cell r="AF17" t="str">
            <v>8183906393</v>
          </cell>
          <cell r="AG17" t="str">
            <v>MTY</v>
          </cell>
          <cell r="AH17">
            <v>0</v>
          </cell>
        </row>
        <row r="18">
          <cell r="A18">
            <v>197</v>
          </cell>
          <cell r="B18" t="str">
            <v>w9dqy2wz4o5mxe8</v>
          </cell>
          <cell r="C18" t="str">
            <v>BTL-DC-197</v>
          </cell>
          <cell r="D18" t="str">
            <v>56516</v>
          </cell>
          <cell r="E18" t="str">
            <v>marlencontreras304@gmail.com</v>
          </cell>
          <cell r="F18" t="str">
            <v>AACM921201MDFPNR00</v>
          </cell>
          <cell r="G18" t="str">
            <v/>
          </cell>
          <cell r="H18" t="str">
            <v/>
          </cell>
          <cell r="I18" t="str">
            <v/>
          </cell>
          <cell r="J18" t="str">
            <v>CALLE MANUEL RAMÍREZ  20 DE MAYO  LOS REYES LA PAZ  CP 56516 CIUDAD DE MÉXICO</v>
          </cell>
          <cell r="K18">
            <v>0</v>
          </cell>
          <cell r="L18" t="str">
            <v>ACTIVO</v>
          </cell>
          <cell r="M18" t="str">
            <v>SOLTERO/A</v>
          </cell>
          <cell r="N18" t="str">
            <v/>
          </cell>
          <cell r="O18" t="str">
            <v/>
          </cell>
          <cell r="P18" t="str">
            <v/>
          </cell>
          <cell r="Q18" t="str">
            <v>2023-08-02 00:00:00.000Z</v>
          </cell>
          <cell r="R18" t="str">
            <v>2023-08-02 00:00:00.000Z</v>
          </cell>
          <cell r="S18" t="str">
            <v>2025-12-01 00:00:00.000Z</v>
          </cell>
          <cell r="T18" t="str">
            <v>80vv9658vh8bg2p</v>
          </cell>
          <cell r="U18" t="str">
            <v xml:space="preserve">APARICIO CONTRERAS MARLEN YOSELIN </v>
          </cell>
          <cell r="V18" t="str">
            <v>62169288248</v>
          </cell>
          <cell r="W18" t="str">
            <v>CIUDAD DE MEXICO</v>
          </cell>
          <cell r="X18" t="str">
            <v/>
          </cell>
          <cell r="Y18" t="str">
            <v/>
          </cell>
          <cell r="Z18" t="str">
            <v>AACM9212012C7</v>
          </cell>
          <cell r="AA18" t="str">
            <v>DERMOCONSEJO</v>
          </cell>
          <cell r="AB18" t="str">
            <v>MUJER</v>
          </cell>
          <cell r="AC18">
            <v>627.02297597125505</v>
          </cell>
          <cell r="AD18" t="str">
            <v/>
          </cell>
          <cell r="AE18" t="str">
            <v/>
          </cell>
          <cell r="AF18" t="str">
            <v>5533772533</v>
          </cell>
          <cell r="AG18" t="str">
            <v>CDMX</v>
          </cell>
          <cell r="AH18">
            <v>0</v>
          </cell>
        </row>
        <row r="19">
          <cell r="A19">
            <v>456</v>
          </cell>
          <cell r="B19" t="str">
            <v>w9dqy2wz4o5mxe8</v>
          </cell>
          <cell r="C19" t="str">
            <v>BTL-DC-456</v>
          </cell>
          <cell r="D19" t="str">
            <v>04600</v>
          </cell>
          <cell r="E19" t="str">
            <v>itzelallende96@gmail.com</v>
          </cell>
          <cell r="F19" t="str">
            <v>AUAI960226MDFQLT07</v>
          </cell>
          <cell r="G19" t="str">
            <v/>
          </cell>
          <cell r="H19" t="str">
            <v/>
          </cell>
          <cell r="I19" t="str">
            <v/>
          </cell>
          <cell r="J19" t="str">
            <v>CALLE SAN LEÓN MZ640 LT37 SANTA ÚRSULA COAPA  COYOACÁN  CP 04600 CIUDAD DE MÉXICO</v>
          </cell>
          <cell r="K19">
            <v>0</v>
          </cell>
          <cell r="L19" t="str">
            <v>ACTIVO</v>
          </cell>
          <cell r="M19" t="str">
            <v>SOLTERO/A</v>
          </cell>
          <cell r="N19" t="str">
            <v/>
          </cell>
          <cell r="O19" t="str">
            <v/>
          </cell>
          <cell r="P19" t="str">
            <v/>
          </cell>
          <cell r="Q19" t="str">
            <v>2025-04-28 00:00:00.000Z</v>
          </cell>
          <cell r="R19" t="str">
            <v>2025-04-28 00:00:00.000Z</v>
          </cell>
          <cell r="S19" t="str">
            <v>1996-02-26 00:00:00.000Z</v>
          </cell>
          <cell r="T19" t="str">
            <v>yjr3v933fo28f27</v>
          </cell>
          <cell r="U19" t="str">
            <v xml:space="preserve">AQUINO ALLENDE ITZEL </v>
          </cell>
          <cell r="V19" t="str">
            <v>08169617183</v>
          </cell>
          <cell r="W19" t="str">
            <v>CIUDAD DE MEXICO</v>
          </cell>
          <cell r="X19" t="str">
            <v/>
          </cell>
          <cell r="Y19" t="str">
            <v/>
          </cell>
          <cell r="Z19" t="str">
            <v>AUAI960226HI2</v>
          </cell>
          <cell r="AA19" t="str">
            <v>DERMOCONSEJO</v>
          </cell>
          <cell r="AB19" t="str">
            <v>MUJER</v>
          </cell>
          <cell r="AC19">
            <v>542.15113721086902</v>
          </cell>
          <cell r="AD19" t="str">
            <v/>
          </cell>
          <cell r="AE19" t="str">
            <v/>
          </cell>
          <cell r="AF19" t="str">
            <v>5643666487</v>
          </cell>
          <cell r="AG19" t="str">
            <v>CDMX</v>
          </cell>
          <cell r="AH19">
            <v>0</v>
          </cell>
        </row>
        <row r="20">
          <cell r="A20">
            <v>543</v>
          </cell>
          <cell r="B20" t="str">
            <v>w9dqy2wz4o5mxe8</v>
          </cell>
          <cell r="C20" t="str">
            <v>BTL-DC-543</v>
          </cell>
          <cell r="D20" t="str">
            <v>09830</v>
          </cell>
          <cell r="E20" t="str">
            <v>miapolletsa230610@gmail.com</v>
          </cell>
          <cell r="F20" t="str">
            <v>AIPS930419MDFRDH03</v>
          </cell>
          <cell r="G20" t="str">
            <v/>
          </cell>
          <cell r="H20" t="str">
            <v/>
          </cell>
          <cell r="I20" t="str">
            <v/>
          </cell>
          <cell r="J20" t="str">
            <v>JOAQUÍN ITURBIDE MZ22 LT4, PARAJE SAN JUAN, IZTAPALAPA, CP 9830, CIUDAD DE MÉXICO</v>
          </cell>
          <cell r="K20">
            <v>0</v>
          </cell>
          <cell r="L20" t="str">
            <v>ACTIVO</v>
          </cell>
          <cell r="M20" t="str">
            <v>CASADO/A</v>
          </cell>
          <cell r="N20" t="str">
            <v/>
          </cell>
          <cell r="O20" t="str">
            <v/>
          </cell>
          <cell r="P20" t="str">
            <v/>
          </cell>
          <cell r="Q20" t="str">
            <v>2026-01-12 00:00:00.000Z</v>
          </cell>
          <cell r="R20" t="str">
            <v>2026-01-12 00:00:00.000Z</v>
          </cell>
          <cell r="S20" t="str">
            <v>1993-04-19 00:00:00.000Z</v>
          </cell>
          <cell r="T20" t="str">
            <v>585j0vz0p734hl3</v>
          </cell>
          <cell r="U20" t="str">
            <v>ARCIGA PADILLA SHARON MICHELLE</v>
          </cell>
          <cell r="V20" t="str">
            <v>45119395700</v>
          </cell>
          <cell r="W20" t="str">
            <v>CIUDAD DE MEXICO</v>
          </cell>
          <cell r="X20" t="str">
            <v/>
          </cell>
          <cell r="Y20" t="str">
            <v/>
          </cell>
          <cell r="Z20" t="str">
            <v>AIPS9304199L5</v>
          </cell>
          <cell r="AA20" t="str">
            <v>DERMOCONSEJO</v>
          </cell>
          <cell r="AB20" t="str">
            <v>MUJER</v>
          </cell>
          <cell r="AC20">
            <v>330.576219178082</v>
          </cell>
          <cell r="AD20" t="str">
            <v/>
          </cell>
          <cell r="AE20" t="str">
            <v/>
          </cell>
          <cell r="AF20" t="str">
            <v>5537486173</v>
          </cell>
          <cell r="AG20" t="str">
            <v>CDMX</v>
          </cell>
          <cell r="AH20">
            <v>0</v>
          </cell>
        </row>
        <row r="21">
          <cell r="A21">
            <v>125</v>
          </cell>
          <cell r="B21" t="str">
            <v>w9dqy2wz4o5mxe8</v>
          </cell>
          <cell r="C21" t="str">
            <v>BTL-DC-125</v>
          </cell>
          <cell r="D21" t="str">
            <v>57000</v>
          </cell>
          <cell r="E21" t="str">
            <v>ayanethvaleria@gmail.com</v>
          </cell>
          <cell r="F21" t="str">
            <v>AEVY920630MDFRZN07</v>
          </cell>
          <cell r="G21" t="str">
            <v/>
          </cell>
          <cell r="H21" t="str">
            <v/>
          </cell>
          <cell r="I21" t="str">
            <v/>
          </cell>
          <cell r="J21" t="str">
            <v>MEXICO LINDO #372 NEZAHUALCOYOTL  BENITO JUAREZ CP 57000 CIUDAD DE MÉXICO</v>
          </cell>
          <cell r="K21">
            <v>0</v>
          </cell>
          <cell r="L21" t="str">
            <v>ACTIVO</v>
          </cell>
          <cell r="M21" t="str">
            <v>SOLTERO/A</v>
          </cell>
          <cell r="N21" t="str">
            <v/>
          </cell>
          <cell r="O21" t="str">
            <v/>
          </cell>
          <cell r="P21" t="str">
            <v/>
          </cell>
          <cell r="Q21" t="str">
            <v>2023-02-03 00:00:00.000Z</v>
          </cell>
          <cell r="R21" t="str">
            <v>2023-02-03 00:00:00.000Z</v>
          </cell>
          <cell r="S21" t="str">
            <v>1992-06-30 00:00:00.000Z</v>
          </cell>
          <cell r="T21" t="str">
            <v>4584fa58231ie23</v>
          </cell>
          <cell r="U21" t="str">
            <v xml:space="preserve">ARELLANO VAZQUEZ YANETH VALERIA </v>
          </cell>
          <cell r="V21" t="str">
            <v>96139240442</v>
          </cell>
          <cell r="W21" t="str">
            <v>CIUDAD DE MEXICO</v>
          </cell>
          <cell r="X21" t="str">
            <v/>
          </cell>
          <cell r="Y21" t="str">
            <v/>
          </cell>
          <cell r="Z21" t="str">
            <v>AEVY920630HJ6</v>
          </cell>
          <cell r="AA21" t="str">
            <v>DERMOCONSEJO</v>
          </cell>
          <cell r="AB21" t="str">
            <v>MUJER</v>
          </cell>
          <cell r="AC21">
            <v>613.744287446665</v>
          </cell>
          <cell r="AD21" t="str">
            <v/>
          </cell>
          <cell r="AE21" t="str">
            <v/>
          </cell>
          <cell r="AF21" t="str">
            <v>5543165001</v>
          </cell>
          <cell r="AG21" t="str">
            <v>CDMX</v>
          </cell>
          <cell r="AH21">
            <v>0</v>
          </cell>
        </row>
        <row r="22">
          <cell r="A22">
            <v>295</v>
          </cell>
          <cell r="B22" t="str">
            <v>w9dqy2wz4o5mxe8</v>
          </cell>
          <cell r="C22" t="str">
            <v>BTL-DC-295</v>
          </cell>
          <cell r="D22" t="str">
            <v>83104</v>
          </cell>
          <cell r="E22" t="str">
            <v>angelicaarias160@gmail.com</v>
          </cell>
          <cell r="F22" t="str">
            <v>AISA700913MSRRNN08</v>
          </cell>
          <cell r="G22" t="str">
            <v/>
          </cell>
          <cell r="H22" t="str">
            <v/>
          </cell>
          <cell r="I22" t="str">
            <v/>
          </cell>
          <cell r="J22" t="str">
            <v>TEPACHE #160A÷REYES Y YAÑEZ  HERMOSILLO  SONORA CP 83104 SONORA</v>
          </cell>
          <cell r="K22">
            <v>0</v>
          </cell>
          <cell r="L22" t="str">
            <v>ACTIVO</v>
          </cell>
          <cell r="M22" t="str">
            <v>SOLTERO/A</v>
          </cell>
          <cell r="N22" t="str">
            <v/>
          </cell>
          <cell r="O22" t="str">
            <v/>
          </cell>
          <cell r="P22" t="str">
            <v/>
          </cell>
          <cell r="Q22" t="str">
            <v>2024-04-02 00:00:00.000Z</v>
          </cell>
          <cell r="R22" t="str">
            <v>2024-04-02 00:00:00.000Z</v>
          </cell>
          <cell r="S22" t="str">
            <v>1970-09-13 00:00:00.000Z</v>
          </cell>
          <cell r="T22" t="str">
            <v>637if9b1w9l5f2j</v>
          </cell>
          <cell r="U22" t="str">
            <v xml:space="preserve">ARIAS SANCHEZ ANGELICA </v>
          </cell>
          <cell r="V22" t="str">
            <v>24877055020</v>
          </cell>
          <cell r="W22" t="str">
            <v>SONORA</v>
          </cell>
          <cell r="X22" t="str">
            <v/>
          </cell>
          <cell r="Y22" t="str">
            <v/>
          </cell>
          <cell r="Z22" t="str">
            <v>AISA700913UM9</v>
          </cell>
          <cell r="AA22" t="str">
            <v>DERMOCONSEJO</v>
          </cell>
          <cell r="AB22" t="str">
            <v>MUJER</v>
          </cell>
          <cell r="AC22">
            <v>686.62214170222296</v>
          </cell>
          <cell r="AD22" t="str">
            <v/>
          </cell>
          <cell r="AE22" t="str">
            <v/>
          </cell>
          <cell r="AF22" t="str">
            <v>6621898588</v>
          </cell>
          <cell r="AG22" t="str">
            <v>SONORA</v>
          </cell>
          <cell r="AH22">
            <v>0</v>
          </cell>
        </row>
        <row r="23">
          <cell r="A23">
            <v>42</v>
          </cell>
          <cell r="B23" t="str">
            <v>w9dqy2wz4o5mxe8</v>
          </cell>
          <cell r="C23" t="str">
            <v>BTL-DC-42</v>
          </cell>
          <cell r="D23" t="str">
            <v>72825</v>
          </cell>
          <cell r="E23" t="str">
            <v>aise_83091390@yahoo.coma</v>
          </cell>
          <cell r="F23" t="str">
            <v>AISE830913MPLRNL04</v>
          </cell>
          <cell r="G23" t="str">
            <v/>
          </cell>
          <cell r="H23" t="str">
            <v/>
          </cell>
          <cell r="I23" t="str">
            <v/>
          </cell>
          <cell r="J23" t="str">
            <v>ACATITLA 16  COL.LA VIGA  SAN ANDRES CHOLULA  CP 72825 PUEBLA</v>
          </cell>
          <cell r="K23">
            <v>0</v>
          </cell>
          <cell r="L23" t="str">
            <v>ACTIVO</v>
          </cell>
          <cell r="M23" t="str">
            <v>SOLTERO/A</v>
          </cell>
          <cell r="N23" t="str">
            <v/>
          </cell>
          <cell r="O23" t="str">
            <v/>
          </cell>
          <cell r="P23" t="str">
            <v/>
          </cell>
          <cell r="Q23" t="str">
            <v>2021-05-01 00:00:00.000Z</v>
          </cell>
          <cell r="R23" t="str">
            <v>2021-10-08 00:00:00.000Z</v>
          </cell>
          <cell r="S23" t="str">
            <v>1983-09-13 00:00:00.000Z</v>
          </cell>
          <cell r="T23" t="str">
            <v>n0c72owf676hmf3</v>
          </cell>
          <cell r="U23" t="str">
            <v xml:space="preserve">ARIAS SANTOS ELIZABETH </v>
          </cell>
          <cell r="V23" t="str">
            <v>48028324001</v>
          </cell>
          <cell r="W23" t="str">
            <v>PUEBLA</v>
          </cell>
          <cell r="X23" t="str">
            <v/>
          </cell>
          <cell r="Y23" t="str">
            <v/>
          </cell>
          <cell r="Z23" t="str">
            <v>AISE830913FL8</v>
          </cell>
          <cell r="AA23" t="str">
            <v>DERMOCONSEJO</v>
          </cell>
          <cell r="AB23" t="str">
            <v>MUJER</v>
          </cell>
          <cell r="AC23">
            <v>740.32138109139896</v>
          </cell>
          <cell r="AD23" t="str">
            <v/>
          </cell>
          <cell r="AE23" t="str">
            <v/>
          </cell>
          <cell r="AF23" t="str">
            <v>2211092242</v>
          </cell>
          <cell r="AG23" t="str">
            <v>PUEBLA</v>
          </cell>
          <cell r="AH23">
            <v>0</v>
          </cell>
        </row>
        <row r="24">
          <cell r="A24">
            <v>463</v>
          </cell>
          <cell r="B24" t="str">
            <v>w9dqy2wz4o5mxe8</v>
          </cell>
          <cell r="C24" t="str">
            <v>BTL-DC-463</v>
          </cell>
          <cell r="D24" t="str">
            <v>45426</v>
          </cell>
          <cell r="E24" t="str">
            <v>jaquelineavalos067@gmail.com</v>
          </cell>
          <cell r="F24" t="str">
            <v>AACL990826MJCVRC09</v>
          </cell>
          <cell r="G24" t="str">
            <v/>
          </cell>
          <cell r="H24" t="str">
            <v/>
          </cell>
          <cell r="I24" t="str">
            <v/>
          </cell>
          <cell r="J24" t="str">
            <v>JOSE ÁLVAREZ FRANCO 14 A SANTA PAULA TONALA CP 45426 JALISCO</v>
          </cell>
          <cell r="K24">
            <v>0</v>
          </cell>
          <cell r="L24" t="str">
            <v>ACTIVO</v>
          </cell>
          <cell r="M24" t="str">
            <v>SOLTERO/A</v>
          </cell>
          <cell r="N24" t="str">
            <v/>
          </cell>
          <cell r="O24" t="str">
            <v/>
          </cell>
          <cell r="P24" t="str">
            <v/>
          </cell>
          <cell r="Q24" t="str">
            <v>2025-05-20 00:00:00.000Z</v>
          </cell>
          <cell r="R24" t="str">
            <v>2025-05-20 00:00:00.000Z</v>
          </cell>
          <cell r="S24" t="str">
            <v>1999-08-26 00:00:00.000Z</v>
          </cell>
          <cell r="T24" t="str">
            <v>r515mto87n3rljz</v>
          </cell>
          <cell r="U24" t="str">
            <v xml:space="preserve">AVALOS CARMONA LUCERO JAQUELINE </v>
          </cell>
          <cell r="V24" t="str">
            <v>17199984109</v>
          </cell>
          <cell r="W24" t="str">
            <v>JALISCO</v>
          </cell>
          <cell r="X24" t="str">
            <v/>
          </cell>
          <cell r="Y24" t="str">
            <v/>
          </cell>
          <cell r="Z24" t="str">
            <v>AACL990826R88</v>
          </cell>
          <cell r="AA24" t="str">
            <v>DERMOCONSEJO</v>
          </cell>
          <cell r="AB24" t="str">
            <v>MUJER</v>
          </cell>
          <cell r="AC24">
            <v>570.99572737480298</v>
          </cell>
          <cell r="AD24" t="str">
            <v/>
          </cell>
          <cell r="AE24" t="str">
            <v/>
          </cell>
          <cell r="AF24" t="str">
            <v>3317601818</v>
          </cell>
          <cell r="AG24" t="str">
            <v>GDL</v>
          </cell>
          <cell r="AH24">
            <v>0</v>
          </cell>
        </row>
        <row r="25">
          <cell r="A25">
            <v>492</v>
          </cell>
          <cell r="B25" t="str">
            <v>w9dqy2wz4o5mxe8</v>
          </cell>
          <cell r="C25" t="str">
            <v>BTL-DC-492</v>
          </cell>
          <cell r="D25" t="str">
            <v>55320</v>
          </cell>
          <cell r="E25" t="str">
            <v>fernandabolanos997@gmail.com</v>
          </cell>
          <cell r="F25" t="str">
            <v>BOTF940819MMCLRR02</v>
          </cell>
          <cell r="G25" t="str">
            <v/>
          </cell>
          <cell r="H25" t="str">
            <v/>
          </cell>
          <cell r="I25" t="str">
            <v/>
          </cell>
          <cell r="J25" t="str">
            <v>CALLE 2 NÚMERO 11 EL NARDO ECATEPEC  CP 55320 MÉXICO</v>
          </cell>
          <cell r="K25">
            <v>0</v>
          </cell>
          <cell r="L25" t="str">
            <v>ACTIVO</v>
          </cell>
          <cell r="M25" t="str">
            <v>SOLTERO/A</v>
          </cell>
          <cell r="N25" t="str">
            <v/>
          </cell>
          <cell r="O25" t="str">
            <v/>
          </cell>
          <cell r="P25" t="str">
            <v/>
          </cell>
          <cell r="Q25" t="str">
            <v>2025-07-22 00:00:00.000Z</v>
          </cell>
          <cell r="R25" t="str">
            <v>2025-07-22 00:00:00.000Z</v>
          </cell>
          <cell r="S25" t="str">
            <v>1994-08-19 00:00:00.000Z</v>
          </cell>
          <cell r="T25" t="str">
            <v>t3103gp6vg31a4m</v>
          </cell>
          <cell r="U25" t="str">
            <v xml:space="preserve">BOLAÑOS TREJO FERNANDA ESTEFANIA </v>
          </cell>
          <cell r="V25" t="str">
            <v>03239432630</v>
          </cell>
          <cell r="W25" t="str">
            <v>ESTADO DE MEXICO</v>
          </cell>
          <cell r="X25" t="str">
            <v/>
          </cell>
          <cell r="Y25" t="str">
            <v/>
          </cell>
          <cell r="Z25" t="str">
            <v>BOTF940819C21</v>
          </cell>
          <cell r="AA25" t="str">
            <v>DERMOCONSEJO</v>
          </cell>
          <cell r="AB25" t="str">
            <v>MUJER</v>
          </cell>
          <cell r="AC25">
            <v>596.77949786660599</v>
          </cell>
          <cell r="AD25" t="str">
            <v/>
          </cell>
          <cell r="AE25" t="str">
            <v/>
          </cell>
          <cell r="AF25" t="str">
            <v>5564212610</v>
          </cell>
          <cell r="AG25" t="str">
            <v>CDMX</v>
          </cell>
          <cell r="AH25">
            <v>0</v>
          </cell>
        </row>
        <row r="26">
          <cell r="A26">
            <v>347</v>
          </cell>
          <cell r="B26" t="str">
            <v>w9dqy2wz4o5mxe8</v>
          </cell>
          <cell r="C26" t="str">
            <v>BTL-DC-347</v>
          </cell>
          <cell r="D26" t="str">
            <v>09780</v>
          </cell>
          <cell r="E26" t="str">
            <v>angiecalgar25@gmail.com</v>
          </cell>
          <cell r="F26" t="str">
            <v>CXGA860825MDFLRN04</v>
          </cell>
          <cell r="G26" t="str">
            <v/>
          </cell>
          <cell r="H26" t="str">
            <v/>
          </cell>
          <cell r="I26" t="str">
            <v/>
          </cell>
          <cell r="J26" t="str">
            <v>MANZANILLA MZ 47 LT 13 COL. LOMAS DE SAN LORENZO .CP. 09780 IZTAPALAPA, CDMX</v>
          </cell>
          <cell r="K26">
            <v>0</v>
          </cell>
          <cell r="L26" t="str">
            <v>ACTIVO</v>
          </cell>
          <cell r="M26" t="str">
            <v>SOLTERO/A</v>
          </cell>
          <cell r="N26" t="str">
            <v/>
          </cell>
          <cell r="O26" t="str">
            <v/>
          </cell>
          <cell r="P26" t="str">
            <v/>
          </cell>
          <cell r="Q26" t="str">
            <v>2026-01-12 00:00:00.000Z</v>
          </cell>
          <cell r="R26" t="str">
            <v>2024-08-06 00:00:00.000Z</v>
          </cell>
          <cell r="S26" t="str">
            <v>1986-08-25 00:00:00.000Z</v>
          </cell>
          <cell r="T26" t="str">
            <v>cbej7j6r57m57nd</v>
          </cell>
          <cell r="U26" t="str">
            <v>CALDERON GARCIA MARIA DE LOS ANGELES</v>
          </cell>
          <cell r="V26" t="str">
            <v>45028610231</v>
          </cell>
          <cell r="W26" t="str">
            <v>CIUDAD DE MEXICO</v>
          </cell>
          <cell r="X26" t="str">
            <v/>
          </cell>
          <cell r="Y26" t="str">
            <v/>
          </cell>
          <cell r="Z26" t="str">
            <v>CAGX860825N59</v>
          </cell>
          <cell r="AA26" t="str">
            <v>DERMOCONSEJO</v>
          </cell>
          <cell r="AB26" t="str">
            <v>MUJER</v>
          </cell>
          <cell r="AC26">
            <v>330.576219178082</v>
          </cell>
          <cell r="AD26" t="str">
            <v/>
          </cell>
          <cell r="AE26" t="str">
            <v/>
          </cell>
          <cell r="AF26" t="str">
            <v>5621526785</v>
          </cell>
          <cell r="AG26" t="str">
            <v>CDMX</v>
          </cell>
          <cell r="AH26">
            <v>0</v>
          </cell>
        </row>
        <row r="27">
          <cell r="A27">
            <v>479</v>
          </cell>
          <cell r="B27" t="str">
            <v>w9dqy2wz4o5mxe8</v>
          </cell>
          <cell r="C27" t="str">
            <v>BTL-DC-479</v>
          </cell>
          <cell r="D27" t="str">
            <v>09708</v>
          </cell>
          <cell r="E27" t="str">
            <v>ayalamiriam934@gmail.com</v>
          </cell>
          <cell r="F27" t="str">
            <v>AASM811021MDFYRR02</v>
          </cell>
          <cell r="G27" t="str">
            <v/>
          </cell>
          <cell r="H27" t="str">
            <v/>
          </cell>
          <cell r="I27" t="str">
            <v/>
          </cell>
          <cell r="J27" t="str">
            <v>TOLTECAS MZ 9 LOTE 22 MIXCOATL IZTAPALAPA CP 09708 CIUDAD DE MÉXICO</v>
          </cell>
          <cell r="K27">
            <v>0</v>
          </cell>
          <cell r="L27" t="str">
            <v>ACTIVO</v>
          </cell>
          <cell r="M27" t="str">
            <v>SOLTERO/A</v>
          </cell>
          <cell r="N27" t="str">
            <v/>
          </cell>
          <cell r="O27" t="str">
            <v/>
          </cell>
          <cell r="P27" t="str">
            <v/>
          </cell>
          <cell r="Q27" t="str">
            <v>2025-01-15 00:00:00.000Z</v>
          </cell>
          <cell r="R27" t="str">
            <v>2025-01-15 00:00:00.000Z</v>
          </cell>
          <cell r="S27" t="str">
            <v>1981-10-21 00:00:00.000Z</v>
          </cell>
          <cell r="T27" t="str">
            <v>w220807z9804k9e</v>
          </cell>
          <cell r="U27" t="str">
            <v xml:space="preserve">AYALA SUAREZ MIRIAM </v>
          </cell>
          <cell r="V27" t="str">
            <v>45058107405</v>
          </cell>
          <cell r="W27" t="str">
            <v>CIUDAD DE MEXICO</v>
          </cell>
          <cell r="X27" t="str">
            <v/>
          </cell>
          <cell r="Y27" t="str">
            <v/>
          </cell>
          <cell r="Z27" t="str">
            <v>AASM8110214Q1</v>
          </cell>
          <cell r="AA27" t="str">
            <v>DERMOCONSEJO</v>
          </cell>
          <cell r="AB27" t="str">
            <v>MUJER</v>
          </cell>
          <cell r="AC27">
            <v>586.838363575117</v>
          </cell>
          <cell r="AD27" t="str">
            <v/>
          </cell>
          <cell r="AE27" t="str">
            <v/>
          </cell>
          <cell r="AF27" t="str">
            <v>5535120639</v>
          </cell>
          <cell r="AG27" t="str">
            <v>CDMX</v>
          </cell>
          <cell r="AH27">
            <v>0</v>
          </cell>
        </row>
        <row r="28">
          <cell r="A28">
            <v>83</v>
          </cell>
          <cell r="B28" t="str">
            <v>w9dqy2wz4o5mxe8</v>
          </cell>
          <cell r="C28" t="str">
            <v>BTL-DC-83</v>
          </cell>
          <cell r="D28" t="str">
            <v>02860</v>
          </cell>
          <cell r="E28" t="str">
            <v>krisnaflores250316@gmail.com</v>
          </cell>
          <cell r="F28" t="str">
            <v>BAFK950723MDFLLR07</v>
          </cell>
          <cell r="G28" t="str">
            <v/>
          </cell>
          <cell r="H28" t="str">
            <v/>
          </cell>
          <cell r="I28" t="str">
            <v/>
          </cell>
          <cell r="J28" t="str">
            <v>TLATILCO 51, TLATILCO, AZCAPOTZALCO, CP 2860, CIUDAD DE MÉXICO</v>
          </cell>
          <cell r="K28">
            <v>0</v>
          </cell>
          <cell r="L28" t="str">
            <v>ACTIVO</v>
          </cell>
          <cell r="M28" t="str">
            <v>SOLTERO/A</v>
          </cell>
          <cell r="N28" t="str">
            <v/>
          </cell>
          <cell r="O28" t="str">
            <v/>
          </cell>
          <cell r="P28" t="str">
            <v/>
          </cell>
          <cell r="Q28" t="str">
            <v>2026-01-21 00:00:00.000Z</v>
          </cell>
          <cell r="R28" t="str">
            <v>2022-08-17 00:00:00.000Z</v>
          </cell>
          <cell r="S28" t="str">
            <v>1995-07-23 00:00:00.000Z</v>
          </cell>
          <cell r="T28" t="str">
            <v>z8kve4o6z68v093</v>
          </cell>
          <cell r="U28" t="str">
            <v>BALDERAS FLORES KRISNA WENDY</v>
          </cell>
          <cell r="V28" t="str">
            <v>35169519267</v>
          </cell>
          <cell r="W28" t="str">
            <v>CIUDAD DE MEXICO</v>
          </cell>
          <cell r="X28" t="str">
            <v/>
          </cell>
          <cell r="Y28" t="str">
            <v/>
          </cell>
          <cell r="Z28" t="str">
            <v>BAFK950723GH7</v>
          </cell>
          <cell r="AA28" t="str">
            <v>DERMOCONSEJO</v>
          </cell>
          <cell r="AB28" t="str">
            <v>MUJER</v>
          </cell>
          <cell r="AC28">
            <v>330.576219178082</v>
          </cell>
          <cell r="AD28" t="str">
            <v/>
          </cell>
          <cell r="AE28" t="str">
            <v/>
          </cell>
          <cell r="AF28" t="str">
            <v>5537022297</v>
          </cell>
          <cell r="AG28" t="str">
            <v>CDMX</v>
          </cell>
          <cell r="AH28">
            <v>0</v>
          </cell>
        </row>
        <row r="29">
          <cell r="A29">
            <v>285</v>
          </cell>
          <cell r="B29" t="str">
            <v>w9dqy2wz4o5mxe8</v>
          </cell>
          <cell r="C29" t="str">
            <v>BTL-DC-285</v>
          </cell>
          <cell r="D29" t="str">
            <v>09180</v>
          </cell>
          <cell r="E29" t="str">
            <v>gabiballesteros_17@hotmail.com</v>
          </cell>
          <cell r="F29" t="str">
            <v>BAAG760617MDFLRBOO</v>
          </cell>
          <cell r="G29" t="str">
            <v/>
          </cell>
          <cell r="H29" t="str">
            <v/>
          </cell>
          <cell r="I29" t="str">
            <v/>
          </cell>
          <cell r="J29" t="str">
            <v>MANZANA 3 LOTE 1 UNIDAD ERMITA ZARAGOZA  IZTAPALAPA  CP 09180 CIUDAD DE MÉXICO</v>
          </cell>
          <cell r="K29">
            <v>0</v>
          </cell>
          <cell r="L29" t="str">
            <v>ACTIVO</v>
          </cell>
          <cell r="M29" t="str">
            <v>SOLTERO/A</v>
          </cell>
          <cell r="N29" t="str">
            <v/>
          </cell>
          <cell r="O29" t="str">
            <v/>
          </cell>
          <cell r="P29" t="str">
            <v/>
          </cell>
          <cell r="Q29" t="str">
            <v>2024-08-30 00:00:00.000Z</v>
          </cell>
          <cell r="R29" t="str">
            <v>2024-08-30 00:00:00.000Z</v>
          </cell>
          <cell r="S29" t="str">
            <v>1976-06-17 00:00:00.000Z</v>
          </cell>
          <cell r="T29" t="str">
            <v>a6xrhx5mx5js9lm</v>
          </cell>
          <cell r="U29" t="str">
            <v xml:space="preserve">BALLESTEROS AUREOLES GABRIELA </v>
          </cell>
          <cell r="V29" t="str">
            <v>40927608402</v>
          </cell>
          <cell r="W29" t="str">
            <v>CIUDAD DE MEXICO</v>
          </cell>
          <cell r="X29" t="str">
            <v/>
          </cell>
          <cell r="Y29" t="str">
            <v/>
          </cell>
          <cell r="Z29" t="str">
            <v>BAAG760617FZ6</v>
          </cell>
          <cell r="AA29" t="str">
            <v>DERMOCONSEJO</v>
          </cell>
          <cell r="AB29" t="str">
            <v>MUJER</v>
          </cell>
          <cell r="AC29">
            <v>566.16098652593701</v>
          </cell>
          <cell r="AD29" t="str">
            <v/>
          </cell>
          <cell r="AE29" t="str">
            <v/>
          </cell>
          <cell r="AF29" t="str">
            <v>5635253550</v>
          </cell>
          <cell r="AG29" t="str">
            <v>CDMX</v>
          </cell>
          <cell r="AH29">
            <v>0</v>
          </cell>
        </row>
        <row r="30">
          <cell r="A30">
            <v>532</v>
          </cell>
          <cell r="B30" t="str">
            <v>w9dqy2wz4o5mxe8</v>
          </cell>
          <cell r="C30" t="str">
            <v>BTL-DC-532</v>
          </cell>
          <cell r="D30" t="str">
            <v>36300</v>
          </cell>
          <cell r="E30" t="str">
            <v>carolinabarajas034@gmail.com</v>
          </cell>
          <cell r="F30" t="str">
            <v>BAPL891228MGTRRL03</v>
          </cell>
          <cell r="G30" t="str">
            <v/>
          </cell>
          <cell r="H30" t="str">
            <v/>
          </cell>
          <cell r="I30" t="str">
            <v/>
          </cell>
          <cell r="J30" t="str">
            <v>4 DE OCTUBRE, SAN MIGUEL, SAN FRANCISCO DEL RINCON, CP 36353, GUANAJUATO</v>
          </cell>
          <cell r="K30">
            <v>0</v>
          </cell>
          <cell r="L30" t="str">
            <v>ACTIVO</v>
          </cell>
          <cell r="M30" t="str">
            <v>CASADO/A</v>
          </cell>
          <cell r="N30" t="str">
            <v/>
          </cell>
          <cell r="O30" t="str">
            <v/>
          </cell>
          <cell r="P30" t="str">
            <v/>
          </cell>
          <cell r="Q30" t="str">
            <v>2026-01-10 00:00:00.000Z</v>
          </cell>
          <cell r="R30" t="str">
            <v>2026-01-10 00:00:00.000Z</v>
          </cell>
          <cell r="S30" t="str">
            <v>1989-12-28 00:00:00.000Z</v>
          </cell>
          <cell r="T30" t="str">
            <v>i425c61myxzvrk8</v>
          </cell>
          <cell r="U30" t="str">
            <v>BARAJAS PEREZ LILIA CAROLINA</v>
          </cell>
          <cell r="V30" t="str">
            <v>12138937151</v>
          </cell>
          <cell r="W30" t="str">
            <v>GUANAJUATO</v>
          </cell>
          <cell r="X30" t="str">
            <v/>
          </cell>
          <cell r="Y30" t="str">
            <v/>
          </cell>
          <cell r="Z30" t="str">
            <v>BAPL8912289T5</v>
          </cell>
          <cell r="AA30" t="str">
            <v>DERMOCONSEJO</v>
          </cell>
          <cell r="AB30" t="str">
            <v>MUJER</v>
          </cell>
          <cell r="AC30">
            <v>330.576219178082</v>
          </cell>
          <cell r="AD30" t="str">
            <v/>
          </cell>
          <cell r="AE30" t="str">
            <v/>
          </cell>
          <cell r="AF30" t="str">
            <v>4767379356</v>
          </cell>
          <cell r="AG30" t="str">
            <v>GTO</v>
          </cell>
          <cell r="AH30">
            <v>0</v>
          </cell>
        </row>
        <row r="31">
          <cell r="A31">
            <v>150</v>
          </cell>
          <cell r="B31" t="str">
            <v>w9dqy2wz4o5mxe8</v>
          </cell>
          <cell r="C31" t="str">
            <v>BTL-DC-150</v>
          </cell>
          <cell r="D31" t="str">
            <v>82139</v>
          </cell>
          <cell r="E31" t="str">
            <v>barbanavarro24@gmail.com</v>
          </cell>
          <cell r="F31" t="str">
            <v>BANC870721MSLRVLO2</v>
          </cell>
          <cell r="G31" t="str">
            <v/>
          </cell>
          <cell r="H31" t="str">
            <v/>
          </cell>
          <cell r="I31" t="str">
            <v/>
          </cell>
          <cell r="J31" t="str">
            <v>RIO PAPALOAPAN #11501 PRADERA DORADA 7 MAZATLAN SINALOA  CP 82139 SINALOA</v>
          </cell>
          <cell r="K31">
            <v>0</v>
          </cell>
          <cell r="L31" t="str">
            <v>ACTIVO</v>
          </cell>
          <cell r="M31" t="str">
            <v>CASADO/A</v>
          </cell>
          <cell r="N31" t="str">
            <v/>
          </cell>
          <cell r="O31" t="str">
            <v/>
          </cell>
          <cell r="P31" t="str">
            <v/>
          </cell>
          <cell r="Q31" t="str">
            <v>2023-03-01 00:00:00.000Z</v>
          </cell>
          <cell r="R31" t="str">
            <v>2023-03-01 00:00:00.000Z</v>
          </cell>
          <cell r="S31" t="str">
            <v>1987-07-24 00:00:00.000Z</v>
          </cell>
          <cell r="T31" t="str">
            <v>0y363477dwc1219</v>
          </cell>
          <cell r="U31" t="str">
            <v xml:space="preserve">BARBA NAVARRO CLAUDIA LIZETH </v>
          </cell>
          <cell r="V31" t="str">
            <v>23068714429</v>
          </cell>
          <cell r="W31" t="str">
            <v>SINALOA</v>
          </cell>
          <cell r="X31" t="str">
            <v/>
          </cell>
          <cell r="Y31" t="str">
            <v/>
          </cell>
          <cell r="Z31" t="str">
            <v>BANC870724AR6</v>
          </cell>
          <cell r="AA31" t="str">
            <v>DERMOCONSEJO</v>
          </cell>
          <cell r="AB31" t="str">
            <v>MUJER</v>
          </cell>
          <cell r="AC31">
            <v>517.61657264765302</v>
          </cell>
          <cell r="AD31" t="str">
            <v/>
          </cell>
          <cell r="AE31" t="str">
            <v/>
          </cell>
          <cell r="AF31" t="str">
            <v>6692754021</v>
          </cell>
          <cell r="AG31" t="str">
            <v>SINALOA</v>
          </cell>
          <cell r="AH31">
            <v>0</v>
          </cell>
        </row>
        <row r="32">
          <cell r="A32">
            <v>227</v>
          </cell>
          <cell r="B32" t="str">
            <v>w9dqy2wz4o5mxe8</v>
          </cell>
          <cell r="C32" t="str">
            <v>BTL-DC-227</v>
          </cell>
          <cell r="D32" t="str">
            <v>01299</v>
          </cell>
          <cell r="E32" t="str">
            <v>lunadrii2312@gmail.com</v>
          </cell>
          <cell r="F32" t="str">
            <v>BARA751223MDFRMD06</v>
          </cell>
          <cell r="G32" t="str">
            <v/>
          </cell>
          <cell r="H32" t="str">
            <v/>
          </cell>
          <cell r="I32" t="str">
            <v/>
          </cell>
          <cell r="J32" t="str">
            <v>HDA TEXCOCO MZ22 LT17 AMP PRESIDENTES  ÁLVARO OBREGÓN  CP 01299 CIUDAD DE MÉXICO</v>
          </cell>
          <cell r="K32">
            <v>0</v>
          </cell>
          <cell r="L32" t="str">
            <v>ACTIVO</v>
          </cell>
          <cell r="M32" t="str">
            <v>SOLTERO/A</v>
          </cell>
          <cell r="N32" t="str">
            <v/>
          </cell>
          <cell r="O32" t="str">
            <v/>
          </cell>
          <cell r="P32" t="str">
            <v/>
          </cell>
          <cell r="Q32" t="str">
            <v>2023-12-04 00:00:00.000Z</v>
          </cell>
          <cell r="R32" t="str">
            <v>2023-12-04 00:00:00.000Z</v>
          </cell>
          <cell r="S32" t="str">
            <v>1975-12-23 00:00:00.000Z</v>
          </cell>
          <cell r="T32" t="str">
            <v>4iu4q70g0qxn6v2</v>
          </cell>
          <cell r="U32" t="str">
            <v>BARRERA ROMERO ADRIANA</v>
          </cell>
          <cell r="V32" t="str">
            <v>30137500432</v>
          </cell>
          <cell r="W32" t="str">
            <v>CIUDAD DE MEXICO</v>
          </cell>
          <cell r="X32" t="str">
            <v/>
          </cell>
          <cell r="Y32" t="str">
            <v/>
          </cell>
          <cell r="Z32" t="str">
            <v>BARA7512232X2</v>
          </cell>
          <cell r="AA32" t="str">
            <v>DERMOCONSEJO</v>
          </cell>
          <cell r="AB32" t="str">
            <v>MUJER</v>
          </cell>
          <cell r="AC32">
            <v>514.12232023355</v>
          </cell>
          <cell r="AD32" t="str">
            <v/>
          </cell>
          <cell r="AE32" t="str">
            <v/>
          </cell>
          <cell r="AF32" t="str">
            <v>2212744057</v>
          </cell>
          <cell r="AG32" t="str">
            <v>CDMX</v>
          </cell>
          <cell r="AH32">
            <v>0</v>
          </cell>
        </row>
        <row r="33">
          <cell r="A33">
            <v>533</v>
          </cell>
          <cell r="B33" t="str">
            <v>w9dqy2wz4o5mxe8</v>
          </cell>
          <cell r="C33" t="str">
            <v>BTL-DC-533</v>
          </cell>
          <cell r="D33" t="str">
            <v>37209</v>
          </cell>
          <cell r="E33" t="str">
            <v>barronrivasmariadelcarmen@gmail.com</v>
          </cell>
          <cell r="F33" t="str">
            <v>BARC950716MGTRVR02</v>
          </cell>
          <cell r="G33" t="str">
            <v/>
          </cell>
          <cell r="H33" t="str">
            <v/>
          </cell>
          <cell r="I33" t="str">
            <v/>
          </cell>
          <cell r="J33" t="str">
            <v>UXPANAPAN 114, LOS CASTILLOS, LEÓN GUANAJUATO, CP 37209, GUANAJUATO</v>
          </cell>
          <cell r="K33">
            <v>0</v>
          </cell>
          <cell r="L33" t="str">
            <v>ACTIVO</v>
          </cell>
          <cell r="M33" t="str">
            <v>CASADO/A</v>
          </cell>
          <cell r="N33" t="str">
            <v/>
          </cell>
          <cell r="O33" t="str">
            <v/>
          </cell>
          <cell r="P33" t="str">
            <v/>
          </cell>
          <cell r="Q33" t="str">
            <v>2026-01-10 00:00:00.000Z</v>
          </cell>
          <cell r="R33" t="str">
            <v>2026-01-10 00:00:00.000Z</v>
          </cell>
          <cell r="S33" t="str">
            <v>1995-07-16 00:00:00.000Z</v>
          </cell>
          <cell r="T33" t="str">
            <v>e5vul353z610t4g</v>
          </cell>
          <cell r="U33" t="str">
            <v>BARRON RIVAS MARIA DEL CARMEN</v>
          </cell>
          <cell r="V33" t="str">
            <v>18149536262</v>
          </cell>
          <cell r="W33" t="str">
            <v>GUANAJUATO</v>
          </cell>
          <cell r="X33" t="str">
            <v/>
          </cell>
          <cell r="Y33" t="str">
            <v/>
          </cell>
          <cell r="Z33" t="str">
            <v>BARC950716</v>
          </cell>
          <cell r="AA33" t="str">
            <v>DERMOCONSEJO</v>
          </cell>
          <cell r="AB33" t="str">
            <v>MUJER</v>
          </cell>
          <cell r="AC33">
            <v>330.576219178082</v>
          </cell>
          <cell r="AD33" t="str">
            <v/>
          </cell>
          <cell r="AE33" t="str">
            <v/>
          </cell>
          <cell r="AF33" t="str">
            <v>4778900801</v>
          </cell>
          <cell r="AG33" t="str">
            <v>GTO</v>
          </cell>
          <cell r="AH33">
            <v>0</v>
          </cell>
        </row>
        <row r="34">
          <cell r="A34">
            <v>61</v>
          </cell>
          <cell r="B34" t="str">
            <v>w9dqy2wz4o5mxe8</v>
          </cell>
          <cell r="C34" t="str">
            <v>BTL-DC-61</v>
          </cell>
          <cell r="D34" t="str">
            <v>72474</v>
          </cell>
          <cell r="E34" t="str">
            <v>miri198114@gmail.com</v>
          </cell>
          <cell r="F34" t="str">
            <v>BACM810314MPLTRR06</v>
          </cell>
          <cell r="G34" t="str">
            <v/>
          </cell>
          <cell r="H34" t="str">
            <v/>
          </cell>
          <cell r="I34" t="str">
            <v/>
          </cell>
          <cell r="J34" t="str">
            <v>8VO RETORNO 5 B SUR 1_ F  INFONAVIT LOMA BELLA  PUEBLA  CP 72474 PUEBLA</v>
          </cell>
          <cell r="K34">
            <v>0</v>
          </cell>
          <cell r="L34" t="str">
            <v>ACTIVO</v>
          </cell>
          <cell r="M34" t="str">
            <v>CASADO/A</v>
          </cell>
          <cell r="N34" t="str">
            <v/>
          </cell>
          <cell r="O34" t="str">
            <v/>
          </cell>
          <cell r="P34" t="str">
            <v/>
          </cell>
          <cell r="Q34" t="str">
            <v>2022-02-04 00:00:00.000Z</v>
          </cell>
          <cell r="R34" t="str">
            <v>2022-02-01 00:00:00.000Z</v>
          </cell>
          <cell r="S34" t="str">
            <v>1981-03-14 00:00:00.000Z</v>
          </cell>
          <cell r="T34" t="str">
            <v>16p9dm428x873r1</v>
          </cell>
          <cell r="U34" t="str">
            <v xml:space="preserve">BAUTISTA CORONA MIRIAM </v>
          </cell>
          <cell r="V34" t="str">
            <v>62968164764</v>
          </cell>
          <cell r="W34" t="str">
            <v>PUEBLA</v>
          </cell>
          <cell r="X34" t="str">
            <v/>
          </cell>
          <cell r="Y34" t="str">
            <v/>
          </cell>
          <cell r="Z34" t="str">
            <v>BACM810314N51</v>
          </cell>
          <cell r="AA34" t="str">
            <v>DERMOCONSEJO</v>
          </cell>
          <cell r="AB34" t="str">
            <v>MUJER</v>
          </cell>
          <cell r="AC34">
            <v>572.71021131821203</v>
          </cell>
          <cell r="AD34" t="str">
            <v/>
          </cell>
          <cell r="AE34" t="str">
            <v/>
          </cell>
          <cell r="AF34" t="str">
            <v>2213072813</v>
          </cell>
          <cell r="AG34" t="str">
            <v>PUEBLA</v>
          </cell>
          <cell r="AH34">
            <v>0</v>
          </cell>
        </row>
        <row r="35">
          <cell r="A35">
            <v>310</v>
          </cell>
          <cell r="B35" t="str">
            <v>w9dqy2wz4o5mxe8</v>
          </cell>
          <cell r="C35" t="str">
            <v>BTL-DC-310</v>
          </cell>
          <cell r="D35" t="str">
            <v>51355</v>
          </cell>
          <cell r="E35" t="str">
            <v>betancov_2123@outlook.com</v>
          </cell>
          <cell r="F35" t="str">
            <v>BEBK910421MMCTRR08</v>
          </cell>
          <cell r="G35" t="str">
            <v/>
          </cell>
          <cell r="H35" t="str">
            <v/>
          </cell>
          <cell r="I35" t="str">
            <v/>
          </cell>
          <cell r="J35" t="str">
            <v>CALLE 12 DE OCTUBRE NO.118 SAN LUIS MEXTEPEC ZINACANTEPEC CP 51355 MÉXICO</v>
          </cell>
          <cell r="K35">
            <v>0</v>
          </cell>
          <cell r="L35" t="str">
            <v>ACTIVO</v>
          </cell>
          <cell r="M35" t="str">
            <v>CASADO/A</v>
          </cell>
          <cell r="N35" t="str">
            <v/>
          </cell>
          <cell r="O35" t="str">
            <v/>
          </cell>
          <cell r="P35" t="str">
            <v/>
          </cell>
          <cell r="Q35" t="str">
            <v>2024-05-07 00:00:00.000Z</v>
          </cell>
          <cell r="R35" t="str">
            <v>2024-05-07 00:00:00.000Z</v>
          </cell>
          <cell r="S35" t="str">
            <v>1991-04-21 00:00:00.000Z</v>
          </cell>
          <cell r="T35" t="str">
            <v>844ztmfcdwffob9</v>
          </cell>
          <cell r="U35" t="str">
            <v xml:space="preserve">BETANCOURT BERNAL KAREN MARISOL </v>
          </cell>
          <cell r="V35" t="str">
            <v>16089133116</v>
          </cell>
          <cell r="W35" t="str">
            <v>ESTADO DE MEXICO</v>
          </cell>
          <cell r="X35" t="str">
            <v/>
          </cell>
          <cell r="Y35" t="str">
            <v/>
          </cell>
          <cell r="Z35" t="str">
            <v>BEBK910421361</v>
          </cell>
          <cell r="AA35" t="str">
            <v>DERMOCONSEJO</v>
          </cell>
          <cell r="AB35" t="str">
            <v>MUJER</v>
          </cell>
          <cell r="AC35">
            <v>361.953117673478</v>
          </cell>
          <cell r="AD35" t="str">
            <v/>
          </cell>
          <cell r="AE35" t="str">
            <v/>
          </cell>
          <cell r="AF35" t="str">
            <v>7227827017</v>
          </cell>
          <cell r="AG35" t="str">
            <v>TOLUCA</v>
          </cell>
          <cell r="AH35">
            <v>0</v>
          </cell>
        </row>
        <row r="36">
          <cell r="A36">
            <v>59</v>
          </cell>
          <cell r="B36" t="str">
            <v>w9dqy2wz4o5mxe8</v>
          </cell>
          <cell r="C36" t="str">
            <v>BTL-DC-59</v>
          </cell>
          <cell r="D36" t="str">
            <v>66630</v>
          </cell>
          <cell r="E36" t="str">
            <v>arceliablanco481@gmail.com</v>
          </cell>
          <cell r="F36" t="str">
            <v>BXCA621206MNLLNR00</v>
          </cell>
          <cell r="G36" t="str">
            <v/>
          </cell>
          <cell r="H36" t="str">
            <v/>
          </cell>
          <cell r="I36" t="str">
            <v/>
          </cell>
          <cell r="J36" t="str">
            <v>SENDERO MUNICIPAL #218, LAS AMERICAS, APODACA, CP 66630, NUEVO LEÓN</v>
          </cell>
          <cell r="K36">
            <v>0</v>
          </cell>
          <cell r="L36" t="str">
            <v>ACTIVO</v>
          </cell>
          <cell r="M36" t="str">
            <v>CASADO/A</v>
          </cell>
          <cell r="N36" t="str">
            <v/>
          </cell>
          <cell r="O36" t="str">
            <v/>
          </cell>
          <cell r="P36" t="str">
            <v/>
          </cell>
          <cell r="Q36" t="str">
            <v>2026-01-08 00:00:00.000Z</v>
          </cell>
          <cell r="R36" t="str">
            <v>2022-01-03 00:00:00.000Z</v>
          </cell>
          <cell r="S36" t="str">
            <v>1962-12-06 00:00:00.000Z</v>
          </cell>
          <cell r="T36" t="str">
            <v>83r6zna1g1txx2s</v>
          </cell>
          <cell r="U36" t="str">
            <v>BLANCO CANALES ARCELIA</v>
          </cell>
          <cell r="V36" t="str">
            <v>43066202391</v>
          </cell>
          <cell r="W36" t="str">
            <v>NUEVO LEON</v>
          </cell>
          <cell r="X36" t="str">
            <v/>
          </cell>
          <cell r="Y36" t="str">
            <v/>
          </cell>
          <cell r="Z36" t="str">
            <v>BACA621206BQ9</v>
          </cell>
          <cell r="AA36" t="str">
            <v>DERMOCONSEJO</v>
          </cell>
          <cell r="AB36" t="str">
            <v>MUJER</v>
          </cell>
          <cell r="AC36">
            <v>330.576219178082</v>
          </cell>
          <cell r="AD36" t="str">
            <v/>
          </cell>
          <cell r="AE36" t="str">
            <v/>
          </cell>
          <cell r="AF36" t="str">
            <v>8181131593</v>
          </cell>
          <cell r="AG36" t="str">
            <v>MTY</v>
          </cell>
          <cell r="AH36">
            <v>0</v>
          </cell>
        </row>
        <row r="37">
          <cell r="A37">
            <v>262</v>
          </cell>
          <cell r="B37" t="str">
            <v>w9dqy2wz4o5mxe8</v>
          </cell>
          <cell r="C37" t="str">
            <v>BTL-DC-262</v>
          </cell>
          <cell r="D37" t="str">
            <v>37350</v>
          </cell>
          <cell r="E37" t="str">
            <v>carjenn1410@gamil.com</v>
          </cell>
          <cell r="F37" t="str">
            <v>CAHJ951014MGTRRN09</v>
          </cell>
          <cell r="G37" t="str">
            <v/>
          </cell>
          <cell r="H37" t="str">
            <v/>
          </cell>
          <cell r="I37" t="str">
            <v/>
          </cell>
          <cell r="J37" t="str">
            <v>TRIUNFO INQUILINARIO SUR #207 A FLORES MAGÓN  LEÓN GUANAJUATO  CP 37350 GUANAJUATO</v>
          </cell>
          <cell r="K37">
            <v>0</v>
          </cell>
          <cell r="L37" t="str">
            <v>ACTIVO</v>
          </cell>
          <cell r="M37" t="str">
            <v>SOLTERO/A</v>
          </cell>
          <cell r="N37" t="str">
            <v/>
          </cell>
          <cell r="O37" t="str">
            <v/>
          </cell>
          <cell r="P37" t="str">
            <v/>
          </cell>
          <cell r="Q37" t="str">
            <v>2024-01-20 00:00:00.000Z</v>
          </cell>
          <cell r="R37" t="str">
            <v>2024-01-27 00:00:00.000Z</v>
          </cell>
          <cell r="S37" t="str">
            <v>1995-10-14 00:00:00.000Z</v>
          </cell>
          <cell r="T37" t="str">
            <v>82iae8ewc89pa8n</v>
          </cell>
          <cell r="U37" t="str">
            <v xml:space="preserve">CARRANZA  HERREJON JENNIFER </v>
          </cell>
          <cell r="V37" t="str">
            <v>38169536125</v>
          </cell>
          <cell r="W37" t="str">
            <v>GUANAJUATO</v>
          </cell>
          <cell r="X37" t="str">
            <v/>
          </cell>
          <cell r="Y37" t="str">
            <v/>
          </cell>
          <cell r="Z37" t="str">
            <v>CAHJ951014UZ1</v>
          </cell>
          <cell r="AA37" t="str">
            <v>DERMOCONSEJO</v>
          </cell>
          <cell r="AB37" t="str">
            <v>MUJER</v>
          </cell>
          <cell r="AC37">
            <v>687.74144621603398</v>
          </cell>
          <cell r="AD37" t="str">
            <v/>
          </cell>
          <cell r="AE37" t="str">
            <v/>
          </cell>
          <cell r="AF37" t="str">
            <v>4791087171</v>
          </cell>
          <cell r="AG37" t="str">
            <v>GUANAJUATO</v>
          </cell>
          <cell r="AH37">
            <v>0</v>
          </cell>
        </row>
        <row r="38">
          <cell r="A38">
            <v>25</v>
          </cell>
          <cell r="B38" t="str">
            <v>w9dqy2wz4o5mxe8</v>
          </cell>
          <cell r="C38" t="str">
            <v>BTL-DC-25</v>
          </cell>
          <cell r="D38" t="str">
            <v>66655</v>
          </cell>
          <cell r="E38" t="str">
            <v>lauang20181@hotmail.com</v>
          </cell>
          <cell r="F38" t="str">
            <v>BUML660816MNLCRR00</v>
          </cell>
          <cell r="G38" t="str">
            <v/>
          </cell>
          <cell r="H38" t="str">
            <v/>
          </cell>
          <cell r="I38" t="str">
            <v/>
          </cell>
          <cell r="J38" t="str">
            <v>LAVANDA 923 VALLE FLORESTA  PESQUERÍA  CP 66655 NUEVO LEÓN</v>
          </cell>
          <cell r="K38">
            <v>0</v>
          </cell>
          <cell r="L38" t="str">
            <v>ACTIVO</v>
          </cell>
          <cell r="M38" t="str">
            <v>SOLTERO/A</v>
          </cell>
          <cell r="N38" t="str">
            <v/>
          </cell>
          <cell r="O38" t="str">
            <v/>
          </cell>
          <cell r="P38" t="str">
            <v/>
          </cell>
          <cell r="Q38" t="str">
            <v>2020-10-01 00:00:00.000Z</v>
          </cell>
          <cell r="R38" t="str">
            <v>2020-07-01 00:00:00.000Z</v>
          </cell>
          <cell r="S38" t="str">
            <v>1966-08-16 00:00:00.000Z</v>
          </cell>
          <cell r="T38" t="str">
            <v>3z7do85758p95de</v>
          </cell>
          <cell r="U38" t="str">
            <v xml:space="preserve">BUSTOS MARTINEZ LAURA ANGELICA </v>
          </cell>
          <cell r="V38" t="str">
            <v>43836665976</v>
          </cell>
          <cell r="W38" t="str">
            <v>NUEVO LEON</v>
          </cell>
          <cell r="X38" t="str">
            <v/>
          </cell>
          <cell r="Y38" t="str">
            <v/>
          </cell>
          <cell r="Z38" t="str">
            <v>BUML660816P67</v>
          </cell>
          <cell r="AA38" t="str">
            <v>DERMOCONSEJO</v>
          </cell>
          <cell r="AB38" t="str">
            <v>MUJER</v>
          </cell>
          <cell r="AC38">
            <v>570.865173815405</v>
          </cell>
          <cell r="AD38" t="str">
            <v/>
          </cell>
          <cell r="AE38" t="str">
            <v/>
          </cell>
          <cell r="AF38" t="str">
            <v>8181758264</v>
          </cell>
          <cell r="AG38" t="str">
            <v>MTY</v>
          </cell>
          <cell r="AH38">
            <v>0</v>
          </cell>
        </row>
        <row r="39">
          <cell r="A39">
            <v>213</v>
          </cell>
          <cell r="B39" t="str">
            <v>w9dqy2wz4o5mxe8</v>
          </cell>
          <cell r="C39" t="str">
            <v>BTL-DC-213</v>
          </cell>
          <cell r="D39" t="str">
            <v>09780</v>
          </cell>
          <cell r="E39" t="str">
            <v>jessicacalderon713@gmail.com</v>
          </cell>
          <cell r="F39" t="str">
            <v>CAGJ820505MDFLRS04</v>
          </cell>
          <cell r="G39" t="str">
            <v/>
          </cell>
          <cell r="H39" t="str">
            <v/>
          </cell>
          <cell r="I39" t="str">
            <v/>
          </cell>
          <cell r="J39" t="str">
            <v>ALHELÍ61 LOMAS DE SAN LORENZO IZTAPALAPA  CP 09780 CIUDAD DE MÉXICO</v>
          </cell>
          <cell r="K39">
            <v>0</v>
          </cell>
          <cell r="L39" t="str">
            <v>ACTIVO</v>
          </cell>
          <cell r="M39" t="str">
            <v>CASADO/A</v>
          </cell>
          <cell r="N39" t="str">
            <v/>
          </cell>
          <cell r="O39" t="str">
            <v/>
          </cell>
          <cell r="P39" t="str">
            <v/>
          </cell>
          <cell r="Q39" t="str">
            <v>2023-11-01 00:00:00.000Z</v>
          </cell>
          <cell r="R39" t="str">
            <v>2023-11-01 00:00:00.000Z</v>
          </cell>
          <cell r="S39" t="str">
            <v>1982-05-05 00:00:00.000Z</v>
          </cell>
          <cell r="T39" t="str">
            <v>34o2098lo78zbxu</v>
          </cell>
          <cell r="U39" t="str">
            <v xml:space="preserve">CALDERON GARCIA JESSICA </v>
          </cell>
          <cell r="V39" t="str">
            <v>45988220138</v>
          </cell>
          <cell r="W39" t="str">
            <v>CIUDAD DE MEXICO</v>
          </cell>
          <cell r="X39" t="str">
            <v/>
          </cell>
          <cell r="Y39" t="str">
            <v/>
          </cell>
          <cell r="Z39" t="str">
            <v>CAGJ8205053H2</v>
          </cell>
          <cell r="AA39" t="str">
            <v>DERMOCONSEJO</v>
          </cell>
          <cell r="AB39" t="str">
            <v>MUJER</v>
          </cell>
          <cell r="AC39">
            <v>613.744287446665</v>
          </cell>
          <cell r="AD39" t="str">
            <v/>
          </cell>
          <cell r="AE39" t="str">
            <v/>
          </cell>
          <cell r="AF39" t="str">
            <v>5529806469</v>
          </cell>
          <cell r="AG39" t="str">
            <v>CDMX</v>
          </cell>
          <cell r="AH39">
            <v>0</v>
          </cell>
        </row>
        <row r="40">
          <cell r="A40">
            <v>177</v>
          </cell>
          <cell r="B40" t="str">
            <v>w9dqy2wz4o5mxe8</v>
          </cell>
          <cell r="C40" t="str">
            <v>BTL-DC-177</v>
          </cell>
          <cell r="D40" t="str">
            <v>09230</v>
          </cell>
          <cell r="E40" t="str">
            <v>lucerodemo@hotmail.com</v>
          </cell>
          <cell r="F40" t="str">
            <v>LUGI830218MDFCNS08</v>
          </cell>
          <cell r="G40" t="str">
            <v/>
          </cell>
          <cell r="H40" t="str">
            <v/>
          </cell>
          <cell r="I40" t="str">
            <v/>
          </cell>
          <cell r="J40" t="str">
            <v>ANDADOR 2 DE IGNACIO MEJIA #25 UNIDAD EJÉRCITO DE ORIENTE 2 DA SECCIÓN  IZTAPALAPA  CP 09230 MÉXICO</v>
          </cell>
          <cell r="K40">
            <v>0</v>
          </cell>
          <cell r="L40" t="str">
            <v>ACTIVO</v>
          </cell>
          <cell r="M40" t="str">
            <v>SOLTERO/A</v>
          </cell>
          <cell r="N40" t="str">
            <v/>
          </cell>
          <cell r="O40" t="str">
            <v/>
          </cell>
          <cell r="P40" t="str">
            <v/>
          </cell>
          <cell r="Q40" t="str">
            <v>2023-06-05 00:00:00.000Z</v>
          </cell>
          <cell r="R40" t="str">
            <v>2023-06-05 00:00:00.000Z</v>
          </cell>
          <cell r="S40" t="str">
            <v>1983-02-18 00:00:00.000Z</v>
          </cell>
          <cell r="T40" t="str">
            <v>12ax95vpbj827a5</v>
          </cell>
          <cell r="U40" t="str">
            <v xml:space="preserve">LUCERO GONZALEZ ISABEL </v>
          </cell>
          <cell r="V40" t="str">
            <v>42008312995</v>
          </cell>
          <cell r="W40" t="str">
            <v>CIUDAD DE MEXICO</v>
          </cell>
          <cell r="X40" t="str">
            <v/>
          </cell>
          <cell r="Y40" t="str">
            <v/>
          </cell>
          <cell r="Z40" t="str">
            <v>LUGI830218270</v>
          </cell>
          <cell r="AA40" t="str">
            <v>DERMOCONSEJO</v>
          </cell>
          <cell r="AB40" t="str">
            <v>MUJER</v>
          </cell>
          <cell r="AC40">
            <v>699.15308556029595</v>
          </cell>
          <cell r="AD40" t="str">
            <v/>
          </cell>
          <cell r="AE40" t="str">
            <v/>
          </cell>
          <cell r="AF40" t="str">
            <v>5576548022</v>
          </cell>
          <cell r="AG40" t="str">
            <v>CDMX</v>
          </cell>
          <cell r="AH40">
            <v>0</v>
          </cell>
        </row>
        <row r="41">
          <cell r="A41">
            <v>546</v>
          </cell>
          <cell r="B41" t="str">
            <v>w9dqy2wz4o5mxe8</v>
          </cell>
          <cell r="C41" t="str">
            <v>BTL-DC-546</v>
          </cell>
          <cell r="D41" t="str">
            <v>54416</v>
          </cell>
          <cell r="E41" t="str">
            <v>deycalvario@gmail.com</v>
          </cell>
          <cell r="F41" t="str">
            <v>CACD840403MDFLRY03</v>
          </cell>
          <cell r="G41" t="str">
            <v/>
          </cell>
          <cell r="H41" t="str">
            <v/>
          </cell>
          <cell r="I41" t="str">
            <v/>
          </cell>
          <cell r="J41" t="str">
            <v>LAGO SEUL MZ 11 LT 33 CANTAROS 3 NICOLAS ROMERO ESTADO DE MÉXICO. C.P 54416</v>
          </cell>
          <cell r="K41">
            <v>0</v>
          </cell>
          <cell r="L41" t="str">
            <v>ACTIVO</v>
          </cell>
          <cell r="M41" t="str">
            <v>CASADO/A</v>
          </cell>
          <cell r="N41" t="str">
            <v/>
          </cell>
          <cell r="O41" t="str">
            <v/>
          </cell>
          <cell r="P41" t="str">
            <v/>
          </cell>
          <cell r="Q41" t="str">
            <v>2026-01-12 00:00:00.000Z</v>
          </cell>
          <cell r="R41" t="str">
            <v>2026-01-12 00:00:00.000Z</v>
          </cell>
          <cell r="S41" t="str">
            <v>1984-04-03 00:00:00.000Z</v>
          </cell>
          <cell r="T41" t="str">
            <v>o3lq6p8kdxl9477</v>
          </cell>
          <cell r="U41" t="str">
            <v>CALVARIO CORONA DEYSI JOVANA</v>
          </cell>
          <cell r="V41" t="str">
            <v>92028431648</v>
          </cell>
          <cell r="W41" t="str">
            <v>CIUDAD DE MEXICO</v>
          </cell>
          <cell r="X41" t="str">
            <v/>
          </cell>
          <cell r="Y41" t="str">
            <v/>
          </cell>
          <cell r="Z41" t="str">
            <v>CACD840403SN3</v>
          </cell>
          <cell r="AA41" t="str">
            <v>DERMOCONSEJO</v>
          </cell>
          <cell r="AB41" t="str">
            <v>MUJER</v>
          </cell>
          <cell r="AC41">
            <v>330.576219178082</v>
          </cell>
          <cell r="AD41" t="str">
            <v/>
          </cell>
          <cell r="AE41" t="str">
            <v/>
          </cell>
          <cell r="AF41" t="str">
            <v>5534968215</v>
          </cell>
          <cell r="AG41" t="str">
            <v>CDMX</v>
          </cell>
          <cell r="AH41">
            <v>0</v>
          </cell>
        </row>
        <row r="42">
          <cell r="A42">
            <v>410</v>
          </cell>
          <cell r="B42" t="str">
            <v>w9dqy2wz4o5mxe8</v>
          </cell>
          <cell r="C42" t="str">
            <v>BTL-DC-410</v>
          </cell>
          <cell r="D42" t="str">
            <v>81278</v>
          </cell>
          <cell r="E42" t="str">
            <v>charlycer8@hotmail.com</v>
          </cell>
          <cell r="F42" t="str">
            <v>CARY860628MSLRZR00</v>
          </cell>
          <cell r="G42" t="str">
            <v/>
          </cell>
          <cell r="H42" t="str">
            <v/>
          </cell>
          <cell r="I42" t="str">
            <v/>
          </cell>
          <cell r="J42" t="str">
            <v>MIGUEL JOSÉ AZANZA #2942 URBIVILLA DEL REY AHOME CP 81278 SINALOA</v>
          </cell>
          <cell r="K42">
            <v>0</v>
          </cell>
          <cell r="L42" t="str">
            <v>ACTIVO</v>
          </cell>
          <cell r="M42" t="str">
            <v>CASADO/A</v>
          </cell>
          <cell r="N42" t="str">
            <v/>
          </cell>
          <cell r="O42" t="str">
            <v/>
          </cell>
          <cell r="P42" t="str">
            <v/>
          </cell>
          <cell r="Q42" t="str">
            <v>2025-01-10 00:00:00.000Z</v>
          </cell>
          <cell r="R42" t="str">
            <v>2025-01-10 00:00:00.000Z</v>
          </cell>
          <cell r="S42" t="str">
            <v>1986-06-28 00:00:00.000Z</v>
          </cell>
          <cell r="T42" t="str">
            <v>t9we3153e6g02n1</v>
          </cell>
          <cell r="U42" t="str">
            <v xml:space="preserve">CARAVEO RUIZ YARED </v>
          </cell>
          <cell r="V42" t="str">
            <v>23048676516</v>
          </cell>
          <cell r="W42" t="str">
            <v>SINALOA</v>
          </cell>
          <cell r="X42" t="str">
            <v/>
          </cell>
          <cell r="Y42" t="str">
            <v/>
          </cell>
          <cell r="Z42" t="str">
            <v>CARY860628HB5</v>
          </cell>
          <cell r="AA42" t="str">
            <v>DERMOCONSEJO</v>
          </cell>
          <cell r="AB42" t="str">
            <v>MUJER</v>
          </cell>
          <cell r="AC42">
            <v>664.27624006287897</v>
          </cell>
          <cell r="AD42" t="str">
            <v/>
          </cell>
          <cell r="AE42" t="str">
            <v/>
          </cell>
          <cell r="AF42" t="str">
            <v>6681361427</v>
          </cell>
          <cell r="AG42" t="str">
            <v>SINALOA</v>
          </cell>
          <cell r="AH42">
            <v>0</v>
          </cell>
        </row>
        <row r="43">
          <cell r="A43">
            <v>226</v>
          </cell>
          <cell r="B43" t="str">
            <v>w9dqy2wz4o5mxe8</v>
          </cell>
          <cell r="C43" t="str">
            <v>BTL-DC-226</v>
          </cell>
          <cell r="D43" t="str">
            <v>01700</v>
          </cell>
          <cell r="E43" t="str">
            <v>jydacarmona@ gmail. com</v>
          </cell>
          <cell r="F43" t="str">
            <v>CAFY780117MDFRLN03</v>
          </cell>
          <cell r="G43" t="str">
            <v/>
          </cell>
          <cell r="H43" t="str">
            <v/>
          </cell>
          <cell r="I43" t="str">
            <v/>
          </cell>
          <cell r="J43" t="str">
            <v>CERRADA OCOTILOS #6 OCOTILLOS ALVARO OBREGÓN  CP 01700 CIUDAD DE MÉXICO</v>
          </cell>
          <cell r="K43">
            <v>0</v>
          </cell>
          <cell r="L43" t="str">
            <v>ACTIVO</v>
          </cell>
          <cell r="M43" t="str">
            <v>SOLTERO/A</v>
          </cell>
          <cell r="N43" t="str">
            <v/>
          </cell>
          <cell r="O43" t="str">
            <v/>
          </cell>
          <cell r="P43" t="str">
            <v/>
          </cell>
          <cell r="Q43" t="str">
            <v>2023-12-02 00:00:00.000Z</v>
          </cell>
          <cell r="R43" t="str">
            <v>2023-12-01 00:00:00.000Z</v>
          </cell>
          <cell r="S43" t="str">
            <v>1978-01-17 00:00:00.000Z</v>
          </cell>
          <cell r="T43" t="str">
            <v>bg864jy7b80603n</v>
          </cell>
          <cell r="U43" t="str">
            <v xml:space="preserve">CARMONA FLORES YENI </v>
          </cell>
          <cell r="V43" t="str">
            <v>39957844036</v>
          </cell>
          <cell r="W43" t="str">
            <v>CIUDAD DE MEXICO</v>
          </cell>
          <cell r="X43" t="str">
            <v/>
          </cell>
          <cell r="Y43" t="str">
            <v/>
          </cell>
          <cell r="Z43" t="str">
            <v>CAFY780117D72</v>
          </cell>
          <cell r="AA43" t="str">
            <v>DERMOCONSEJO</v>
          </cell>
          <cell r="AB43" t="str">
            <v>MUJER</v>
          </cell>
          <cell r="AC43">
            <v>564.74018908600897</v>
          </cell>
          <cell r="AD43" t="str">
            <v/>
          </cell>
          <cell r="AE43" t="str">
            <v/>
          </cell>
          <cell r="AF43" t="str">
            <v>5619425682</v>
          </cell>
          <cell r="AG43" t="str">
            <v>CDMX</v>
          </cell>
          <cell r="AH43">
            <v>0</v>
          </cell>
        </row>
        <row r="44">
          <cell r="A44">
            <v>196</v>
          </cell>
          <cell r="B44" t="str">
            <v>w9dqy2wz4o5mxe8</v>
          </cell>
          <cell r="C44" t="str">
            <v>BTL-DC-196</v>
          </cell>
          <cell r="D44" t="str">
            <v>54140</v>
          </cell>
          <cell r="E44" t="str">
            <v>mlizpineda@gmail.com</v>
          </cell>
          <cell r="F44" t="str">
            <v>PIZL721219MMCNXZ05</v>
          </cell>
          <cell r="G44" t="str">
            <v/>
          </cell>
          <cell r="H44" t="str">
            <v/>
          </cell>
          <cell r="I44" t="str">
            <v/>
          </cell>
          <cell r="J44" t="str">
            <v>CANTERA NO. 3 SAN MIGUEL CHALMA  TLALNEPANTLA  CP 54140 MÉXICO</v>
          </cell>
          <cell r="K44">
            <v>0</v>
          </cell>
          <cell r="L44" t="str">
            <v>ACTIVO</v>
          </cell>
          <cell r="M44" t="str">
            <v>SOLTERO/A</v>
          </cell>
          <cell r="N44" t="str">
            <v/>
          </cell>
          <cell r="O44" t="str">
            <v/>
          </cell>
          <cell r="P44" t="str">
            <v/>
          </cell>
          <cell r="Q44" t="str">
            <v>2023-08-02 00:00:00.000Z</v>
          </cell>
          <cell r="R44" t="str">
            <v>2023-08-02 00:00:00.000Z</v>
          </cell>
          <cell r="S44" t="str">
            <v>1972-12-19 00:00:00.000Z</v>
          </cell>
          <cell r="T44" t="str">
            <v>88mu322c2y1oq33</v>
          </cell>
          <cell r="U44" t="str">
            <v xml:space="preserve">PINEDA ZUÑIGA MARIA LIZBETH </v>
          </cell>
          <cell r="V44" t="str">
            <v>07937200769</v>
          </cell>
          <cell r="W44" t="str">
            <v>ESTADO DE MEXICO</v>
          </cell>
          <cell r="X44" t="str">
            <v/>
          </cell>
          <cell r="Y44" t="str">
            <v/>
          </cell>
          <cell r="Z44" t="str">
            <v>PIZL721219PD5</v>
          </cell>
          <cell r="AA44" t="str">
            <v>DERMOCONSEJO</v>
          </cell>
          <cell r="AB44" t="str">
            <v>MUJER</v>
          </cell>
          <cell r="AC44">
            <v>593.67707433191094</v>
          </cell>
          <cell r="AD44" t="str">
            <v/>
          </cell>
          <cell r="AE44" t="str">
            <v/>
          </cell>
          <cell r="AF44" t="str">
            <v>7299557623</v>
          </cell>
          <cell r="AG44" t="str">
            <v>CDMX</v>
          </cell>
          <cell r="AH44">
            <v>0</v>
          </cell>
        </row>
        <row r="45">
          <cell r="A45">
            <v>116</v>
          </cell>
          <cell r="B45" t="str">
            <v>w9dqy2wz4o5mxe8</v>
          </cell>
          <cell r="C45" t="str">
            <v>BTL-DC-116</v>
          </cell>
          <cell r="D45" t="str">
            <v>09850</v>
          </cell>
          <cell r="E45" t="str">
            <v>olgaelizabethrodriguezbailon@gmail.com</v>
          </cell>
          <cell r="F45" t="str">
            <v>RXBO701009MDFDLL07</v>
          </cell>
          <cell r="G45" t="str">
            <v/>
          </cell>
          <cell r="H45" t="str">
            <v/>
          </cell>
          <cell r="I45" t="str">
            <v/>
          </cell>
          <cell r="J45" t="str">
            <v>BILBAO 392 EDIF 8 DEPTO 304 SAN NICOLÁS TOLENTINO  IZTAPALAPA  CP 09850 CIUDAD DE MÉXICO</v>
          </cell>
          <cell r="K45">
            <v>0</v>
          </cell>
          <cell r="L45" t="str">
            <v>ACTIVO</v>
          </cell>
          <cell r="M45" t="str">
            <v>CASADO/A</v>
          </cell>
          <cell r="N45" t="str">
            <v/>
          </cell>
          <cell r="O45" t="str">
            <v/>
          </cell>
          <cell r="P45" t="str">
            <v/>
          </cell>
          <cell r="Q45" t="str">
            <v>2022-12-27 00:00:00.000Z</v>
          </cell>
          <cell r="R45" t="str">
            <v>2022-12-27 00:00:00.000Z</v>
          </cell>
          <cell r="S45" t="str">
            <v>1970-10-09 00:00:00.000Z</v>
          </cell>
          <cell r="T45" t="str">
            <v>ch5xn34g385g346</v>
          </cell>
          <cell r="U45" t="str">
            <v xml:space="preserve">RODRIGUEZ BAILON OLGA ELIZABETH </v>
          </cell>
          <cell r="V45" t="str">
            <v>11887029475</v>
          </cell>
          <cell r="W45" t="str">
            <v>CIUDAD DE MEXICO</v>
          </cell>
          <cell r="X45" t="str">
            <v/>
          </cell>
          <cell r="Y45" t="str">
            <v/>
          </cell>
          <cell r="Z45" t="str">
            <v>ROBO701009PX0</v>
          </cell>
          <cell r="AA45" t="str">
            <v>DERMOCONSEJO</v>
          </cell>
          <cell r="AB45" t="str">
            <v>MUJER</v>
          </cell>
          <cell r="AC45">
            <v>615.83889984280199</v>
          </cell>
          <cell r="AD45" t="str">
            <v/>
          </cell>
          <cell r="AE45" t="str">
            <v/>
          </cell>
          <cell r="AF45" t="str">
            <v>5624427019</v>
          </cell>
          <cell r="AG45" t="str">
            <v>CDMX</v>
          </cell>
          <cell r="AH45">
            <v>0</v>
          </cell>
        </row>
        <row r="46">
          <cell r="A46">
            <v>417</v>
          </cell>
          <cell r="B46" t="str">
            <v>w9dqy2wz4o5mxe8</v>
          </cell>
          <cell r="C46" t="str">
            <v>BTL-DC-417</v>
          </cell>
          <cell r="D46" t="str">
            <v>76245</v>
          </cell>
          <cell r="E46" t="str">
            <v>evecas73@gmail.com</v>
          </cell>
          <cell r="F46" t="str">
            <v>CAOE010226MDFSLVA3</v>
          </cell>
          <cell r="G46" t="str">
            <v/>
          </cell>
          <cell r="H46" t="str">
            <v/>
          </cell>
          <cell r="I46" t="str">
            <v/>
          </cell>
          <cell r="J46" t="str">
            <v>AV. PASEOS DE LA PIEDAD #3 I-101 FRACCIONAMIENTO PASEOS DEL MARQUES  EL MARQUES  CP 76245 QUERÉTARO</v>
          </cell>
          <cell r="K46">
            <v>0</v>
          </cell>
          <cell r="L46" t="str">
            <v>ACTIVO</v>
          </cell>
          <cell r="M46" t="str">
            <v>SOLTERO/A</v>
          </cell>
          <cell r="N46" t="str">
            <v/>
          </cell>
          <cell r="O46" t="str">
            <v/>
          </cell>
          <cell r="P46" t="str">
            <v/>
          </cell>
          <cell r="Q46" t="str">
            <v>2025-01-22 00:00:00.000Z</v>
          </cell>
          <cell r="R46" t="str">
            <v>2025-01-22 00:00:00.000Z</v>
          </cell>
          <cell r="S46" t="str">
            <v>2001-02-26 00:00:00.000Z</v>
          </cell>
          <cell r="T46" t="str">
            <v>2y5vtxcac0cr6d8</v>
          </cell>
          <cell r="U46" t="str">
            <v xml:space="preserve">CASTILLO OLVERA EVELYN </v>
          </cell>
          <cell r="V46" t="str">
            <v>19170126742</v>
          </cell>
          <cell r="W46" t="str">
            <v>CIUDAD DE MEXICO</v>
          </cell>
          <cell r="X46" t="str">
            <v/>
          </cell>
          <cell r="Y46" t="str">
            <v/>
          </cell>
          <cell r="Z46" t="str">
            <v>CAOE010226P10</v>
          </cell>
          <cell r="AA46" t="str">
            <v>DERMOCONSEJO</v>
          </cell>
          <cell r="AB46" t="str">
            <v>MUJER</v>
          </cell>
          <cell r="AC46">
            <v>541.79705209970803</v>
          </cell>
          <cell r="AD46" t="str">
            <v/>
          </cell>
          <cell r="AE46" t="str">
            <v/>
          </cell>
          <cell r="AF46" t="str">
            <v>4423019645</v>
          </cell>
          <cell r="AG46" t="str">
            <v>QUERETARO</v>
          </cell>
          <cell r="AH46">
            <v>0</v>
          </cell>
        </row>
        <row r="47">
          <cell r="A47">
            <v>161</v>
          </cell>
          <cell r="B47" t="str">
            <v>w9dqy2wz4o5mxe8</v>
          </cell>
          <cell r="C47" t="str">
            <v>BTL-DC-161</v>
          </cell>
          <cell r="D47" t="str">
            <v>97290</v>
          </cell>
          <cell r="E47" t="str">
            <v>asunciong60@gmail.com</v>
          </cell>
          <cell r="F47" t="str">
            <v>CECG980815MYNLHB06</v>
          </cell>
          <cell r="G47" t="str">
            <v/>
          </cell>
          <cell r="H47" t="str">
            <v/>
          </cell>
          <cell r="I47" t="str">
            <v/>
          </cell>
          <cell r="J47" t="str">
            <v>175 #400  NVA. SAN JOSE TECOH  MÉRIDA  CP 97290 YUCATÁN</v>
          </cell>
          <cell r="K47">
            <v>0</v>
          </cell>
          <cell r="L47" t="str">
            <v>ACTIVO</v>
          </cell>
          <cell r="M47" t="str">
            <v>SOLTERO/A</v>
          </cell>
          <cell r="N47" t="str">
            <v/>
          </cell>
          <cell r="O47" t="str">
            <v/>
          </cell>
          <cell r="P47" t="str">
            <v/>
          </cell>
          <cell r="Q47" t="str">
            <v>2023-03-22 00:00:00.000Z</v>
          </cell>
          <cell r="R47" t="str">
            <v>2023-03-22 00:00:00.000Z</v>
          </cell>
          <cell r="S47" t="str">
            <v>1998-08-15 00:00:00.000Z</v>
          </cell>
          <cell r="T47" t="str">
            <v>dhi5yb825s08771</v>
          </cell>
          <cell r="U47" t="str">
            <v xml:space="preserve">CELIS CHABLE GABRIELA ASUNCION </v>
          </cell>
          <cell r="V47" t="str">
            <v>25169862627</v>
          </cell>
          <cell r="W47" t="str">
            <v>YUCATAN</v>
          </cell>
          <cell r="X47" t="str">
            <v/>
          </cell>
          <cell r="Y47" t="str">
            <v/>
          </cell>
          <cell r="Z47" t="str">
            <v>CECG9808151L1</v>
          </cell>
          <cell r="AA47" t="str">
            <v>DERMOCONSEJO</v>
          </cell>
          <cell r="AB47" t="str">
            <v>MUJER</v>
          </cell>
          <cell r="AC47">
            <v>573.82042775077298</v>
          </cell>
          <cell r="AD47" t="str">
            <v/>
          </cell>
          <cell r="AE47" t="str">
            <v/>
          </cell>
          <cell r="AF47" t="str">
            <v>9992249208</v>
          </cell>
          <cell r="AG47" t="str">
            <v>YUCATAN</v>
          </cell>
          <cell r="AH47">
            <v>0</v>
          </cell>
        </row>
        <row r="48">
          <cell r="A48">
            <v>22</v>
          </cell>
          <cell r="B48" t="str">
            <v>w9dqy2wz4o5mxe8</v>
          </cell>
          <cell r="C48" t="str">
            <v>BTL-DC-22</v>
          </cell>
          <cell r="D48" t="str">
            <v>64102</v>
          </cell>
          <cell r="E48" t="str">
            <v>cienfuegoselena182@gmail.com</v>
          </cell>
          <cell r="F48" t="str">
            <v>CIFL710713MNLNLR02</v>
          </cell>
          <cell r="G48" t="str">
            <v/>
          </cell>
          <cell r="H48" t="str">
            <v/>
          </cell>
          <cell r="I48" t="str">
            <v/>
          </cell>
          <cell r="J48" t="str">
            <v>ARTESANAL #217 BARRIO DE LA INDUSTRIA MONTERREY CP 64102 NUEVO LEÓN</v>
          </cell>
          <cell r="K48">
            <v>0</v>
          </cell>
          <cell r="L48" t="str">
            <v>ACTIVO</v>
          </cell>
          <cell r="M48" t="str">
            <v>CASADO/A</v>
          </cell>
          <cell r="N48" t="str">
            <v/>
          </cell>
          <cell r="O48" t="str">
            <v/>
          </cell>
          <cell r="P48" t="str">
            <v/>
          </cell>
          <cell r="Q48" t="str">
            <v>2020-07-01 00:00:00.000Z</v>
          </cell>
          <cell r="R48" t="str">
            <v>2020-07-01 00:00:00.000Z</v>
          </cell>
          <cell r="S48" t="str">
            <v>1971-07-13 00:00:00.000Z</v>
          </cell>
          <cell r="T48" t="str">
            <v>1yd2hcr7fmr9g4d</v>
          </cell>
          <cell r="U48" t="str">
            <v xml:space="preserve">CIENFUEGOS FLORES LAURA ELENA </v>
          </cell>
          <cell r="V48" t="str">
            <v>43887100865</v>
          </cell>
          <cell r="W48" t="str">
            <v>NUEVO LEON</v>
          </cell>
          <cell r="X48" t="str">
            <v/>
          </cell>
          <cell r="Y48" t="str">
            <v/>
          </cell>
          <cell r="Z48" t="str">
            <v>CIFL710713J44</v>
          </cell>
          <cell r="AA48" t="str">
            <v>DERMOCONSEJO</v>
          </cell>
          <cell r="AB48" t="str">
            <v>MUJER</v>
          </cell>
          <cell r="AC48">
            <v>581.31123938917494</v>
          </cell>
          <cell r="AD48" t="str">
            <v/>
          </cell>
          <cell r="AE48" t="str">
            <v/>
          </cell>
          <cell r="AF48" t="str">
            <v>8119893536</v>
          </cell>
          <cell r="AG48" t="str">
            <v>MTY</v>
          </cell>
          <cell r="AH48">
            <v>0</v>
          </cell>
        </row>
        <row r="49">
          <cell r="A49">
            <v>103</v>
          </cell>
          <cell r="B49" t="str">
            <v>w9dqy2wz4o5mxe8</v>
          </cell>
          <cell r="C49" t="str">
            <v>BTL-DC-103</v>
          </cell>
          <cell r="D49" t="str">
            <v>53660</v>
          </cell>
          <cell r="E49" t="str">
            <v>contrerasedith749@gmail.com</v>
          </cell>
          <cell r="F49" t="str">
            <v>COCE820704MDFNLD01</v>
          </cell>
          <cell r="G49" t="str">
            <v/>
          </cell>
          <cell r="H49" t="str">
            <v/>
          </cell>
          <cell r="I49" t="str">
            <v/>
          </cell>
          <cell r="J49" t="str">
            <v>CALZADA EE GUADALUPE 43 SAN RAFAEL CHAMAPA 2A SECCIÓN  NAUCALPAN DE JUAREZ CP 53660 MÉXICO</v>
          </cell>
          <cell r="K49">
            <v>0</v>
          </cell>
          <cell r="L49" t="str">
            <v>ACTIVO</v>
          </cell>
          <cell r="M49" t="str">
            <v>CASADO/A</v>
          </cell>
          <cell r="N49" t="str">
            <v/>
          </cell>
          <cell r="O49" t="str">
            <v/>
          </cell>
          <cell r="P49" t="str">
            <v/>
          </cell>
          <cell r="Q49" t="str">
            <v>2022-10-10 00:00:00.000Z</v>
          </cell>
          <cell r="R49" t="str">
            <v>2022-10-10 00:00:00.000Z</v>
          </cell>
          <cell r="S49" t="str">
            <v>1982-07-04 00:00:00.000Z</v>
          </cell>
          <cell r="T49" t="str">
            <v>ffv44qu4fk7jzmj</v>
          </cell>
          <cell r="U49" t="str">
            <v>CONTRERAS CALDERON EDITH TERESA</v>
          </cell>
          <cell r="V49" t="str">
            <v>37008228944</v>
          </cell>
          <cell r="W49" t="str">
            <v>CIUDAD DE MEXICO</v>
          </cell>
          <cell r="X49" t="str">
            <v/>
          </cell>
          <cell r="Y49" t="str">
            <v/>
          </cell>
          <cell r="Z49" t="str">
            <v>COCE820704472</v>
          </cell>
          <cell r="AA49" t="str">
            <v>DERMOCONSEJO</v>
          </cell>
          <cell r="AB49" t="str">
            <v>MUJER</v>
          </cell>
          <cell r="AC49">
            <v>546.42824410509695</v>
          </cell>
          <cell r="AD49" t="str">
            <v/>
          </cell>
          <cell r="AE49" t="str">
            <v/>
          </cell>
          <cell r="AF49" t="str">
            <v>5539176351</v>
          </cell>
          <cell r="AG49" t="str">
            <v>CDMX</v>
          </cell>
          <cell r="AH49">
            <v>0</v>
          </cell>
        </row>
        <row r="50">
          <cell r="A50">
            <v>162</v>
          </cell>
          <cell r="B50" t="str">
            <v>w9dqy2wz4o5mxe8</v>
          </cell>
          <cell r="C50" t="str">
            <v>BTL-DC-162</v>
          </cell>
          <cell r="D50" t="str">
            <v>43815</v>
          </cell>
          <cell r="E50" t="str">
            <v>contreras_bibi13@hotmail.com</v>
          </cell>
          <cell r="F50" t="str">
            <v>COMB750505MDFNRN06</v>
          </cell>
          <cell r="G50" t="str">
            <v/>
          </cell>
          <cell r="H50" t="str">
            <v/>
          </cell>
          <cell r="I50" t="str">
            <v/>
          </cell>
          <cell r="J50" t="str">
            <v>YECAPIXTLA #184, HACIENDAS TIZAYUCA, HIDALGO, CP 43815, HIDALGO</v>
          </cell>
          <cell r="K50">
            <v>0</v>
          </cell>
          <cell r="L50" t="str">
            <v>ACTIVO</v>
          </cell>
          <cell r="M50" t="str">
            <v>SOLTERO/A</v>
          </cell>
          <cell r="N50" t="str">
            <v/>
          </cell>
          <cell r="O50" t="str">
            <v/>
          </cell>
          <cell r="P50" t="str">
            <v/>
          </cell>
          <cell r="Q50" t="str">
            <v>2026-01-12 00:00:00.000Z</v>
          </cell>
          <cell r="R50" t="str">
            <v>2023-03-23 00:00:00.000Z</v>
          </cell>
          <cell r="S50" t="str">
            <v>1975-05-05 00:00:00.000Z</v>
          </cell>
          <cell r="T50" t="str">
            <v>571vkat0amk8630</v>
          </cell>
          <cell r="U50" t="str">
            <v>CONTRERAS MORALES BIANKA ARACELI</v>
          </cell>
          <cell r="V50" t="str">
            <v>04077504530</v>
          </cell>
          <cell r="W50" t="str">
            <v>CIUDAD DE MEXICO</v>
          </cell>
          <cell r="X50" t="str">
            <v/>
          </cell>
          <cell r="Y50" t="str">
            <v/>
          </cell>
          <cell r="Z50" t="str">
            <v>COMB750505KA4</v>
          </cell>
          <cell r="AA50" t="str">
            <v>DERMOCONSEJO</v>
          </cell>
          <cell r="AB50" t="str">
            <v>MUJER</v>
          </cell>
          <cell r="AC50">
            <v>330.576219178082</v>
          </cell>
          <cell r="AD50" t="str">
            <v/>
          </cell>
          <cell r="AE50" t="str">
            <v/>
          </cell>
          <cell r="AF50" t="str">
            <v>5564988639</v>
          </cell>
          <cell r="AG50" t="str">
            <v>CDMX</v>
          </cell>
          <cell r="AH50">
            <v>0</v>
          </cell>
        </row>
        <row r="51">
          <cell r="A51">
            <v>66</v>
          </cell>
          <cell r="B51" t="str">
            <v>w9dqy2wz4o5mxe8</v>
          </cell>
          <cell r="C51" t="str">
            <v>BTL-DC-66</v>
          </cell>
          <cell r="D51" t="str">
            <v>72589</v>
          </cell>
          <cell r="E51" t="str">
            <v>beutiful210385@gmail.com</v>
          </cell>
          <cell r="F51" t="str">
            <v>COJM850321MPLRRR06</v>
          </cell>
          <cell r="G51" t="str">
            <v/>
          </cell>
          <cell r="H51" t="str">
            <v/>
          </cell>
          <cell r="I51" t="str">
            <v/>
          </cell>
          <cell r="J51" t="str">
            <v>AUTÓNOMA DE YUCATAN 1634 UNIVERSIDADES  PUEBLA  CP 72589 PUEBLA</v>
          </cell>
          <cell r="K51">
            <v>0</v>
          </cell>
          <cell r="L51" t="str">
            <v>ACTIVO</v>
          </cell>
          <cell r="M51" t="str">
            <v>SOLTERO/A</v>
          </cell>
          <cell r="N51" t="str">
            <v/>
          </cell>
          <cell r="O51" t="str">
            <v/>
          </cell>
          <cell r="P51" t="str">
            <v/>
          </cell>
          <cell r="Q51" t="str">
            <v>2022-04-01 00:00:00.000Z</v>
          </cell>
          <cell r="R51" t="str">
            <v>2022-04-01 00:00:00.000Z</v>
          </cell>
          <cell r="S51" t="str">
            <v>1985-03-21 00:00:00.000Z</v>
          </cell>
          <cell r="T51" t="str">
            <v>87kxi42637sqv9z</v>
          </cell>
          <cell r="U51" t="str">
            <v xml:space="preserve">CORONEL JUAREZ MARISOL </v>
          </cell>
          <cell r="V51" t="str">
            <v>48048559644</v>
          </cell>
          <cell r="W51" t="str">
            <v>PUEBLA</v>
          </cell>
          <cell r="X51" t="str">
            <v/>
          </cell>
          <cell r="Y51" t="str">
            <v/>
          </cell>
          <cell r="Z51" t="str">
            <v>COJM8503216C7</v>
          </cell>
          <cell r="AA51" t="str">
            <v>DERMOCONSEJO</v>
          </cell>
          <cell r="AB51" t="str">
            <v>MUJER</v>
          </cell>
          <cell r="AC51">
            <v>602.76168672804795</v>
          </cell>
          <cell r="AD51" t="str">
            <v/>
          </cell>
          <cell r="AE51" t="str">
            <v/>
          </cell>
          <cell r="AF51" t="str">
            <v>2211097715</v>
          </cell>
          <cell r="AG51" t="str">
            <v>PUEBLA</v>
          </cell>
          <cell r="AH51">
            <v>0</v>
          </cell>
        </row>
        <row r="52">
          <cell r="A52">
            <v>478</v>
          </cell>
          <cell r="B52" t="str">
            <v>w9dqy2wz4o5mxe8</v>
          </cell>
          <cell r="C52" t="str">
            <v>BTL-DC-478</v>
          </cell>
          <cell r="D52" t="str">
            <v>09319</v>
          </cell>
          <cell r="E52" t="str">
            <v>ccoronilla13@gmail.com</v>
          </cell>
          <cell r="F52" t="str">
            <v>COAG901201MDFRLD00</v>
          </cell>
          <cell r="G52" t="str">
            <v/>
          </cell>
          <cell r="H52" t="str">
            <v/>
          </cell>
          <cell r="I52" t="str">
            <v/>
          </cell>
          <cell r="J52" t="str">
            <v>AV.CANAL DE TEZONTLE 1730 U.HAB.CUCHILLA DEL MORAL IZTAPALAPA  CP 09319 CIUDAD DE MÉXICO</v>
          </cell>
          <cell r="K52">
            <v>0</v>
          </cell>
          <cell r="L52" t="str">
            <v>ACTIVO</v>
          </cell>
          <cell r="M52" t="str">
            <v>CASADO/A</v>
          </cell>
          <cell r="N52" t="str">
            <v/>
          </cell>
          <cell r="O52" t="str">
            <v/>
          </cell>
          <cell r="P52" t="str">
            <v/>
          </cell>
          <cell r="Q52" t="str">
            <v>2025-07-01 00:00:00.000Z</v>
          </cell>
          <cell r="R52" t="str">
            <v>2025-07-01 00:00:00.000Z</v>
          </cell>
          <cell r="S52" t="str">
            <v>1990-12-01 00:00:00.000Z</v>
          </cell>
          <cell r="T52" t="str">
            <v>5mk316077c4jo9x</v>
          </cell>
          <cell r="U52" t="str">
            <v xml:space="preserve">CORONILLA ALBA GUADALUPE CAROLINA </v>
          </cell>
          <cell r="V52" t="str">
            <v>11119003181</v>
          </cell>
          <cell r="W52" t="str">
            <v>CIUDAD DE MEXICO</v>
          </cell>
          <cell r="X52" t="str">
            <v/>
          </cell>
          <cell r="Y52" t="str">
            <v/>
          </cell>
          <cell r="Z52" t="str">
            <v>COAG901201TQ5</v>
          </cell>
          <cell r="AA52" t="str">
            <v>DERMOCONSEJO</v>
          </cell>
          <cell r="AB52" t="str">
            <v>MUJER</v>
          </cell>
          <cell r="AC52">
            <v>530.41113721086901</v>
          </cell>
          <cell r="AD52" t="str">
            <v/>
          </cell>
          <cell r="AE52" t="str">
            <v/>
          </cell>
          <cell r="AF52" t="str">
            <v>5641456882</v>
          </cell>
          <cell r="AG52" t="str">
            <v>CDMX</v>
          </cell>
          <cell r="AH52">
            <v>0</v>
          </cell>
        </row>
        <row r="53">
          <cell r="A53">
            <v>149</v>
          </cell>
          <cell r="B53" t="str">
            <v>w9dqy2wz4o5mxe8</v>
          </cell>
          <cell r="C53" t="str">
            <v>BTL-DC-149</v>
          </cell>
          <cell r="D53" t="str">
            <v>80010</v>
          </cell>
          <cell r="E53" t="str">
            <v>olgaleticiacorralesortiz@gmail.com</v>
          </cell>
          <cell r="F53" t="str">
            <v>COOO650709MSLRRLO7</v>
          </cell>
          <cell r="G53" t="str">
            <v/>
          </cell>
          <cell r="H53" t="str">
            <v/>
          </cell>
          <cell r="I53" t="str">
            <v/>
          </cell>
          <cell r="J53" t="str">
            <v>MARIANA VALDEZ #386 IGNACIO ALLENDE  CULIACÁN  CP 80010 SINALOA</v>
          </cell>
          <cell r="K53">
            <v>0</v>
          </cell>
          <cell r="L53" t="str">
            <v>ACTIVO</v>
          </cell>
          <cell r="M53" t="str">
            <v>SOLTERO/A</v>
          </cell>
          <cell r="N53" t="str">
            <v/>
          </cell>
          <cell r="O53" t="str">
            <v/>
          </cell>
          <cell r="P53" t="str">
            <v/>
          </cell>
          <cell r="Q53" t="str">
            <v>2023-02-28 00:00:00.000Z</v>
          </cell>
          <cell r="R53" t="str">
            <v>2023-03-04 00:00:00.000Z</v>
          </cell>
          <cell r="S53" t="str">
            <v>1965-07-09 00:00:00.000Z</v>
          </cell>
          <cell r="T53" t="str">
            <v>nx9v09o7hhqz0j6</v>
          </cell>
          <cell r="U53" t="str">
            <v xml:space="preserve">CORRALES ORTIZ OLGA LETICIA </v>
          </cell>
          <cell r="V53" t="str">
            <v>23856510385</v>
          </cell>
          <cell r="W53" t="str">
            <v>SINALOA</v>
          </cell>
          <cell r="X53" t="str">
            <v/>
          </cell>
          <cell r="Y53" t="str">
            <v/>
          </cell>
          <cell r="Z53" t="str">
            <v>COOO6507091T5</v>
          </cell>
          <cell r="AA53" t="str">
            <v>DERMOCONSEJO</v>
          </cell>
          <cell r="AB53" t="str">
            <v>MUJER</v>
          </cell>
          <cell r="AC53">
            <v>388.13870379519398</v>
          </cell>
          <cell r="AD53" t="str">
            <v/>
          </cell>
          <cell r="AE53" t="str">
            <v/>
          </cell>
          <cell r="AF53" t="str">
            <v>6674362516</v>
          </cell>
          <cell r="AG53" t="str">
            <v>SINALOA</v>
          </cell>
          <cell r="AH53">
            <v>0</v>
          </cell>
        </row>
        <row r="54">
          <cell r="A54">
            <v>354</v>
          </cell>
          <cell r="B54" t="str">
            <v>w9dqy2wz4o5mxe8</v>
          </cell>
          <cell r="C54" t="str">
            <v>BTL-DC-354</v>
          </cell>
          <cell r="D54" t="str">
            <v>81240</v>
          </cell>
          <cell r="E54" t="str">
            <v>kelvincovarrubias00@gmail.com</v>
          </cell>
          <cell r="F54" t="str">
            <v>COHK030515HSLVRLA8</v>
          </cell>
          <cell r="G54" t="str">
            <v/>
          </cell>
          <cell r="H54" t="str">
            <v/>
          </cell>
          <cell r="I54" t="str">
            <v/>
          </cell>
          <cell r="J54" t="str">
            <v>GUANAJUATO 1989 LIBERTAD  AHOME  CP 81240 SINALOA</v>
          </cell>
          <cell r="K54">
            <v>0</v>
          </cell>
          <cell r="L54" t="str">
            <v>ACTIVO</v>
          </cell>
          <cell r="M54" t="str">
            <v>SOLTERO/A</v>
          </cell>
          <cell r="N54" t="str">
            <v/>
          </cell>
          <cell r="O54" t="str">
            <v/>
          </cell>
          <cell r="P54" t="str">
            <v/>
          </cell>
          <cell r="Q54" t="str">
            <v>2025-06-19 00:00:00.000Z</v>
          </cell>
          <cell r="R54" t="str">
            <v>2024-08-16 00:00:00.000Z</v>
          </cell>
          <cell r="S54" t="str">
            <v>2003-05-15 00:00:00.000Z</v>
          </cell>
          <cell r="T54" t="str">
            <v>z5v14x59t563k87</v>
          </cell>
          <cell r="U54" t="str">
            <v xml:space="preserve">COVARRUBIAS HERNANDEZ KELVIN ORLANDO </v>
          </cell>
          <cell r="V54" t="str">
            <v>08170368271</v>
          </cell>
          <cell r="W54" t="str">
            <v>SINALOA</v>
          </cell>
          <cell r="X54" t="str">
            <v/>
          </cell>
          <cell r="Y54" t="str">
            <v/>
          </cell>
          <cell r="Z54" t="str">
            <v>COHK030515KQ9</v>
          </cell>
          <cell r="AA54" t="str">
            <v>DERMOCONSEJO</v>
          </cell>
          <cell r="AB54" t="str">
            <v>HOMBRE</v>
          </cell>
          <cell r="AC54">
            <v>655.15011542780098</v>
          </cell>
          <cell r="AD54" t="str">
            <v/>
          </cell>
          <cell r="AE54" t="str">
            <v/>
          </cell>
          <cell r="AF54" t="str">
            <v>6682503339</v>
          </cell>
          <cell r="AG54" t="str">
            <v>SINALOA</v>
          </cell>
          <cell r="AH54">
            <v>0</v>
          </cell>
        </row>
        <row r="55">
          <cell r="A55">
            <v>286</v>
          </cell>
          <cell r="B55" t="str">
            <v>w9dqy2wz4o5mxe8</v>
          </cell>
          <cell r="C55" t="str">
            <v>BTL-DC-286</v>
          </cell>
          <cell r="D55" t="str">
            <v>54803</v>
          </cell>
          <cell r="E55" t="str">
            <v>cresposandra88@gmail.com</v>
          </cell>
          <cell r="F55" t="str">
            <v>CESS660605MDFRNN06</v>
          </cell>
          <cell r="G55" t="str">
            <v/>
          </cell>
          <cell r="H55" t="str">
            <v/>
          </cell>
          <cell r="I55" t="str">
            <v/>
          </cell>
          <cell r="J55" t="str">
            <v>C HACIENDA LOS SAUCES CONDOMINIO 9 MANZANA 1 LOTE 15 HACIENDA CUAUTITLAN  EDOMEX CP 54803 MÉXICO</v>
          </cell>
          <cell r="K55">
            <v>0</v>
          </cell>
          <cell r="L55" t="str">
            <v>ACTIVO</v>
          </cell>
          <cell r="M55" t="str">
            <v>SOLTERO/A</v>
          </cell>
          <cell r="N55" t="str">
            <v/>
          </cell>
          <cell r="O55" t="str">
            <v/>
          </cell>
          <cell r="P55" t="str">
            <v/>
          </cell>
          <cell r="Q55" t="str">
            <v>2024-03-15 00:00:00.000Z</v>
          </cell>
          <cell r="R55" t="str">
            <v>2024-03-15 00:00:00.000Z</v>
          </cell>
          <cell r="S55" t="str">
            <v>1966-06-05 00:00:00.000Z</v>
          </cell>
          <cell r="T55" t="str">
            <v>b397fffql4c96tf</v>
          </cell>
          <cell r="U55" t="str">
            <v xml:space="preserve">CRESPO SANTIAGO SANDRA LUZ </v>
          </cell>
          <cell r="V55" t="str">
            <v>11846680475</v>
          </cell>
          <cell r="W55" t="str">
            <v>CIUDAD DE MEXICO</v>
          </cell>
          <cell r="X55" t="str">
            <v/>
          </cell>
          <cell r="Y55" t="str">
            <v/>
          </cell>
          <cell r="Z55" t="str">
            <v>CESS6606054T3</v>
          </cell>
          <cell r="AA55" t="str">
            <v>DERMOCONSEJO</v>
          </cell>
          <cell r="AB55" t="str">
            <v>MUJER</v>
          </cell>
          <cell r="AC55">
            <v>546.20360947675704</v>
          </cell>
          <cell r="AD55" t="str">
            <v/>
          </cell>
          <cell r="AE55" t="str">
            <v/>
          </cell>
          <cell r="AF55" t="str">
            <v>5652433753</v>
          </cell>
          <cell r="AG55" t="str">
            <v>CDMX</v>
          </cell>
          <cell r="AH55">
            <v>0</v>
          </cell>
        </row>
        <row r="56">
          <cell r="A56">
            <v>140</v>
          </cell>
          <cell r="B56" t="str">
            <v>w9dqy2wz4o5mxe8</v>
          </cell>
          <cell r="C56" t="str">
            <v>BTL-DC-140</v>
          </cell>
          <cell r="D56" t="str">
            <v>14100</v>
          </cell>
          <cell r="E56" t="str">
            <v>flord609@gmail.com</v>
          </cell>
          <cell r="F56" t="str">
            <v>CURX920927MMCRMC09</v>
          </cell>
          <cell r="G56" t="str">
            <v/>
          </cell>
          <cell r="H56" t="str">
            <v/>
          </cell>
          <cell r="I56" t="str">
            <v/>
          </cell>
          <cell r="J56" t="str">
            <v>SUDZAL MZ 45 LT 13 PEDREGAL DE SAN NICOLÁS  TLALPAN  CP 14100 CIUDAD DE MÉXICO</v>
          </cell>
          <cell r="K56">
            <v>0</v>
          </cell>
          <cell r="L56" t="str">
            <v>ACTIVO</v>
          </cell>
          <cell r="M56" t="str">
            <v>SOLTERO/A</v>
          </cell>
          <cell r="N56" t="str">
            <v/>
          </cell>
          <cell r="O56" t="str">
            <v/>
          </cell>
          <cell r="P56" t="str">
            <v/>
          </cell>
          <cell r="Q56" t="str">
            <v>2023-02-27 00:00:00.000Z</v>
          </cell>
          <cell r="R56" t="str">
            <v>2023-02-26 00:00:00.000Z</v>
          </cell>
          <cell r="S56" t="str">
            <v>1992-09-27 00:00:00.000Z</v>
          </cell>
          <cell r="T56" t="str">
            <v>pxv20y0gpc50m25</v>
          </cell>
          <cell r="U56" t="str">
            <v xml:space="preserve">CRUZ RAMON XOCHITL </v>
          </cell>
          <cell r="V56" t="str">
            <v>39129224711</v>
          </cell>
          <cell r="W56" t="str">
            <v>ESTADO DE MEXICO</v>
          </cell>
          <cell r="X56" t="str">
            <v/>
          </cell>
          <cell r="Y56" t="str">
            <v/>
          </cell>
          <cell r="Z56" t="str">
            <v>CURX920927QS3</v>
          </cell>
          <cell r="AA56" t="str">
            <v>DERMOCONSEJO</v>
          </cell>
          <cell r="AB56" t="str">
            <v>MUJER</v>
          </cell>
          <cell r="AC56">
            <v>569.72740220076298</v>
          </cell>
          <cell r="AD56" t="str">
            <v/>
          </cell>
          <cell r="AE56" t="str">
            <v/>
          </cell>
          <cell r="AF56" t="str">
            <v>5583954678</v>
          </cell>
          <cell r="AG56" t="str">
            <v>CDMX</v>
          </cell>
          <cell r="AH56">
            <v>0</v>
          </cell>
        </row>
        <row r="57">
          <cell r="A57">
            <v>60</v>
          </cell>
          <cell r="B57" t="str">
            <v>w9dqy2wz4o5mxe8</v>
          </cell>
          <cell r="C57" t="str">
            <v>BTL-DC-60</v>
          </cell>
          <cell r="D57" t="str">
            <v>57440</v>
          </cell>
          <cell r="E57" t="str">
            <v>norma1821.nz@gmail.com</v>
          </cell>
          <cell r="F57" t="str">
            <v>CUZN671129MDFHMR03</v>
          </cell>
          <cell r="G57" t="str">
            <v/>
          </cell>
          <cell r="H57" t="str">
            <v/>
          </cell>
          <cell r="I57" t="str">
            <v/>
          </cell>
          <cell r="J57" t="str">
            <v>CALLE MANUEL GUTIÉRREZ NÁJERA #40 LAS PALMAS  NEZAHUALCÓYOTL  CP 57440 CIUDAD DE MÉXICO</v>
          </cell>
          <cell r="K57">
            <v>0</v>
          </cell>
          <cell r="L57" t="str">
            <v>ACTIVO</v>
          </cell>
          <cell r="M57" t="str">
            <v>CASADO/A</v>
          </cell>
          <cell r="N57" t="str">
            <v/>
          </cell>
          <cell r="O57" t="str">
            <v/>
          </cell>
          <cell r="P57" t="str">
            <v/>
          </cell>
          <cell r="Q57" t="str">
            <v>2022-02-02 00:00:00.000Z</v>
          </cell>
          <cell r="R57" t="str">
            <v>2022-02-20 00:00:00.000Z</v>
          </cell>
          <cell r="S57" t="str">
            <v>1967-11-29 00:00:00.000Z</v>
          </cell>
          <cell r="T57" t="str">
            <v>3qxv6881a6403j2</v>
          </cell>
          <cell r="U57" t="str">
            <v xml:space="preserve">CUAHUTLE ZAMORA NORMA </v>
          </cell>
          <cell r="V57" t="str">
            <v>45876757639</v>
          </cell>
          <cell r="W57" t="str">
            <v>CIUDAD DE MEXICO</v>
          </cell>
          <cell r="X57" t="str">
            <v/>
          </cell>
          <cell r="Y57" t="str">
            <v/>
          </cell>
          <cell r="Z57" t="str">
            <v>CUZN671129N21</v>
          </cell>
          <cell r="AA57" t="str">
            <v>DERMOCONSEJO</v>
          </cell>
          <cell r="AB57" t="str">
            <v>MUJER</v>
          </cell>
          <cell r="AC57">
            <v>595.865785088704</v>
          </cell>
          <cell r="AD57" t="str">
            <v/>
          </cell>
          <cell r="AE57" t="str">
            <v/>
          </cell>
          <cell r="AF57" t="str">
            <v>5515037802</v>
          </cell>
          <cell r="AG57" t="str">
            <v>CDMX</v>
          </cell>
          <cell r="AH57">
            <v>0</v>
          </cell>
        </row>
        <row r="58">
          <cell r="A58">
            <v>78</v>
          </cell>
          <cell r="B58" t="str">
            <v>w9dqy2wz4o5mxe8</v>
          </cell>
          <cell r="C58" t="str">
            <v>BTL-DC-78</v>
          </cell>
          <cell r="D58" t="str">
            <v>15630</v>
          </cell>
          <cell r="E58" t="str">
            <v>yaremicvs00@gmail.com</v>
          </cell>
          <cell r="F58" t="str">
            <v>CUSM810328MDFVTR02</v>
          </cell>
          <cell r="G58" t="str">
            <v/>
          </cell>
          <cell r="H58" t="str">
            <v/>
          </cell>
          <cell r="I58" t="str">
            <v/>
          </cell>
          <cell r="J58" t="str">
            <v>AVENIDA CAMARÓN MANZANA 6 LOTE 8 CARACOL VENUSTIANO CARRANZA CP 15630 MÉXICO</v>
          </cell>
          <cell r="K58">
            <v>0</v>
          </cell>
          <cell r="L58" t="str">
            <v>ACTIVO</v>
          </cell>
          <cell r="M58" t="str">
            <v>CASADO/A</v>
          </cell>
          <cell r="N58" t="str">
            <v/>
          </cell>
          <cell r="O58" t="str">
            <v/>
          </cell>
          <cell r="P58" t="str">
            <v/>
          </cell>
          <cell r="Q58" t="str">
            <v>2022-08-04 00:00:00.000Z</v>
          </cell>
          <cell r="R58" t="str">
            <v>2022-08-03 00:00:00.000Z</v>
          </cell>
          <cell r="S58" t="str">
            <v>1981-03-28 00:00:00.000Z</v>
          </cell>
          <cell r="T58" t="str">
            <v>szw3qt689xkn92q</v>
          </cell>
          <cell r="U58" t="str">
            <v xml:space="preserve">CUEVAS SOTELO MIREYA </v>
          </cell>
          <cell r="V58" t="str">
            <v>28008104227</v>
          </cell>
          <cell r="W58" t="str">
            <v>CIUDAD DE MEXICO</v>
          </cell>
          <cell r="X58" t="str">
            <v/>
          </cell>
          <cell r="Y58" t="str">
            <v/>
          </cell>
          <cell r="Z58" t="str">
            <v>CUSM810328DLA</v>
          </cell>
          <cell r="AA58" t="str">
            <v>DERMOCONSEJO</v>
          </cell>
          <cell r="AB58" t="str">
            <v>MUJER</v>
          </cell>
          <cell r="AC58">
            <v>554.36545721985101</v>
          </cell>
          <cell r="AD58" t="str">
            <v/>
          </cell>
          <cell r="AE58" t="str">
            <v/>
          </cell>
          <cell r="AF58" t="str">
            <v>5548355399</v>
          </cell>
          <cell r="AG58" t="str">
            <v>CDMX</v>
          </cell>
          <cell r="AH58">
            <v>0</v>
          </cell>
        </row>
        <row r="59">
          <cell r="A59">
            <v>536</v>
          </cell>
          <cell r="B59" t="str">
            <v>w9dqy2wz4o5mxe8</v>
          </cell>
          <cell r="C59" t="str">
            <v>BTL-DC-536</v>
          </cell>
          <cell r="D59" t="str">
            <v>68125</v>
          </cell>
          <cell r="E59" t="str">
            <v>ivette.delarosa.oax@gmail.com</v>
          </cell>
          <cell r="F59" t="str">
            <v>ROMI910617MOCSLV03</v>
          </cell>
          <cell r="G59" t="str">
            <v/>
          </cell>
          <cell r="H59" t="str">
            <v/>
          </cell>
          <cell r="I59" t="str">
            <v/>
          </cell>
          <cell r="J59" t="str">
            <v>TITAN #102, SATELITE, OAXACA DE JUÁREZ, CP 68125, OAXACA</v>
          </cell>
          <cell r="K59">
            <v>0</v>
          </cell>
          <cell r="L59" t="str">
            <v>ACTIVO</v>
          </cell>
          <cell r="M59" t="str">
            <v>CASADO/A</v>
          </cell>
          <cell r="N59" t="str">
            <v/>
          </cell>
          <cell r="O59" t="str">
            <v/>
          </cell>
          <cell r="P59" t="str">
            <v/>
          </cell>
          <cell r="Q59" t="str">
            <v>2026-01-10 00:00:00.000Z</v>
          </cell>
          <cell r="R59" t="str">
            <v>2026-01-10 00:00:00.000Z</v>
          </cell>
          <cell r="S59" t="str">
            <v>1991-06-17 00:00:00.000Z</v>
          </cell>
          <cell r="T59" t="str">
            <v>t57869bor317772</v>
          </cell>
          <cell r="U59" t="str">
            <v xml:space="preserve">DE LA ROSA MOLINA IVETTE </v>
          </cell>
          <cell r="V59" t="str">
            <v>78099116085</v>
          </cell>
          <cell r="W59" t="str">
            <v>OAXACA</v>
          </cell>
          <cell r="X59" t="str">
            <v/>
          </cell>
          <cell r="Y59" t="str">
            <v/>
          </cell>
          <cell r="Z59" t="str">
            <v>ROMI910617</v>
          </cell>
          <cell r="AA59" t="str">
            <v>DERMOCONSEJO</v>
          </cell>
          <cell r="AB59" t="str">
            <v>MUJER</v>
          </cell>
          <cell r="AC59">
            <v>330.576219178082</v>
          </cell>
          <cell r="AD59" t="str">
            <v/>
          </cell>
          <cell r="AE59" t="str">
            <v/>
          </cell>
          <cell r="AF59" t="str">
            <v>9712072095</v>
          </cell>
          <cell r="AG59" t="str">
            <v>OAX</v>
          </cell>
          <cell r="AH59">
            <v>0</v>
          </cell>
        </row>
        <row r="60">
          <cell r="A60">
            <v>388</v>
          </cell>
          <cell r="B60" t="str">
            <v>w9dqy2wz4o5mxe8</v>
          </cell>
          <cell r="C60" t="str">
            <v>BTL-DC-388</v>
          </cell>
          <cell r="D60" t="str">
            <v>6300</v>
          </cell>
          <cell r="E60" t="str">
            <v>maryfloruribe67@gmail.com</v>
          </cell>
          <cell r="F60" t="str">
            <v>LECA881105HDFNRL01</v>
          </cell>
          <cell r="G60" t="str">
            <v/>
          </cell>
          <cell r="H60" t="str">
            <v/>
          </cell>
          <cell r="I60" t="str">
            <v/>
          </cell>
          <cell r="J60" t="str">
            <v>HEROES 195 GUERRERO CUAUHTEMOC CP 6300 CIUDAD DE MÉXICO</v>
          </cell>
          <cell r="K60">
            <v>0</v>
          </cell>
          <cell r="L60" t="str">
            <v>ACTIVO</v>
          </cell>
          <cell r="M60" t="str">
            <v>SOLTERO/A</v>
          </cell>
          <cell r="N60" t="str">
            <v/>
          </cell>
          <cell r="O60" t="str">
            <v/>
          </cell>
          <cell r="P60" t="str">
            <v/>
          </cell>
          <cell r="Q60" t="str">
            <v>2024-11-20 00:00:00.000Z</v>
          </cell>
          <cell r="R60" t="str">
            <v>2024-11-20 00:00:00.000Z</v>
          </cell>
          <cell r="S60" t="str">
            <v>1988-11-05 00:00:00.000Z</v>
          </cell>
          <cell r="T60" t="str">
            <v>q62rnf7q6li1y2x</v>
          </cell>
          <cell r="U60" t="str">
            <v>DE LEON CORONA ALAN MAURICIO</v>
          </cell>
          <cell r="V60" t="str">
            <v>20058810928</v>
          </cell>
          <cell r="W60" t="str">
            <v>CIUDAD DE MEXICO</v>
          </cell>
          <cell r="X60" t="str">
            <v/>
          </cell>
          <cell r="Y60" t="str">
            <v/>
          </cell>
          <cell r="Z60" t="str">
            <v>LECA8811052R9</v>
          </cell>
          <cell r="AA60" t="str">
            <v>DERMOCONSEJO</v>
          </cell>
          <cell r="AB60" t="str">
            <v>HOMBRE</v>
          </cell>
          <cell r="AC60">
            <v>503.20164226364199</v>
          </cell>
          <cell r="AD60" t="str">
            <v/>
          </cell>
          <cell r="AE60" t="str">
            <v/>
          </cell>
          <cell r="AF60" t="str">
            <v>5627889409</v>
          </cell>
          <cell r="AG60" t="str">
            <v>CDMX</v>
          </cell>
          <cell r="AH60">
            <v>0</v>
          </cell>
        </row>
        <row r="61">
          <cell r="A61">
            <v>522</v>
          </cell>
          <cell r="B61" t="str">
            <v>w9dqy2wz4o5mxe8</v>
          </cell>
          <cell r="C61" t="str">
            <v>BTL-DC-522</v>
          </cell>
          <cell r="D61" t="str">
            <v>72490</v>
          </cell>
          <cell r="E61" t="str">
            <v>karlagiddi@gmail.com</v>
          </cell>
          <cell r="F61" t="str">
            <v>CAAK891211MPLRGR00</v>
          </cell>
          <cell r="G61" t="str">
            <v/>
          </cell>
          <cell r="H61" t="str">
            <v/>
          </cell>
          <cell r="I61" t="str">
            <v/>
          </cell>
          <cell r="J61" t="str">
            <v>BEGONIA 2G-2, INFONAVIT SAN RAMON, PUEBLA, CP 72490, PUEBLA</v>
          </cell>
          <cell r="K61">
            <v>0</v>
          </cell>
          <cell r="L61" t="str">
            <v>ACTIVO</v>
          </cell>
          <cell r="M61" t="str">
            <v>CASADO/A</v>
          </cell>
          <cell r="N61" t="str">
            <v/>
          </cell>
          <cell r="O61" t="str">
            <v/>
          </cell>
          <cell r="P61" t="str">
            <v/>
          </cell>
          <cell r="Q61" t="str">
            <v>2026-01-02 00:00:00.000Z</v>
          </cell>
          <cell r="R61" t="str">
            <v>2026-01-02 00:00:00.000Z</v>
          </cell>
          <cell r="S61" t="str">
            <v>1989-12-11 00:00:00.000Z</v>
          </cell>
          <cell r="T61" t="str">
            <v>3n83d10be95af1s</v>
          </cell>
          <cell r="U61" t="str">
            <v>DEL CARMEN AGUILAR KARLA GIDDIANI</v>
          </cell>
          <cell r="V61" t="str">
            <v>48118920254</v>
          </cell>
          <cell r="W61" t="str">
            <v>PUEBLA</v>
          </cell>
          <cell r="X61" t="str">
            <v/>
          </cell>
          <cell r="Y61" t="str">
            <v/>
          </cell>
          <cell r="Z61" t="str">
            <v>CAAK891211</v>
          </cell>
          <cell r="AA61" t="str">
            <v>DERMOCONSEJO</v>
          </cell>
          <cell r="AB61" t="str">
            <v>MUJER</v>
          </cell>
          <cell r="AC61">
            <v>330.576219178082</v>
          </cell>
          <cell r="AD61" t="str">
            <v/>
          </cell>
          <cell r="AE61" t="str">
            <v/>
          </cell>
          <cell r="AF61" t="str">
            <v>2211346829</v>
          </cell>
          <cell r="AG61" t="str">
            <v>PUEBLA</v>
          </cell>
          <cell r="AH61">
            <v>0</v>
          </cell>
        </row>
        <row r="62">
          <cell r="A62">
            <v>435</v>
          </cell>
          <cell r="B62" t="str">
            <v>w9dqy2wz4o5mxe8</v>
          </cell>
          <cell r="C62" t="str">
            <v>BTL-DC-435</v>
          </cell>
          <cell r="D62" t="str">
            <v>03700</v>
          </cell>
          <cell r="E62" t="str">
            <v>alcalajoel.07@gmail.com</v>
          </cell>
          <cell r="F62" t="str">
            <v>DIAJ740407HDFZLL04</v>
          </cell>
          <cell r="G62" t="str">
            <v/>
          </cell>
          <cell r="H62" t="str">
            <v/>
          </cell>
          <cell r="I62" t="str">
            <v/>
          </cell>
          <cell r="J62" t="str">
            <v>CDA.ANDREA DEL CASTAGNO #21 SANTA MARIA NONOALCO  BENITO  JUAREZ  CP 03700 CIUDAD DE MÉXICO</v>
          </cell>
          <cell r="K62">
            <v>0</v>
          </cell>
          <cell r="L62" t="str">
            <v>ACTIVO</v>
          </cell>
          <cell r="M62" t="str">
            <v>SOLTERO/A</v>
          </cell>
          <cell r="N62" t="str">
            <v/>
          </cell>
          <cell r="O62" t="str">
            <v/>
          </cell>
          <cell r="P62" t="str">
            <v/>
          </cell>
          <cell r="Q62" t="str">
            <v>2025-03-05 00:00:00.000Z</v>
          </cell>
          <cell r="R62" t="str">
            <v>2025-03-05 00:00:00.000Z</v>
          </cell>
          <cell r="S62" t="str">
            <v>1974-04-07 00:00:00.000Z</v>
          </cell>
          <cell r="T62" t="str">
            <v>0wh9s56129tk834</v>
          </cell>
          <cell r="U62" t="str">
            <v xml:space="preserve">DIAZ ALCALA JOEL </v>
          </cell>
          <cell r="V62" t="str">
            <v>28037400109</v>
          </cell>
          <cell r="W62" t="str">
            <v>CIUDAD DE MEXICO</v>
          </cell>
          <cell r="X62" t="str">
            <v/>
          </cell>
          <cell r="Y62" t="str">
            <v/>
          </cell>
          <cell r="Z62" t="str">
            <v>DIAJ740407JG3</v>
          </cell>
          <cell r="AA62" t="str">
            <v>DERMOCONSEJO</v>
          </cell>
          <cell r="AB62" t="str">
            <v>HOMBRE</v>
          </cell>
          <cell r="AC62">
            <v>557.05867819447496</v>
          </cell>
          <cell r="AD62" t="str">
            <v/>
          </cell>
          <cell r="AE62" t="str">
            <v/>
          </cell>
          <cell r="AF62" t="str">
            <v>5513443378</v>
          </cell>
          <cell r="AG62" t="str">
            <v>CDMX</v>
          </cell>
          <cell r="AH62">
            <v>0</v>
          </cell>
        </row>
        <row r="63">
          <cell r="A63">
            <v>506</v>
          </cell>
          <cell r="B63" t="str">
            <v>w9dqy2wz4o5mxe8</v>
          </cell>
          <cell r="C63" t="str">
            <v>BTL-DC-506</v>
          </cell>
          <cell r="D63" t="str">
            <v>09800</v>
          </cell>
          <cell r="E63" t="str">
            <v>zayaretdiazh@gmail.com</v>
          </cell>
          <cell r="F63" t="str">
            <v>DIHZ841202MDFZRY08</v>
          </cell>
          <cell r="G63" t="str">
            <v/>
          </cell>
          <cell r="H63" t="str">
            <v/>
          </cell>
          <cell r="I63" t="str">
            <v/>
          </cell>
          <cell r="J63" t="str">
            <v>MARTE #6 EL MIRADOR IZTAPALAPA CP 09800 CIUDAD DE MÉXICO</v>
          </cell>
          <cell r="K63">
            <v>0</v>
          </cell>
          <cell r="L63" t="str">
            <v>ACTIVO</v>
          </cell>
          <cell r="M63" t="str">
            <v>SOLTERO/A</v>
          </cell>
          <cell r="N63" t="str">
            <v/>
          </cell>
          <cell r="O63" t="str">
            <v/>
          </cell>
          <cell r="P63" t="str">
            <v/>
          </cell>
          <cell r="Q63" t="str">
            <v>2025-08-08 00:00:00.000Z</v>
          </cell>
          <cell r="R63" t="str">
            <v>2025-08-08 00:00:00.000Z</v>
          </cell>
          <cell r="S63" t="str">
            <v>1984-12-02 00:00:00.000Z</v>
          </cell>
          <cell r="T63" t="str">
            <v>94tcnd7c45kv1f6</v>
          </cell>
          <cell r="U63" t="str">
            <v xml:space="preserve">DÍAZ HERRERA ZAYARET </v>
          </cell>
          <cell r="V63" t="str">
            <v>45088412528</v>
          </cell>
          <cell r="W63" t="str">
            <v>CIUDAD DE MEXICO</v>
          </cell>
          <cell r="X63" t="str">
            <v/>
          </cell>
          <cell r="Y63" t="str">
            <v/>
          </cell>
          <cell r="Z63" t="str">
            <v>DIHZ8412024A5</v>
          </cell>
          <cell r="AA63" t="str">
            <v>DERMOCONSEJO</v>
          </cell>
          <cell r="AB63" t="str">
            <v>MUJER</v>
          </cell>
          <cell r="AC63">
            <v>533.93457983381995</v>
          </cell>
          <cell r="AD63" t="str">
            <v/>
          </cell>
          <cell r="AE63" t="str">
            <v/>
          </cell>
          <cell r="AF63" t="str">
            <v>5581505057</v>
          </cell>
          <cell r="AG63" t="str">
            <v>CDMX</v>
          </cell>
          <cell r="AH63">
            <v>0</v>
          </cell>
        </row>
        <row r="64">
          <cell r="A64">
            <v>32</v>
          </cell>
          <cell r="B64" t="str">
            <v>w9dqy2wz4o5mxe8</v>
          </cell>
          <cell r="C64" t="str">
            <v>BTL-DC-32</v>
          </cell>
          <cell r="D64" t="str">
            <v>43816</v>
          </cell>
          <cell r="E64" t="str">
            <v>marysusydv17@hotmail.com</v>
          </cell>
          <cell r="F64" t="str">
            <v>DUVJ700517MDFRLS08</v>
          </cell>
          <cell r="G64" t="str">
            <v/>
          </cell>
          <cell r="H64" t="str">
            <v/>
          </cell>
          <cell r="I64" t="str">
            <v/>
          </cell>
          <cell r="J64" t="str">
            <v>MARTINICA 32 DEP.186 TIZAYUCA HIDALGO  HIDALGO  CP 43816 CIUDAD DE MÉXICO</v>
          </cell>
          <cell r="K64">
            <v>0</v>
          </cell>
          <cell r="L64" t="str">
            <v>ACTIVO</v>
          </cell>
          <cell r="M64" t="str">
            <v>CASADO/A</v>
          </cell>
          <cell r="N64" t="str">
            <v/>
          </cell>
          <cell r="O64" t="str">
            <v/>
          </cell>
          <cell r="P64" t="str">
            <v/>
          </cell>
          <cell r="Q64" t="str">
            <v>2021-02-15 00:00:00.000Z</v>
          </cell>
          <cell r="R64" t="str">
            <v>2021-02-01 00:00:00.000Z</v>
          </cell>
          <cell r="S64" t="str">
            <v>1970-05-17 00:00:00.000Z</v>
          </cell>
          <cell r="T64" t="str">
            <v>1rp5u513rohsb0t</v>
          </cell>
          <cell r="U64" t="str">
            <v xml:space="preserve">DURAN VILLALOBOS MARIA DE JESUS </v>
          </cell>
          <cell r="V64" t="str">
            <v>37897035467</v>
          </cell>
          <cell r="W64" t="str">
            <v>CIUDAD DE MEXICO</v>
          </cell>
          <cell r="X64" t="str">
            <v/>
          </cell>
          <cell r="Y64" t="str">
            <v/>
          </cell>
          <cell r="Z64" t="str">
            <v>DUVJ700517A47</v>
          </cell>
          <cell r="AA64" t="str">
            <v>DERMOCONSEJO</v>
          </cell>
          <cell r="AB64" t="str">
            <v>MUJER</v>
          </cell>
          <cell r="AC64">
            <v>558.32252863238205</v>
          </cell>
          <cell r="AD64" t="str">
            <v/>
          </cell>
          <cell r="AE64" t="str">
            <v/>
          </cell>
          <cell r="AF64" t="str">
            <v>5533326626</v>
          </cell>
          <cell r="AG64" t="str">
            <v>CDMX</v>
          </cell>
          <cell r="AH64">
            <v>0</v>
          </cell>
        </row>
        <row r="65">
          <cell r="A65">
            <v>531</v>
          </cell>
          <cell r="B65" t="str">
            <v>w9dqy2wz4o5mxe8</v>
          </cell>
          <cell r="C65" t="str">
            <v>BTL-DC-531</v>
          </cell>
          <cell r="D65" t="str">
            <v>81238</v>
          </cell>
          <cell r="E65" t="str">
            <v>espinozabelen427@gmail.com</v>
          </cell>
          <cell r="F65" t="str">
            <v>EICB990809MSLSSL04</v>
          </cell>
          <cell r="G65" t="str">
            <v/>
          </cell>
          <cell r="H65" t="str">
            <v/>
          </cell>
          <cell r="I65" t="str">
            <v/>
          </cell>
          <cell r="J65" t="str">
            <v>ANTONIO LÓPEZ SAENZ 1765, JOSÉ ÁNGEL ESPINOZA FERRUSQUILLA, AHOME, CP 81238, SINALOA</v>
          </cell>
          <cell r="K65">
            <v>0</v>
          </cell>
          <cell r="L65" t="str">
            <v>ACTIVO</v>
          </cell>
          <cell r="M65" t="str">
            <v>SOLTERO/A</v>
          </cell>
          <cell r="N65" t="str">
            <v/>
          </cell>
          <cell r="O65" t="str">
            <v/>
          </cell>
          <cell r="P65" t="str">
            <v/>
          </cell>
          <cell r="Q65" t="str">
            <v>2026-01-08 00:00:00.000Z</v>
          </cell>
          <cell r="R65" t="str">
            <v>2026-01-08 00:00:00.000Z</v>
          </cell>
          <cell r="S65" t="str">
            <v>1999-08-09 00:00:00.000Z</v>
          </cell>
          <cell r="T65" t="str">
            <v>wo8rvt7788p3vo9</v>
          </cell>
          <cell r="U65" t="str">
            <v>ESPINOZA CASTRO BELEM GUADALUPE</v>
          </cell>
          <cell r="V65" t="str">
            <v>28169917300</v>
          </cell>
          <cell r="W65" t="str">
            <v>SINALOA</v>
          </cell>
          <cell r="X65" t="str">
            <v/>
          </cell>
          <cell r="Y65" t="str">
            <v/>
          </cell>
          <cell r="Z65" t="str">
            <v>EICB990809</v>
          </cell>
          <cell r="AA65" t="str">
            <v>DERMOCONSEJO</v>
          </cell>
          <cell r="AB65" t="str">
            <v>MUJER</v>
          </cell>
          <cell r="AC65">
            <v>340.49224657534199</v>
          </cell>
          <cell r="AD65" t="str">
            <v/>
          </cell>
          <cell r="AE65" t="str">
            <v/>
          </cell>
          <cell r="AF65" t="str">
            <v>6682553927</v>
          </cell>
          <cell r="AG65" t="str">
            <v>SINALOA</v>
          </cell>
          <cell r="AH65">
            <v>0</v>
          </cell>
        </row>
        <row r="66">
          <cell r="A66">
            <v>471</v>
          </cell>
          <cell r="B66" t="str">
            <v>w9dqy2wz4o5mxe8</v>
          </cell>
          <cell r="C66" t="str">
            <v>BTL-DC-471</v>
          </cell>
          <cell r="D66" t="str">
            <v>55210</v>
          </cell>
          <cell r="E66" t="str">
            <v>esmeraldaestrada0425@gmail.com</v>
          </cell>
          <cell r="F66" t="str">
            <v>EAAL940425MMCSGS08</v>
          </cell>
          <cell r="G66" t="str">
            <v/>
          </cell>
          <cell r="H66" t="str">
            <v/>
          </cell>
          <cell r="I66" t="str">
            <v/>
          </cell>
          <cell r="J66" t="str">
            <v>LEO 74   ESTRELLA  ECATEPEC DE MORELOS  CP 55210 MÉXICO</v>
          </cell>
          <cell r="K66">
            <v>0</v>
          </cell>
          <cell r="L66" t="str">
            <v>ACTIVO</v>
          </cell>
          <cell r="M66" t="str">
            <v>SOLTERO/A</v>
          </cell>
          <cell r="N66" t="str">
            <v/>
          </cell>
          <cell r="O66" t="str">
            <v/>
          </cell>
          <cell r="P66" t="str">
            <v/>
          </cell>
          <cell r="Q66" t="str">
            <v>2025-06-03 00:00:00.000Z</v>
          </cell>
          <cell r="R66" t="str">
            <v>2025-06-03 00:00:00.000Z</v>
          </cell>
          <cell r="S66" t="str">
            <v>1994-04-25 00:00:00.000Z</v>
          </cell>
          <cell r="T66" t="str">
            <v>5vn8gn1287w8l1r</v>
          </cell>
          <cell r="U66" t="str">
            <v xml:space="preserve">ESTRADA AGUIRRE LESLY ESMERALDA </v>
          </cell>
          <cell r="V66" t="str">
            <v>08169413708</v>
          </cell>
          <cell r="W66" t="str">
            <v>ESTADO DE MEXICO</v>
          </cell>
          <cell r="X66" t="str">
            <v/>
          </cell>
          <cell r="Y66" t="str">
            <v/>
          </cell>
          <cell r="Z66" t="str">
            <v>EAAL940425TY8</v>
          </cell>
          <cell r="AA66" t="str">
            <v>DERMOCONSEJO</v>
          </cell>
          <cell r="AB66" t="str">
            <v>MUJER</v>
          </cell>
          <cell r="AC66">
            <v>437.76162901414699</v>
          </cell>
          <cell r="AD66" t="str">
            <v/>
          </cell>
          <cell r="AE66" t="str">
            <v/>
          </cell>
          <cell r="AF66" t="str">
            <v>5618336529</v>
          </cell>
          <cell r="AG66" t="str">
            <v>CDMX</v>
          </cell>
          <cell r="AH66">
            <v>0</v>
          </cell>
        </row>
        <row r="67">
          <cell r="A67">
            <v>449</v>
          </cell>
          <cell r="B67" t="str">
            <v>w9dqy2wz4o5mxe8</v>
          </cell>
          <cell r="C67" t="str">
            <v>BTL-DC-449</v>
          </cell>
          <cell r="D67" t="str">
            <v>15290</v>
          </cell>
          <cell r="E67" t="str">
            <v>jessi29fabila@gmail.com</v>
          </cell>
          <cell r="F67" t="str">
            <v>FAHJ881029MMCBRS08</v>
          </cell>
          <cell r="G67" t="str">
            <v/>
          </cell>
          <cell r="H67" t="str">
            <v/>
          </cell>
          <cell r="I67" t="str">
            <v/>
          </cell>
          <cell r="J67" t="str">
            <v>SAN CIPRIAN 10 10 DE MAYO  VENUSTIANO CARRANZA  CP 15290 CIUDAD DE MÉXICO</v>
          </cell>
          <cell r="K67">
            <v>0</v>
          </cell>
          <cell r="L67" t="str">
            <v>ACTIVO</v>
          </cell>
          <cell r="M67" t="str">
            <v>SOLTERO/A</v>
          </cell>
          <cell r="N67" t="str">
            <v/>
          </cell>
          <cell r="O67" t="str">
            <v/>
          </cell>
          <cell r="P67" t="str">
            <v/>
          </cell>
          <cell r="Q67" t="str">
            <v>2025-04-08 00:00:00.000Z</v>
          </cell>
          <cell r="R67" t="str">
            <v>2025-04-08 00:00:00.000Z</v>
          </cell>
          <cell r="S67" t="str">
            <v>1988-10-29 00:00:00.000Z</v>
          </cell>
          <cell r="T67" t="str">
            <v>t8f4mjf92dr7340</v>
          </cell>
          <cell r="U67" t="str">
            <v xml:space="preserve">FABILA HERNANDEZ JESSICA </v>
          </cell>
          <cell r="V67" t="str">
            <v>90068823526</v>
          </cell>
          <cell r="W67" t="str">
            <v>ESTADO DE MEXICO</v>
          </cell>
          <cell r="X67" t="str">
            <v/>
          </cell>
          <cell r="Y67" t="str">
            <v/>
          </cell>
          <cell r="Z67" t="str">
            <v>FAHJ881029DZ9</v>
          </cell>
          <cell r="AA67" t="str">
            <v>DERMOCONSEJO</v>
          </cell>
          <cell r="AB67" t="str">
            <v>MUJER</v>
          </cell>
          <cell r="AC67">
            <v>581.65736671906495</v>
          </cell>
          <cell r="AD67" t="str">
            <v/>
          </cell>
          <cell r="AE67" t="str">
            <v/>
          </cell>
          <cell r="AF67" t="str">
            <v>5618596418</v>
          </cell>
          <cell r="AG67" t="str">
            <v>CDMX</v>
          </cell>
          <cell r="AH67">
            <v>0</v>
          </cell>
        </row>
        <row r="68">
          <cell r="A68">
            <v>58</v>
          </cell>
          <cell r="B68" t="str">
            <v>w9dqy2wz4o5mxe8</v>
          </cell>
          <cell r="C68" t="str">
            <v>BTL-DC-58</v>
          </cell>
          <cell r="D68" t="str">
            <v>53428</v>
          </cell>
          <cell r="E68" t="str">
            <v>flakis01799@gmail.com</v>
          </cell>
          <cell r="F68" t="str">
            <v>FECH780120MSPLRD01</v>
          </cell>
          <cell r="G68" t="str">
            <v/>
          </cell>
          <cell r="H68" t="str">
            <v/>
          </cell>
          <cell r="I68" t="str">
            <v/>
          </cell>
          <cell r="J68" t="str">
            <v>CANADA 60 MÉXICO 86 NAUCALPAN DE JUÁREZ  CP 53428 MÉXICO</v>
          </cell>
          <cell r="K68">
            <v>0</v>
          </cell>
          <cell r="L68" t="str">
            <v>ACTIVO</v>
          </cell>
          <cell r="M68" t="str">
            <v>SOLTERO/A</v>
          </cell>
          <cell r="N68" t="str">
            <v/>
          </cell>
          <cell r="O68" t="str">
            <v/>
          </cell>
          <cell r="P68" t="str">
            <v/>
          </cell>
          <cell r="Q68" t="str">
            <v>2022-01-01 00:00:00.000Z</v>
          </cell>
          <cell r="R68" t="str">
            <v>2022-01-02 00:00:00.000Z</v>
          </cell>
          <cell r="S68" t="str">
            <v>1978-01-20 00:00:00.000Z</v>
          </cell>
          <cell r="T68" t="str">
            <v>pyh64b0c97bvrnm</v>
          </cell>
          <cell r="U68" t="str">
            <v xml:space="preserve">FELIX CRUZ HEIDI </v>
          </cell>
          <cell r="V68" t="str">
            <v>90957804421</v>
          </cell>
          <cell r="W68" t="str">
            <v>SAN LUIS POTOSI</v>
          </cell>
          <cell r="X68" t="str">
            <v/>
          </cell>
          <cell r="Y68" t="str">
            <v/>
          </cell>
          <cell r="Z68" t="str">
            <v>FECH7801209H0</v>
          </cell>
          <cell r="AA68" t="str">
            <v>DERMOCONSEJO</v>
          </cell>
          <cell r="AB68" t="str">
            <v>MUJER</v>
          </cell>
          <cell r="AC68">
            <v>562.37400404221796</v>
          </cell>
          <cell r="AD68" t="str">
            <v/>
          </cell>
          <cell r="AE68" t="str">
            <v/>
          </cell>
          <cell r="AF68" t="str">
            <v>5564752225</v>
          </cell>
          <cell r="AG68" t="str">
            <v>CDMX</v>
          </cell>
          <cell r="AH68">
            <v>0</v>
          </cell>
        </row>
        <row r="69">
          <cell r="A69">
            <v>547</v>
          </cell>
          <cell r="B69" t="str">
            <v>w9dqy2wz4o5mxe8</v>
          </cell>
          <cell r="C69" t="str">
            <v>BTL-DC-547</v>
          </cell>
          <cell r="D69" t="str">
            <v>1410</v>
          </cell>
          <cell r="E69" t="str">
            <v>deyaridaurena@gmail.com</v>
          </cell>
          <cell r="F69" t="str">
            <v>FOUD820713MDFLRY03</v>
          </cell>
          <cell r="G69" t="str">
            <v/>
          </cell>
          <cell r="H69" t="str">
            <v/>
          </cell>
          <cell r="I69" t="str">
            <v/>
          </cell>
          <cell r="J69" t="str">
            <v>JUAREZ 43 HAB BAJ 1 CALLEJON DEL ARTISTA BARRIO NORTE VMC. C.P. 01410 CIUDAD DE MEXICO, CDMX</v>
          </cell>
          <cell r="K69">
            <v>0</v>
          </cell>
          <cell r="L69" t="str">
            <v>ACTIVO</v>
          </cell>
          <cell r="M69" t="str">
            <v>SOLTERO/A</v>
          </cell>
          <cell r="N69" t="str">
            <v/>
          </cell>
          <cell r="O69" t="str">
            <v/>
          </cell>
          <cell r="P69" t="str">
            <v/>
          </cell>
          <cell r="Q69" t="str">
            <v>2026-01-12 00:00:00.000Z</v>
          </cell>
          <cell r="R69" t="str">
            <v>2026-01-12 00:00:00.000Z</v>
          </cell>
          <cell r="S69" t="str">
            <v>1982-06-13 00:00:00.000Z</v>
          </cell>
          <cell r="T69" t="str">
            <v>56542553x4f31v9</v>
          </cell>
          <cell r="U69" t="str">
            <v>FLORES UREÑA DEYARIDA</v>
          </cell>
          <cell r="V69" t="str">
            <v>09998275417</v>
          </cell>
          <cell r="W69" t="str">
            <v>CIUDAD DE MEXICO</v>
          </cell>
          <cell r="X69" t="str">
            <v/>
          </cell>
          <cell r="Y69" t="str">
            <v/>
          </cell>
          <cell r="Z69" t="str">
            <v>FOUD820713JW7</v>
          </cell>
          <cell r="AA69" t="str">
            <v>DERMOCONSEJO</v>
          </cell>
          <cell r="AB69" t="str">
            <v>MUJER</v>
          </cell>
          <cell r="AC69">
            <v>330.576219178082</v>
          </cell>
          <cell r="AD69" t="str">
            <v/>
          </cell>
          <cell r="AE69" t="str">
            <v/>
          </cell>
          <cell r="AF69" t="str">
            <v>5635545552</v>
          </cell>
          <cell r="AG69" t="str">
            <v>CDMX</v>
          </cell>
          <cell r="AH69">
            <v>0</v>
          </cell>
        </row>
        <row r="70">
          <cell r="A70">
            <v>517</v>
          </cell>
          <cell r="B70" t="str">
            <v>w9dqy2wz4o5mxe8</v>
          </cell>
          <cell r="C70" t="str">
            <v>BTL-DC-517</v>
          </cell>
          <cell r="D70" t="str">
            <v>77517</v>
          </cell>
          <cell r="E70" t="str">
            <v>esmema827@gmail.com</v>
          </cell>
          <cell r="F70" t="str">
            <v>ROGG921211MTCDRD06</v>
          </cell>
          <cell r="G70" t="str">
            <v/>
          </cell>
          <cell r="H70" t="str">
            <v/>
          </cell>
          <cell r="I70" t="str">
            <v/>
          </cell>
          <cell r="J70" t="str">
            <v>PASEO DE FRAMBUESAS 20 VILLAS DEL MAR 3  BENITO JUÁREZ  CP 77517 QUINTANA ROO</v>
          </cell>
          <cell r="K70">
            <v>0</v>
          </cell>
          <cell r="L70" t="str">
            <v>ACTIVO</v>
          </cell>
          <cell r="M70" t="str">
            <v>SOLTERO/A</v>
          </cell>
          <cell r="N70" t="str">
            <v/>
          </cell>
          <cell r="O70" t="str">
            <v/>
          </cell>
          <cell r="P70" t="str">
            <v/>
          </cell>
          <cell r="Q70" t="str">
            <v>2025-10-23 00:00:00.000Z</v>
          </cell>
          <cell r="R70" t="str">
            <v>2025-10-23 00:00:00.000Z</v>
          </cell>
          <cell r="S70" t="str">
            <v>1992-12-11 00:00:00.000Z</v>
          </cell>
          <cell r="T70" t="str">
            <v>93f7uq3urn6rpn4</v>
          </cell>
          <cell r="U70" t="str">
            <v xml:space="preserve">RODRIGUEZ GARCIA GUADALUPE </v>
          </cell>
          <cell r="V70" t="str">
            <v>82119217766</v>
          </cell>
          <cell r="W70" t="str">
            <v>TABASCO</v>
          </cell>
          <cell r="X70" t="str">
            <v/>
          </cell>
          <cell r="Y70" t="str">
            <v/>
          </cell>
          <cell r="Z70" t="str">
            <v>ROGG921211QJA</v>
          </cell>
          <cell r="AA70" t="str">
            <v>DERMOCONSEJO</v>
          </cell>
          <cell r="AB70" t="str">
            <v>MUJER</v>
          </cell>
          <cell r="AC70">
            <v>543.92600718616598</v>
          </cell>
          <cell r="AD70" t="str">
            <v/>
          </cell>
          <cell r="AE70" t="str">
            <v/>
          </cell>
          <cell r="AF70" t="str">
            <v>9982163192</v>
          </cell>
          <cell r="AG70" t="str">
            <v>CANCUN</v>
          </cell>
          <cell r="AH70">
            <v>0</v>
          </cell>
        </row>
        <row r="71">
          <cell r="A71">
            <v>94</v>
          </cell>
          <cell r="B71" t="str">
            <v>w9dqy2wz4o5mxe8</v>
          </cell>
          <cell r="C71" t="str">
            <v>BTL-DC-94</v>
          </cell>
          <cell r="D71" t="str">
            <v>07240</v>
          </cell>
          <cell r="E71" t="str">
            <v>maryfloruribe67@gmail.com</v>
          </cell>
          <cell r="F71" t="str">
            <v>FOUC800211MDFLRR08</v>
          </cell>
          <cell r="G71" t="str">
            <v/>
          </cell>
          <cell r="H71" t="str">
            <v/>
          </cell>
          <cell r="I71" t="str">
            <v/>
          </cell>
          <cell r="J71" t="str">
            <v>CUAUTEPEC LT 3 ARBOLILLO  GAM CP 07240 CIUDAD DE MÉXICO</v>
          </cell>
          <cell r="K71">
            <v>0</v>
          </cell>
          <cell r="L71" t="str">
            <v>ACTIVO</v>
          </cell>
          <cell r="M71" t="str">
            <v>SOLTERO/A</v>
          </cell>
          <cell r="N71" t="str">
            <v/>
          </cell>
          <cell r="O71" t="str">
            <v/>
          </cell>
          <cell r="P71" t="str">
            <v/>
          </cell>
          <cell r="Q71" t="str">
            <v>2022-09-01 00:00:00.000Z</v>
          </cell>
          <cell r="R71" t="str">
            <v>2022-09-01 00:00:00.000Z</v>
          </cell>
          <cell r="S71" t="str">
            <v>1980-02-11 00:00:00.000Z</v>
          </cell>
          <cell r="T71" t="str">
            <v>hpaon0141n31n95</v>
          </cell>
          <cell r="U71" t="str">
            <v xml:space="preserve">FLORES URIBE MARIA DEL CARMEN ELIZABETH </v>
          </cell>
          <cell r="V71" t="str">
            <v>01008009928</v>
          </cell>
          <cell r="W71" t="str">
            <v>CIUDAD DE MEXICO</v>
          </cell>
          <cell r="X71" t="str">
            <v/>
          </cell>
          <cell r="Y71" t="str">
            <v/>
          </cell>
          <cell r="Z71" t="str">
            <v>FOUC8002114X4</v>
          </cell>
          <cell r="AA71" t="str">
            <v>DERMOCONSEJO</v>
          </cell>
          <cell r="AB71" t="str">
            <v>MUJER</v>
          </cell>
          <cell r="AC71">
            <v>539.95234246575296</v>
          </cell>
          <cell r="AD71" t="str">
            <v/>
          </cell>
          <cell r="AE71" t="str">
            <v/>
          </cell>
          <cell r="AF71" t="str">
            <v>5566842716</v>
          </cell>
          <cell r="AG71" t="str">
            <v>CDMX</v>
          </cell>
          <cell r="AH71">
            <v>0</v>
          </cell>
        </row>
        <row r="72">
          <cell r="A72">
            <v>402</v>
          </cell>
          <cell r="B72" t="str">
            <v>w9dqy2wz4o5mxe8</v>
          </cell>
          <cell r="C72" t="str">
            <v>BTL-DC-402</v>
          </cell>
          <cell r="D72" t="str">
            <v>09720</v>
          </cell>
          <cell r="E72" t="str">
            <v>yazminfonsecamares@gmail.com</v>
          </cell>
          <cell r="F72" t="str">
            <v>FOMY870419MDFNRZ08</v>
          </cell>
          <cell r="G72" t="str">
            <v/>
          </cell>
          <cell r="H72" t="str">
            <v/>
          </cell>
          <cell r="I72" t="str">
            <v/>
          </cell>
          <cell r="J72" t="str">
            <v>MINA EL VERDE #15 FRANCISCO VILLA  IZTAPALAPA  CP 09720 CIUDAD DE MÉXICO</v>
          </cell>
          <cell r="K72">
            <v>0</v>
          </cell>
          <cell r="L72" t="str">
            <v>ACTIVO</v>
          </cell>
          <cell r="M72" t="str">
            <v>SOLTERO/A</v>
          </cell>
          <cell r="N72" t="str">
            <v/>
          </cell>
          <cell r="O72" t="str">
            <v/>
          </cell>
          <cell r="P72" t="str">
            <v/>
          </cell>
          <cell r="Q72" t="str">
            <v>2025-01-03 00:00:00.000Z</v>
          </cell>
          <cell r="R72" t="str">
            <v>2025-01-03 00:00:00.000Z</v>
          </cell>
          <cell r="S72" t="str">
            <v>1987-04-19 00:00:00.000Z</v>
          </cell>
          <cell r="T72" t="str">
            <v>ccq4bey86rb2e9p</v>
          </cell>
          <cell r="U72" t="str">
            <v>FONSECA MARES YAZMIN</v>
          </cell>
          <cell r="V72" t="str">
            <v>45068754063</v>
          </cell>
          <cell r="W72" t="str">
            <v>CIUDAD DE MEXICO</v>
          </cell>
          <cell r="X72" t="str">
            <v/>
          </cell>
          <cell r="Y72" t="str">
            <v/>
          </cell>
          <cell r="Z72" t="str">
            <v>FOMY870419FP9</v>
          </cell>
          <cell r="AA72" t="str">
            <v>DERMOCONSEJO</v>
          </cell>
          <cell r="AB72" t="str">
            <v>MUJER</v>
          </cell>
          <cell r="AC72">
            <v>700.15541275544501</v>
          </cell>
          <cell r="AD72" t="str">
            <v/>
          </cell>
          <cell r="AE72" t="str">
            <v/>
          </cell>
          <cell r="AF72" t="str">
            <v>5941233435</v>
          </cell>
          <cell r="AG72" t="str">
            <v>CDMX</v>
          </cell>
          <cell r="AH72">
            <v>0</v>
          </cell>
        </row>
        <row r="73">
          <cell r="A73">
            <v>172</v>
          </cell>
          <cell r="B73" t="str">
            <v>w9dqy2wz4o5mxe8</v>
          </cell>
          <cell r="C73" t="str">
            <v>BTL-DC-172</v>
          </cell>
          <cell r="D73" t="str">
            <v>55635</v>
          </cell>
          <cell r="E73" t="str">
            <v>cardenasmartha792@gmail.com</v>
          </cell>
          <cell r="F73" t="str">
            <v>FAAM730930MDFRLR09</v>
          </cell>
          <cell r="G73" t="str">
            <v/>
          </cell>
          <cell r="H73" t="str">
            <v/>
          </cell>
          <cell r="I73" t="str">
            <v/>
          </cell>
          <cell r="J73" t="str">
            <v>FRANCIA 102 BUENAVISTA ZUMPANGO  CP 55635 MÉXICO</v>
          </cell>
          <cell r="K73">
            <v>0</v>
          </cell>
          <cell r="L73" t="str">
            <v>ACTIVO</v>
          </cell>
          <cell r="M73" t="str">
            <v>SOLTERO/A</v>
          </cell>
          <cell r="N73" t="str">
            <v/>
          </cell>
          <cell r="O73" t="str">
            <v/>
          </cell>
          <cell r="P73" t="str">
            <v/>
          </cell>
          <cell r="Q73" t="str">
            <v>2023-04-18 00:00:00.000Z</v>
          </cell>
          <cell r="R73" t="str">
            <v>2023-04-17 00:00:00.000Z</v>
          </cell>
          <cell r="S73" t="str">
            <v>1973-09-30 00:00:00.000Z</v>
          </cell>
          <cell r="T73" t="str">
            <v>u974q5kkylw88hi</v>
          </cell>
          <cell r="U73" t="str">
            <v xml:space="preserve">FRANCHINI ALVAREZ MARTHA NAYALID </v>
          </cell>
          <cell r="V73" t="str">
            <v>07917304888</v>
          </cell>
          <cell r="W73" t="str">
            <v>CIUDAD DE MEXICO</v>
          </cell>
          <cell r="X73" t="str">
            <v/>
          </cell>
          <cell r="Y73" t="str">
            <v/>
          </cell>
          <cell r="Z73" t="str">
            <v>FAAM730930AT0</v>
          </cell>
          <cell r="AA73" t="str">
            <v>DERMOCONSEJO</v>
          </cell>
          <cell r="AB73" t="str">
            <v>MUJER</v>
          </cell>
          <cell r="AC73">
            <v>611.49986121715597</v>
          </cell>
          <cell r="AD73" t="str">
            <v/>
          </cell>
          <cell r="AE73" t="str">
            <v/>
          </cell>
          <cell r="AF73" t="str">
            <v>5580844094</v>
          </cell>
          <cell r="AG73" t="str">
            <v>CDMX</v>
          </cell>
          <cell r="AH73">
            <v>0</v>
          </cell>
        </row>
        <row r="74">
          <cell r="A74">
            <v>29</v>
          </cell>
          <cell r="B74" t="str">
            <v>w9dqy2wz4o5mxe8</v>
          </cell>
          <cell r="C74" t="str">
            <v>BTL-DC-29</v>
          </cell>
          <cell r="D74" t="str">
            <v>55040</v>
          </cell>
          <cell r="E74" t="str">
            <v>viri17090703@gmail.com</v>
          </cell>
          <cell r="F74" t="str">
            <v>FUHV920205MMCNRR09</v>
          </cell>
          <cell r="G74" t="str">
            <v/>
          </cell>
          <cell r="H74" t="str">
            <v/>
          </cell>
          <cell r="I74" t="str">
            <v/>
          </cell>
          <cell r="J74" t="str">
            <v>CERRADA DE VÍA MORELOS #32 INTERIOR 22  SAN JUAN ALCAHUACAN  SAN CRISTÓBAL ECATEPEC  CP 55040 MÉXICO</v>
          </cell>
          <cell r="K74">
            <v>0</v>
          </cell>
          <cell r="L74" t="str">
            <v>ACTIVO</v>
          </cell>
          <cell r="M74" t="str">
            <v>SOLTERO/A</v>
          </cell>
          <cell r="N74" t="str">
            <v/>
          </cell>
          <cell r="O74" t="str">
            <v/>
          </cell>
          <cell r="P74" t="str">
            <v/>
          </cell>
          <cell r="Q74" t="str">
            <v>2021-01-01 00:00:00.000Z</v>
          </cell>
          <cell r="R74" t="str">
            <v>2020-07-01 00:00:00.000Z</v>
          </cell>
          <cell r="S74" t="str">
            <v>1992-02-05 00:00:00.000Z</v>
          </cell>
          <cell r="T74" t="str">
            <v>u6v2b6z398ycely</v>
          </cell>
          <cell r="U74" t="str">
            <v xml:space="preserve">FUENTES HERNÁNDEZ VIRIDIANA </v>
          </cell>
          <cell r="V74" t="str">
            <v>94109205966</v>
          </cell>
          <cell r="W74" t="str">
            <v>ESTADO DE MEXICO</v>
          </cell>
          <cell r="X74" t="str">
            <v/>
          </cell>
          <cell r="Y74" t="str">
            <v/>
          </cell>
          <cell r="Z74" t="str">
            <v>FUHV9202052Q2</v>
          </cell>
          <cell r="AA74" t="str">
            <v>DERMOCONSEJO</v>
          </cell>
          <cell r="AB74" t="str">
            <v>MUJER</v>
          </cell>
          <cell r="AC74">
            <v>572.63976397933902</v>
          </cell>
          <cell r="AD74" t="str">
            <v/>
          </cell>
          <cell r="AE74" t="str">
            <v/>
          </cell>
          <cell r="AF74" t="str">
            <v>5634645621</v>
          </cell>
          <cell r="AG74" t="str">
            <v>CDMX</v>
          </cell>
          <cell r="AH74">
            <v>0</v>
          </cell>
        </row>
        <row r="75">
          <cell r="A75">
            <v>51</v>
          </cell>
          <cell r="B75" t="str">
            <v>w9dqy2wz4o5mxe8</v>
          </cell>
          <cell r="C75" t="str">
            <v>BTL-DC-51</v>
          </cell>
          <cell r="D75" t="str">
            <v>44770</v>
          </cell>
          <cell r="E75" t="str">
            <v>almag6302@gmail.com</v>
          </cell>
          <cell r="F75" t="str">
            <v>GAGA860212MJCRNL00</v>
          </cell>
          <cell r="G75" t="str">
            <v/>
          </cell>
          <cell r="H75" t="str">
            <v/>
          </cell>
          <cell r="I75" t="str">
            <v/>
          </cell>
          <cell r="J75" t="str">
            <v>BETLEHEM 3296 LAGOS DE ORIENTE GUADALAJARA  CP 44770 JALISCO</v>
          </cell>
          <cell r="K75">
            <v>0</v>
          </cell>
          <cell r="L75" t="str">
            <v>ACTIVO</v>
          </cell>
          <cell r="M75" t="str">
            <v>SOLTERO/A</v>
          </cell>
          <cell r="N75" t="str">
            <v/>
          </cell>
          <cell r="O75" t="str">
            <v/>
          </cell>
          <cell r="P75" t="str">
            <v/>
          </cell>
          <cell r="Q75" t="str">
            <v>2021-10-18 00:00:00.000Z</v>
          </cell>
          <cell r="R75" t="str">
            <v>2021-09-14 00:00:00.000Z</v>
          </cell>
          <cell r="S75" t="str">
            <v>1986-02-12 00:00:00.000Z</v>
          </cell>
          <cell r="T75" t="str">
            <v>w7sd9z880z90mg6</v>
          </cell>
          <cell r="U75" t="str">
            <v>GARCIA GONZALEZ ALMA PATRICIA</v>
          </cell>
          <cell r="V75" t="str">
            <v>04058646250</v>
          </cell>
          <cell r="W75" t="str">
            <v>JALISCO</v>
          </cell>
          <cell r="X75" t="str">
            <v/>
          </cell>
          <cell r="Y75" t="str">
            <v/>
          </cell>
          <cell r="Z75" t="str">
            <v>GAGA860212KH4</v>
          </cell>
          <cell r="AA75" t="str">
            <v>DERMOCONSEJO</v>
          </cell>
          <cell r="AB75" t="str">
            <v>MUJER</v>
          </cell>
          <cell r="AC75">
            <v>662.27351223894004</v>
          </cell>
          <cell r="AD75" t="str">
            <v/>
          </cell>
          <cell r="AE75" t="str">
            <v/>
          </cell>
          <cell r="AF75" t="str">
            <v>3321704104</v>
          </cell>
          <cell r="AG75" t="str">
            <v>GDL</v>
          </cell>
          <cell r="AH75">
            <v>0</v>
          </cell>
        </row>
        <row r="76">
          <cell r="A76">
            <v>105</v>
          </cell>
          <cell r="B76" t="str">
            <v>w9dqy2wz4o5mxe8</v>
          </cell>
          <cell r="C76" t="str">
            <v>BTL-DC-105</v>
          </cell>
          <cell r="D76" t="str">
            <v>55712</v>
          </cell>
          <cell r="E76" t="str">
            <v>anab.g126@gmail.com</v>
          </cell>
          <cell r="F76" t="str">
            <v>GAGA730219MDFRNN08</v>
          </cell>
          <cell r="G76" t="str">
            <v/>
          </cell>
          <cell r="H76" t="str">
            <v/>
          </cell>
          <cell r="I76" t="str">
            <v/>
          </cell>
          <cell r="J76" t="str">
            <v>JUAN DIEGO MZA16 LT 1 CS10 LOS HEROES COACALCO COACALCO  CP 55712 CIUDAD DE MÉXICO</v>
          </cell>
          <cell r="K76">
            <v>0</v>
          </cell>
          <cell r="L76" t="str">
            <v>ACTIVO</v>
          </cell>
          <cell r="M76" t="str">
            <v>SOLTERO/A</v>
          </cell>
          <cell r="N76" t="str">
            <v/>
          </cell>
          <cell r="O76" t="str">
            <v/>
          </cell>
          <cell r="P76" t="str">
            <v/>
          </cell>
          <cell r="Q76" t="str">
            <v>2022-10-12 00:00:00.000Z</v>
          </cell>
          <cell r="R76" t="str">
            <v>2022-10-13 00:00:00.000Z</v>
          </cell>
          <cell r="S76" t="str">
            <v>1973-02-19 00:00:00.000Z</v>
          </cell>
          <cell r="T76" t="str">
            <v>aa6wy2u0nml8o39</v>
          </cell>
          <cell r="U76" t="str">
            <v>GARCIA GONZALEZ ANA BERTHA</v>
          </cell>
          <cell r="V76" t="str">
            <v>28947311032</v>
          </cell>
          <cell r="W76" t="str">
            <v>CIUDAD DE MEXICO</v>
          </cell>
          <cell r="X76" t="str">
            <v/>
          </cell>
          <cell r="Y76" t="str">
            <v/>
          </cell>
          <cell r="Z76" t="str">
            <v>GAGA7302198T8</v>
          </cell>
          <cell r="AA76" t="str">
            <v>DERMOCONSEJO</v>
          </cell>
          <cell r="AB76" t="str">
            <v>MUJER</v>
          </cell>
          <cell r="AC76">
            <v>578.72955558050705</v>
          </cell>
          <cell r="AD76" t="str">
            <v/>
          </cell>
          <cell r="AE76" t="str">
            <v/>
          </cell>
          <cell r="AF76" t="str">
            <v>5560783178</v>
          </cell>
          <cell r="AG76" t="str">
            <v>CDMX</v>
          </cell>
          <cell r="AH76">
            <v>0</v>
          </cell>
        </row>
        <row r="77">
          <cell r="A77">
            <v>185</v>
          </cell>
          <cell r="B77" t="str">
            <v>w9dqy2wz4o5mxe8</v>
          </cell>
          <cell r="C77" t="str">
            <v>BTL-DC-185</v>
          </cell>
          <cell r="D77" t="str">
            <v>64117</v>
          </cell>
          <cell r="E77" t="str">
            <v>argeliaguerrero918@gmail.com</v>
          </cell>
          <cell r="F77" t="str">
            <v>GAGA750324MNLRRR05</v>
          </cell>
          <cell r="G77" t="str">
            <v/>
          </cell>
          <cell r="H77" t="str">
            <v/>
          </cell>
          <cell r="I77" t="str">
            <v/>
          </cell>
          <cell r="J77" t="str">
            <v>CUERVO#5383 VALLE VERDE 2 SECTOR MTY CP 64117 NUEVO LEÓN</v>
          </cell>
          <cell r="K77">
            <v>0</v>
          </cell>
          <cell r="L77" t="str">
            <v>ACTIVO</v>
          </cell>
          <cell r="M77" t="str">
            <v>CASADO/A</v>
          </cell>
          <cell r="N77" t="str">
            <v/>
          </cell>
          <cell r="O77" t="str">
            <v/>
          </cell>
          <cell r="P77" t="str">
            <v/>
          </cell>
          <cell r="Q77" t="str">
            <v>2023-07-21 00:00:00.000Z</v>
          </cell>
          <cell r="R77" t="str">
            <v>2023-07-29 00:00:00.000Z</v>
          </cell>
          <cell r="S77" t="str">
            <v>1975-03-04 00:00:00.000Z</v>
          </cell>
          <cell r="T77" t="str">
            <v>sn0iveov7ze38z0</v>
          </cell>
          <cell r="U77" t="str">
            <v xml:space="preserve">GARCIA GUERRERO ARGELIA </v>
          </cell>
          <cell r="V77" t="str">
            <v>03927548408</v>
          </cell>
          <cell r="W77" t="str">
            <v>NUEVO LEON</v>
          </cell>
          <cell r="X77" t="str">
            <v/>
          </cell>
          <cell r="Y77" t="str">
            <v/>
          </cell>
          <cell r="Z77" t="str">
            <v>GAGA750324AI8</v>
          </cell>
          <cell r="AA77" t="str">
            <v>DERMOCONSEJO</v>
          </cell>
          <cell r="AB77" t="str">
            <v>MUJER</v>
          </cell>
          <cell r="AC77">
            <v>587.94133662699301</v>
          </cell>
          <cell r="AD77" t="str">
            <v/>
          </cell>
          <cell r="AE77" t="str">
            <v/>
          </cell>
          <cell r="AF77" t="str">
            <v>8136351543</v>
          </cell>
          <cell r="AG77" t="str">
            <v>MTY</v>
          </cell>
          <cell r="AH77">
            <v>0</v>
          </cell>
        </row>
        <row r="78">
          <cell r="A78">
            <v>46</v>
          </cell>
          <cell r="B78" t="str">
            <v>w9dqy2wz4o5mxe8</v>
          </cell>
          <cell r="C78" t="str">
            <v>BTL-DC-46</v>
          </cell>
          <cell r="D78" t="str">
            <v>07089</v>
          </cell>
          <cell r="E78" t="str">
            <v>liliana08garciatolentino@gmail.com</v>
          </cell>
          <cell r="F78" t="str">
            <v>GATL740407MDFRLL06</v>
          </cell>
          <cell r="G78" t="str">
            <v/>
          </cell>
          <cell r="H78" t="str">
            <v/>
          </cell>
          <cell r="I78" t="str">
            <v/>
          </cell>
          <cell r="J78" t="str">
            <v>ABRAHAM CASTELLANOS MZ 28 LT 11 AMPLIACIÓN GABRIEL HERNÁNDEZ  GUSTAVO A. MADERO CP 07089 CIUDAD DE MÉXICO</v>
          </cell>
          <cell r="K78">
            <v>0</v>
          </cell>
          <cell r="L78" t="str">
            <v>ACTIVO</v>
          </cell>
          <cell r="M78" t="str">
            <v>SOLTERO/A</v>
          </cell>
          <cell r="N78" t="str">
            <v/>
          </cell>
          <cell r="O78" t="str">
            <v/>
          </cell>
          <cell r="P78" t="str">
            <v/>
          </cell>
          <cell r="Q78" t="str">
            <v>2021-05-28 00:00:00.000Z</v>
          </cell>
          <cell r="R78" t="str">
            <v>2021-05-01 00:00:00.000Z</v>
          </cell>
          <cell r="S78" t="str">
            <v>1974-04-07 00:00:00.000Z</v>
          </cell>
          <cell r="T78" t="str">
            <v>bzq6yhyor2dcxux</v>
          </cell>
          <cell r="U78" t="str">
            <v xml:space="preserve">GARCIA TOLENTINO LILIANA </v>
          </cell>
          <cell r="V78" t="str">
            <v>01927428936</v>
          </cell>
          <cell r="W78" t="str">
            <v>CIUDAD DE MEXICO</v>
          </cell>
          <cell r="X78" t="str">
            <v/>
          </cell>
          <cell r="Y78" t="str">
            <v/>
          </cell>
          <cell r="Z78" t="str">
            <v>GATL740407QZ9</v>
          </cell>
          <cell r="AA78" t="str">
            <v>DERMOCONSEJO</v>
          </cell>
          <cell r="AB78" t="str">
            <v>MUJER</v>
          </cell>
          <cell r="AC78">
            <v>571.65773751657002</v>
          </cell>
          <cell r="AD78" t="str">
            <v/>
          </cell>
          <cell r="AE78" t="str">
            <v/>
          </cell>
          <cell r="AF78" t="str">
            <v>5541393919</v>
          </cell>
          <cell r="AG78" t="str">
            <v>CDMX</v>
          </cell>
          <cell r="AH78">
            <v>0</v>
          </cell>
        </row>
        <row r="79">
          <cell r="A79">
            <v>339</v>
          </cell>
          <cell r="B79" t="str">
            <v>w9dqy2wz4o5mxe8</v>
          </cell>
          <cell r="C79" t="str">
            <v>BTL-DC-339</v>
          </cell>
          <cell r="D79" t="str">
            <v>55993</v>
          </cell>
          <cell r="E79" t="str">
            <v>nellyvid09@gmail.com</v>
          </cell>
          <cell r="F79" t="str">
            <v>GAVY851009MDFRDN07</v>
          </cell>
          <cell r="G79" t="str">
            <v/>
          </cell>
          <cell r="H79" t="str">
            <v/>
          </cell>
          <cell r="I79" t="str">
            <v/>
          </cell>
          <cell r="J79" t="str">
            <v>MARES DE ASÍA #18 EX HACIENDA DE PAULA  TEMASCALAPA  CP 55993 MÉXICO</v>
          </cell>
          <cell r="K79">
            <v>0</v>
          </cell>
          <cell r="L79" t="str">
            <v>ACTIVO</v>
          </cell>
          <cell r="M79" t="str">
            <v>SOLTERO/A</v>
          </cell>
          <cell r="N79" t="str">
            <v/>
          </cell>
          <cell r="O79" t="str">
            <v/>
          </cell>
          <cell r="P79" t="str">
            <v/>
          </cell>
          <cell r="Q79" t="str">
            <v>2024-07-02 00:00:00.000Z</v>
          </cell>
          <cell r="R79" t="str">
            <v>2024-07-02 00:00:00.000Z</v>
          </cell>
          <cell r="S79" t="str">
            <v>1985-10-09 00:00:00.000Z</v>
          </cell>
          <cell r="T79" t="str">
            <v>q70t2lp9nn5m5ic</v>
          </cell>
          <cell r="U79" t="str">
            <v xml:space="preserve">GARCIA VIDALES YANELI </v>
          </cell>
          <cell r="V79" t="str">
            <v>94048526514</v>
          </cell>
          <cell r="W79" t="str">
            <v>CIUDAD DE MEXICO</v>
          </cell>
          <cell r="X79" t="str">
            <v/>
          </cell>
          <cell r="Y79" t="str">
            <v/>
          </cell>
          <cell r="Z79" t="str">
            <v>GAVY851009143</v>
          </cell>
          <cell r="AA79" t="str">
            <v>DERMOCONSEJO</v>
          </cell>
          <cell r="AB79" t="str">
            <v>MUJER</v>
          </cell>
          <cell r="AC79">
            <v>555.54787177183903</v>
          </cell>
          <cell r="AD79" t="str">
            <v/>
          </cell>
          <cell r="AE79" t="str">
            <v/>
          </cell>
          <cell r="AF79" t="str">
            <v>5511466690</v>
          </cell>
          <cell r="AG79" t="str">
            <v>CDMX</v>
          </cell>
          <cell r="AH79">
            <v>0</v>
          </cell>
        </row>
        <row r="80">
          <cell r="A80">
            <v>110</v>
          </cell>
          <cell r="B80" t="str">
            <v>w9dqy2wz4o5mxe8</v>
          </cell>
          <cell r="C80" t="str">
            <v>BTL-DC-110</v>
          </cell>
          <cell r="D80" t="str">
            <v>07440</v>
          </cell>
          <cell r="E80" t="str">
            <v>cbtazyanya@gmail.com</v>
          </cell>
          <cell r="F80" t="str">
            <v>GOBS811211MDFMNN00</v>
          </cell>
          <cell r="G80" t="str">
            <v/>
          </cell>
          <cell r="H80" t="str">
            <v/>
          </cell>
          <cell r="I80" t="str">
            <v/>
          </cell>
          <cell r="J80" t="str">
            <v>AV. EDUARDO MOLINA #1720 EDIF 24 DEPTO502, VASCO DE QUIROGA, GUSTAVO A. MADERO, CP 7440, MÉXICO</v>
          </cell>
          <cell r="K80">
            <v>0</v>
          </cell>
          <cell r="L80" t="str">
            <v>ACTIVO</v>
          </cell>
          <cell r="M80" t="str">
            <v>SOLTERO/A</v>
          </cell>
          <cell r="N80" t="str">
            <v/>
          </cell>
          <cell r="O80" t="str">
            <v/>
          </cell>
          <cell r="P80" t="str">
            <v/>
          </cell>
          <cell r="Q80" t="str">
            <v>2026-01-12 00:00:00.000Z</v>
          </cell>
          <cell r="R80" t="str">
            <v>2022-11-01 00:00:00.000Z</v>
          </cell>
          <cell r="S80" t="str">
            <v>1981-12-11 00:00:00.000Z</v>
          </cell>
          <cell r="T80" t="str">
            <v>21j3pz2886xk07u</v>
          </cell>
          <cell r="U80" t="str">
            <v>GOMEZ BENAVIDES SANDRA VANESSA</v>
          </cell>
          <cell r="V80" t="str">
            <v>11068104360</v>
          </cell>
          <cell r="W80" t="str">
            <v>CIUDAD DE MEXICO</v>
          </cell>
          <cell r="X80" t="str">
            <v/>
          </cell>
          <cell r="Y80" t="str">
            <v/>
          </cell>
          <cell r="Z80" t="str">
            <v>GOBS811211AC8</v>
          </cell>
          <cell r="AA80" t="str">
            <v>DERMOCONSEJO</v>
          </cell>
          <cell r="AB80" t="str">
            <v>MUJER</v>
          </cell>
          <cell r="AC80">
            <v>330.576219178082</v>
          </cell>
          <cell r="AD80" t="str">
            <v/>
          </cell>
          <cell r="AE80" t="str">
            <v/>
          </cell>
          <cell r="AF80" t="str">
            <v>5521107121</v>
          </cell>
          <cell r="AG80" t="str">
            <v>CDMX</v>
          </cell>
          <cell r="AH80">
            <v>0</v>
          </cell>
        </row>
        <row r="81">
          <cell r="A81">
            <v>508</v>
          </cell>
          <cell r="B81" t="str">
            <v>w9dqy2wz4o5mxe8</v>
          </cell>
          <cell r="C81" t="str">
            <v>BTL-DC-508</v>
          </cell>
          <cell r="D81" t="str">
            <v>09130</v>
          </cell>
          <cell r="E81" t="str">
            <v>claudiafernandagomezgalvan@gmail.com</v>
          </cell>
          <cell r="F81" t="str">
            <v>GOGC900803MDFMLL06</v>
          </cell>
          <cell r="G81" t="str">
            <v/>
          </cell>
          <cell r="H81" t="str">
            <v/>
          </cell>
          <cell r="I81" t="str">
            <v/>
          </cell>
          <cell r="J81" t="str">
            <v>EL FUERTE 72 SAN LORENZO XICOTÉNCATL  IZTAPALAPA  CP 09130 CIUDAD DE MÉXICO</v>
          </cell>
          <cell r="K81">
            <v>0</v>
          </cell>
          <cell r="L81" t="str">
            <v>ACTIVO</v>
          </cell>
          <cell r="M81" t="str">
            <v>SOLTERO/A</v>
          </cell>
          <cell r="N81" t="str">
            <v/>
          </cell>
          <cell r="O81" t="str">
            <v/>
          </cell>
          <cell r="P81" t="str">
            <v/>
          </cell>
          <cell r="Q81" t="str">
            <v>2025-08-13 00:00:00.000Z</v>
          </cell>
          <cell r="R81" t="str">
            <v>2025-08-13 00:00:00.000Z</v>
          </cell>
          <cell r="S81" t="str">
            <v>1990-08-03 00:00:00.000Z</v>
          </cell>
          <cell r="T81" t="str">
            <v>pb13910fn20cxwb</v>
          </cell>
          <cell r="U81" t="str">
            <v xml:space="preserve">GOMEZ GALVAN CLAUDIA FERNANDA </v>
          </cell>
          <cell r="V81" t="str">
            <v>28079005824</v>
          </cell>
          <cell r="W81" t="str">
            <v>CIUDAD DE MEXICO</v>
          </cell>
          <cell r="X81" t="str">
            <v/>
          </cell>
          <cell r="Y81" t="str">
            <v/>
          </cell>
          <cell r="Z81" t="str">
            <v>GOGC9008034N9</v>
          </cell>
          <cell r="AA81" t="str">
            <v>DERMOCONSEJO</v>
          </cell>
          <cell r="AB81" t="str">
            <v>MUJER</v>
          </cell>
          <cell r="AC81">
            <v>552.45687491578701</v>
          </cell>
          <cell r="AD81" t="str">
            <v/>
          </cell>
          <cell r="AE81" t="str">
            <v/>
          </cell>
          <cell r="AF81" t="str">
            <v>5646229086</v>
          </cell>
          <cell r="AG81" t="str">
            <v>CDMX</v>
          </cell>
          <cell r="AH81">
            <v>0</v>
          </cell>
        </row>
        <row r="82">
          <cell r="A82">
            <v>155</v>
          </cell>
          <cell r="B82" t="str">
            <v>w9dqy2wz4o5mxe8</v>
          </cell>
          <cell r="C82" t="str">
            <v>BTL-DC-155</v>
          </cell>
          <cell r="D82" t="str">
            <v>01270</v>
          </cell>
          <cell r="E82" t="str">
            <v>roses2326@hotmail.com</v>
          </cell>
          <cell r="F82" t="str">
            <v>ROGR810226MDFDRC04</v>
          </cell>
          <cell r="G82" t="str">
            <v/>
          </cell>
          <cell r="H82" t="str">
            <v/>
          </cell>
          <cell r="I82" t="str">
            <v/>
          </cell>
          <cell r="J82" t="str">
            <v>PEDRO DE MENDOZA MZ 12 LT15 LOMAS DE CAPULA ÁLVARO OBREGÓN  CP 01270 CIUDAD DE MÉXICO</v>
          </cell>
          <cell r="K82">
            <v>0</v>
          </cell>
          <cell r="L82" t="str">
            <v>ACTIVO</v>
          </cell>
          <cell r="M82" t="str">
            <v>SOLTERO/A</v>
          </cell>
          <cell r="N82" t="str">
            <v/>
          </cell>
          <cell r="O82" t="str">
            <v/>
          </cell>
          <cell r="P82" t="str">
            <v/>
          </cell>
          <cell r="Q82" t="str">
            <v>2025-04-09 00:00:00.000Z</v>
          </cell>
          <cell r="R82" t="str">
            <v>2025-04-09 00:00:00.000Z</v>
          </cell>
          <cell r="S82" t="str">
            <v>1981-02-26 00:00:00.000Z</v>
          </cell>
          <cell r="T82" t="str">
            <v>2v8e4q1wo588625</v>
          </cell>
          <cell r="U82" t="str">
            <v xml:space="preserve">RODRIGUEZ GARCIA MARIA DEL ROCIO </v>
          </cell>
          <cell r="V82" t="str">
            <v>39998134702</v>
          </cell>
          <cell r="W82" t="str">
            <v>CIUDAD DE MEXICO</v>
          </cell>
          <cell r="X82" t="str">
            <v/>
          </cell>
          <cell r="Y82" t="str">
            <v/>
          </cell>
          <cell r="Z82" t="str">
            <v>ROGR810226QK8</v>
          </cell>
          <cell r="AA82" t="str">
            <v>DERMOCONSEJO</v>
          </cell>
          <cell r="AB82" t="str">
            <v>MUJER</v>
          </cell>
          <cell r="AC82">
            <v>510.441792948574</v>
          </cell>
          <cell r="AD82" t="str">
            <v/>
          </cell>
          <cell r="AE82" t="str">
            <v/>
          </cell>
          <cell r="AF82" t="str">
            <v>5540438788</v>
          </cell>
          <cell r="AG82" t="str">
            <v>CDMX</v>
          </cell>
          <cell r="AH82">
            <v>0</v>
          </cell>
        </row>
        <row r="83">
          <cell r="A83">
            <v>67</v>
          </cell>
          <cell r="B83" t="str">
            <v>w9dqy2wz4o5mxe8</v>
          </cell>
          <cell r="C83" t="str">
            <v>BTL-DC-67</v>
          </cell>
          <cell r="D83" t="str">
            <v>02459</v>
          </cell>
          <cell r="E83" t="str">
            <v>diana81yuli@gmail.com</v>
          </cell>
          <cell r="F83" t="str">
            <v>GOBD810811MDFNLN09</v>
          </cell>
          <cell r="G83" t="str">
            <v/>
          </cell>
          <cell r="H83" t="str">
            <v/>
          </cell>
          <cell r="I83" t="str">
            <v/>
          </cell>
          <cell r="J83" t="str">
            <v>XANAMBRES  77 NUEVA TEZOZOMOC AZCAPOTZALCO  CP 02459 CIUDAD DE MÉXICO</v>
          </cell>
          <cell r="K83">
            <v>0</v>
          </cell>
          <cell r="L83" t="str">
            <v>ACTIVO</v>
          </cell>
          <cell r="M83" t="str">
            <v>SOLTERO/A</v>
          </cell>
          <cell r="N83" t="str">
            <v/>
          </cell>
          <cell r="O83" t="str">
            <v/>
          </cell>
          <cell r="P83" t="str">
            <v/>
          </cell>
          <cell r="Q83" t="str">
            <v>2025-01-23 00:00:00.000Z</v>
          </cell>
          <cell r="R83" t="str">
            <v>2025-01-23 00:00:00.000Z</v>
          </cell>
          <cell r="S83" t="str">
            <v>1981-08-11 00:00:00.000Z</v>
          </cell>
          <cell r="T83" t="str">
            <v>963c3009em5c11o</v>
          </cell>
          <cell r="U83" t="str">
            <v>GONZALEZ BALDERAS DIANA</v>
          </cell>
          <cell r="V83" t="str">
            <v>11998141540</v>
          </cell>
          <cell r="W83" t="str">
            <v>CIUDAD DE MEXICO</v>
          </cell>
          <cell r="X83" t="str">
            <v/>
          </cell>
          <cell r="Y83" t="str">
            <v/>
          </cell>
          <cell r="Z83" t="str">
            <v>GOBD810811FK9</v>
          </cell>
          <cell r="AA83" t="str">
            <v>DERMOCONSEJO</v>
          </cell>
          <cell r="AB83" t="str">
            <v>MUJER</v>
          </cell>
          <cell r="AC83">
            <v>603.80574062429798</v>
          </cell>
          <cell r="AD83" t="str">
            <v/>
          </cell>
          <cell r="AE83" t="str">
            <v/>
          </cell>
          <cell r="AF83" t="str">
            <v>5528806279</v>
          </cell>
          <cell r="AG83" t="str">
            <v>CDMX</v>
          </cell>
          <cell r="AH83">
            <v>0</v>
          </cell>
        </row>
        <row r="84">
          <cell r="A84">
            <v>297</v>
          </cell>
          <cell r="B84" t="str">
            <v>w9dqy2wz4o5mxe8</v>
          </cell>
          <cell r="C84" t="str">
            <v>BTL-DC-297</v>
          </cell>
          <cell r="D84" t="str">
            <v>83288</v>
          </cell>
          <cell r="E84" t="str">
            <v>margarethgodo@gmail.com</v>
          </cell>
          <cell r="F84" t="str">
            <v>GODH671117MCHNML05</v>
          </cell>
          <cell r="G84" t="str">
            <v/>
          </cell>
          <cell r="H84" t="str">
            <v/>
          </cell>
          <cell r="I84" t="str">
            <v/>
          </cell>
          <cell r="J84" t="str">
            <v>TULIPÁN 15 ARCO IRIS HERMOSILLO  CP 83288 SONORA</v>
          </cell>
          <cell r="K84">
            <v>0</v>
          </cell>
          <cell r="L84" t="str">
            <v>ACTIVO</v>
          </cell>
          <cell r="M84" t="str">
            <v>SOLTERO/A</v>
          </cell>
          <cell r="N84" t="str">
            <v/>
          </cell>
          <cell r="O84" t="str">
            <v/>
          </cell>
          <cell r="P84" t="str">
            <v/>
          </cell>
          <cell r="Q84" t="str">
            <v>2024-04-02 00:00:00.000Z</v>
          </cell>
          <cell r="R84" t="str">
            <v>2024-04-02 00:00:00.000Z</v>
          </cell>
          <cell r="S84" t="str">
            <v>1967-11-17 00:00:00.000Z</v>
          </cell>
          <cell r="T84" t="str">
            <v>3nijvd0y5g33z7s</v>
          </cell>
          <cell r="U84" t="str">
            <v xml:space="preserve">GONZALEZ DOMINGUEZ HILDA MARGARITA </v>
          </cell>
          <cell r="V84" t="str">
            <v>24886737766</v>
          </cell>
          <cell r="W84" t="str">
            <v>CHIHUAHUA</v>
          </cell>
          <cell r="X84" t="str">
            <v/>
          </cell>
          <cell r="Y84" t="str">
            <v/>
          </cell>
          <cell r="Z84" t="str">
            <v>GODH671117KJ3</v>
          </cell>
          <cell r="AA84" t="str">
            <v>DERMOCONSEJO</v>
          </cell>
          <cell r="AB84" t="str">
            <v>MUJER</v>
          </cell>
          <cell r="AC84">
            <v>640.34984662025602</v>
          </cell>
          <cell r="AD84" t="str">
            <v/>
          </cell>
          <cell r="AE84" t="str">
            <v/>
          </cell>
          <cell r="AF84" t="str">
            <v>6622878369</v>
          </cell>
          <cell r="AG84" t="str">
            <v>SONORA</v>
          </cell>
          <cell r="AH84">
            <v>0</v>
          </cell>
        </row>
        <row r="85">
          <cell r="A85">
            <v>219</v>
          </cell>
          <cell r="B85" t="str">
            <v>w9dqy2wz4o5mxe8</v>
          </cell>
          <cell r="C85" t="str">
            <v>BTL-DC-219</v>
          </cell>
          <cell r="D85" t="str">
            <v>05860</v>
          </cell>
          <cell r="E85" t="str">
            <v>cony_111@hotmail.com</v>
          </cell>
          <cell r="F85" t="str">
            <v>GOMA670418MGTNRS02</v>
          </cell>
          <cell r="G85" t="str">
            <v/>
          </cell>
          <cell r="H85" t="str">
            <v/>
          </cell>
          <cell r="I85" t="str">
            <v/>
          </cell>
          <cell r="J85" t="str">
            <v>FRANCISCO AYALA #49 VISTA ALEGRE CUAHUTÉMOC  CP 05860 CIUDAD DE MÉXICO</v>
          </cell>
          <cell r="K85">
            <v>0</v>
          </cell>
          <cell r="L85" t="str">
            <v>ACTIVO</v>
          </cell>
          <cell r="M85" t="str">
            <v>SOLTERO/A</v>
          </cell>
          <cell r="N85" t="str">
            <v/>
          </cell>
          <cell r="O85" t="str">
            <v/>
          </cell>
          <cell r="P85" t="str">
            <v/>
          </cell>
          <cell r="Q85" t="str">
            <v>2023-11-09 00:00:00.000Z</v>
          </cell>
          <cell r="R85" t="str">
            <v>2023-11-09 00:00:00.000Z</v>
          </cell>
          <cell r="S85" t="str">
            <v>1967-04-18 00:00:00.000Z</v>
          </cell>
          <cell r="T85" t="str">
            <v>25z8ns71s7657lg</v>
          </cell>
          <cell r="U85" t="str">
            <v xml:space="preserve">GONZALEZ MARTINEZ MA. ASCENCION </v>
          </cell>
          <cell r="V85" t="str">
            <v>90886723668</v>
          </cell>
          <cell r="W85" t="str">
            <v>GUANAJUATO</v>
          </cell>
          <cell r="X85" t="str">
            <v/>
          </cell>
          <cell r="Y85" t="str">
            <v/>
          </cell>
          <cell r="Z85" t="str">
            <v>GOMM670418FK6</v>
          </cell>
          <cell r="AA85" t="str">
            <v>DERMOCONSEJO</v>
          </cell>
          <cell r="AB85" t="str">
            <v>MUJER</v>
          </cell>
          <cell r="AC85">
            <v>621.22068088928802</v>
          </cell>
          <cell r="AD85" t="str">
            <v/>
          </cell>
          <cell r="AE85" t="str">
            <v/>
          </cell>
          <cell r="AF85" t="str">
            <v>5561879229</v>
          </cell>
          <cell r="AG85" t="str">
            <v>CDMX</v>
          </cell>
          <cell r="AH85">
            <v>0</v>
          </cell>
        </row>
        <row r="86">
          <cell r="A86">
            <v>242</v>
          </cell>
          <cell r="B86" t="str">
            <v>w9dqy2wz4o5mxe8</v>
          </cell>
          <cell r="C86" t="str">
            <v>BTL-DC-242</v>
          </cell>
          <cell r="D86" t="str">
            <v>53660</v>
          </cell>
          <cell r="E86" t="str">
            <v>marthagonzalezmejia80@gmail.com</v>
          </cell>
          <cell r="F86" t="str">
            <v>GOMM800214MDFNJR03</v>
          </cell>
          <cell r="G86" t="str">
            <v/>
          </cell>
          <cell r="H86" t="str">
            <v/>
          </cell>
          <cell r="I86" t="str">
            <v/>
          </cell>
          <cell r="J86" t="str">
            <v>SATURNO # 10 SAN RAFAEL CHAMAPA  NAUCALPAN DE JUÁREZ  CP 53660 MÉXICO</v>
          </cell>
          <cell r="K86">
            <v>0</v>
          </cell>
          <cell r="L86" t="str">
            <v>ACTIVO</v>
          </cell>
          <cell r="M86" t="str">
            <v>SOLTERO/A</v>
          </cell>
          <cell r="N86" t="str">
            <v/>
          </cell>
          <cell r="O86" t="str">
            <v/>
          </cell>
          <cell r="P86" t="str">
            <v/>
          </cell>
          <cell r="Q86" t="str">
            <v>2024-01-04 00:00:00.000Z</v>
          </cell>
          <cell r="R86" t="str">
            <v>2024-01-04 00:00:00.000Z</v>
          </cell>
          <cell r="S86" t="str">
            <v>1980-02-14 00:00:00.000Z</v>
          </cell>
          <cell r="T86" t="str">
            <v>1p3046b6i57zx24</v>
          </cell>
          <cell r="U86" t="str">
            <v xml:space="preserve">GONZALEZ MEJIA MARTHA PATRICIA </v>
          </cell>
          <cell r="V86" t="str">
            <v>90018009077</v>
          </cell>
          <cell r="W86" t="str">
            <v>CIUDAD DE MEXICO</v>
          </cell>
          <cell r="X86" t="str">
            <v/>
          </cell>
          <cell r="Y86" t="str">
            <v/>
          </cell>
          <cell r="Z86" t="str">
            <v>GOMM8002144V4</v>
          </cell>
          <cell r="AA86" t="str">
            <v>DERMOCONSEJO</v>
          </cell>
          <cell r="AB86" t="str">
            <v>MUJER</v>
          </cell>
          <cell r="AC86">
            <v>591.17887761059899</v>
          </cell>
          <cell r="AD86" t="str">
            <v/>
          </cell>
          <cell r="AE86" t="str">
            <v/>
          </cell>
          <cell r="AF86" t="str">
            <v>5651556705</v>
          </cell>
          <cell r="AG86" t="str">
            <v>CDMX</v>
          </cell>
          <cell r="AH86">
            <v>0</v>
          </cell>
        </row>
        <row r="87">
          <cell r="A87">
            <v>30</v>
          </cell>
          <cell r="B87" t="str">
            <v>w9dqy2wz4o5mxe8</v>
          </cell>
          <cell r="C87" t="str">
            <v>BTL-DC-30</v>
          </cell>
          <cell r="D87" t="str">
            <v>50250</v>
          </cell>
          <cell r="E87" t="str">
            <v>mhiryamgv80@gmail.com</v>
          </cell>
          <cell r="F87" t="str">
            <v>GOVM800313MMCNLH01</v>
          </cell>
          <cell r="G87" t="str">
            <v/>
          </cell>
          <cell r="H87" t="str">
            <v/>
          </cell>
          <cell r="I87" t="str">
            <v/>
          </cell>
          <cell r="J87" t="str">
            <v>LINDA VISTA S/N SAN FELIPE TLALMIMILOLPAN  TOLUCA CP 50250 MÉXICO</v>
          </cell>
          <cell r="K87">
            <v>0</v>
          </cell>
          <cell r="L87" t="str">
            <v>ACTIVO</v>
          </cell>
          <cell r="M87" t="str">
            <v>CASADO/A</v>
          </cell>
          <cell r="N87" t="str">
            <v/>
          </cell>
          <cell r="O87" t="str">
            <v/>
          </cell>
          <cell r="P87" t="str">
            <v/>
          </cell>
          <cell r="Q87" t="str">
            <v>2021-01-01 00:00:00.000Z</v>
          </cell>
          <cell r="R87" t="str">
            <v>2020-07-01 00:00:00.000Z</v>
          </cell>
          <cell r="S87" t="str">
            <v>1980-03-13 00:00:00.000Z</v>
          </cell>
          <cell r="T87" t="str">
            <v>1354941ptj1d6q6</v>
          </cell>
          <cell r="U87" t="str">
            <v xml:space="preserve">GONZÁLEZ VILLALPANDO MHIRYAM </v>
          </cell>
          <cell r="V87" t="str">
            <v>18968003394</v>
          </cell>
          <cell r="W87" t="str">
            <v>ESTADO DE MEXICO</v>
          </cell>
          <cell r="X87" t="str">
            <v/>
          </cell>
          <cell r="Y87" t="str">
            <v/>
          </cell>
          <cell r="Z87" t="str">
            <v>GOVM800313GG9</v>
          </cell>
          <cell r="AA87" t="str">
            <v>DERMOCONSEJO</v>
          </cell>
          <cell r="AB87" t="str">
            <v>MUJER</v>
          </cell>
          <cell r="AC87">
            <v>602.93599348753605</v>
          </cell>
          <cell r="AD87" t="str">
            <v/>
          </cell>
          <cell r="AE87" t="str">
            <v/>
          </cell>
          <cell r="AF87" t="str">
            <v>7226705113</v>
          </cell>
          <cell r="AG87" t="str">
            <v>TOLUCA</v>
          </cell>
          <cell r="AH87">
            <v>0</v>
          </cell>
        </row>
        <row r="88">
          <cell r="A88">
            <v>419</v>
          </cell>
          <cell r="B88" t="str">
            <v>w9dqy2wz4o5mxe8</v>
          </cell>
          <cell r="C88" t="str">
            <v>BTL-DC-419</v>
          </cell>
          <cell r="D88" t="str">
            <v>66007</v>
          </cell>
          <cell r="E88" t="str">
            <v>modaguera104@gmail.com</v>
          </cell>
          <cell r="F88" t="str">
            <v>GURM850517MTSRMN05</v>
          </cell>
          <cell r="G88" t="str">
            <v/>
          </cell>
          <cell r="H88" t="str">
            <v/>
          </cell>
          <cell r="I88" t="str">
            <v/>
          </cell>
          <cell r="J88" t="str">
            <v>PASEO DE GARZAS 601 PASEO DE CAPELLANIA GARCIA CP 66007 TAMAULIPAS</v>
          </cell>
          <cell r="K88">
            <v>0</v>
          </cell>
          <cell r="L88" t="str">
            <v>ACTIVO</v>
          </cell>
          <cell r="M88" t="str">
            <v>SOLTERO/A</v>
          </cell>
          <cell r="N88" t="str">
            <v/>
          </cell>
          <cell r="O88" t="str">
            <v/>
          </cell>
          <cell r="P88" t="str">
            <v/>
          </cell>
          <cell r="Q88" t="str">
            <v>2025-01-28 00:00:00.000Z</v>
          </cell>
          <cell r="R88" t="str">
            <v>2025-01-28 00:00:00.000Z</v>
          </cell>
          <cell r="S88" t="str">
            <v>1985-05-17 00:00:00.000Z</v>
          </cell>
          <cell r="T88" t="str">
            <v>9rqre27h116z72y</v>
          </cell>
          <cell r="U88" t="str">
            <v xml:space="preserve">GUERRERO RAMIREZ MONICA DANIELA </v>
          </cell>
          <cell r="V88" t="str">
            <v>09088509717</v>
          </cell>
          <cell r="W88" t="str">
            <v>TAMAULIPAS</v>
          </cell>
          <cell r="X88" t="str">
            <v/>
          </cell>
          <cell r="Y88" t="str">
            <v/>
          </cell>
          <cell r="Z88" t="str">
            <v>GURM850517TJ8</v>
          </cell>
          <cell r="AA88" t="str">
            <v>DERMOCONSEJO</v>
          </cell>
          <cell r="AB88" t="str">
            <v>MUJER</v>
          </cell>
          <cell r="AC88">
            <v>570.33639636200303</v>
          </cell>
          <cell r="AD88" t="str">
            <v/>
          </cell>
          <cell r="AE88" t="str">
            <v/>
          </cell>
          <cell r="AF88" t="str">
            <v>8134764246</v>
          </cell>
          <cell r="AG88" t="str">
            <v>MTY</v>
          </cell>
          <cell r="AH88">
            <v>0</v>
          </cell>
        </row>
        <row r="89">
          <cell r="A89">
            <v>142</v>
          </cell>
          <cell r="B89" t="str">
            <v>w9dqy2wz4o5mxe8</v>
          </cell>
          <cell r="C89" t="str">
            <v>BTL-DC-142</v>
          </cell>
          <cell r="D89" t="str">
            <v>50160</v>
          </cell>
          <cell r="E89" t="str">
            <v>natygupeer@gmail.com</v>
          </cell>
          <cell r="F89" t="str">
            <v>GUPN800727MMCTRT08</v>
          </cell>
          <cell r="G89" t="str">
            <v/>
          </cell>
          <cell r="H89" t="str">
            <v/>
          </cell>
          <cell r="I89" t="str">
            <v/>
          </cell>
          <cell r="J89" t="str">
            <v>LAGUNA VILLA VICTORIA #119A. SEMINARIO  TOLUCA CP 50160 MÉXICO</v>
          </cell>
          <cell r="K89">
            <v>0</v>
          </cell>
          <cell r="L89" t="str">
            <v>ACTIVO</v>
          </cell>
          <cell r="M89" t="str">
            <v>SOLTERO/A</v>
          </cell>
          <cell r="N89" t="str">
            <v/>
          </cell>
          <cell r="O89" t="str">
            <v/>
          </cell>
          <cell r="P89" t="str">
            <v/>
          </cell>
          <cell r="Q89" t="str">
            <v>2023-02-28 00:00:00.000Z</v>
          </cell>
          <cell r="R89" t="str">
            <v>2023-02-28 00:00:00.000Z</v>
          </cell>
          <cell r="S89" t="str">
            <v>2025-12-02 00:00:00.000Z</v>
          </cell>
          <cell r="T89" t="str">
            <v>69012u5h5hc6u96</v>
          </cell>
          <cell r="U89" t="str">
            <v xml:space="preserve">GUTIERREZ PERALTA NATALIA </v>
          </cell>
          <cell r="V89" t="str">
            <v>18978011155</v>
          </cell>
          <cell r="W89" t="str">
            <v>ESTADO DE MEXICO</v>
          </cell>
          <cell r="X89" t="str">
            <v/>
          </cell>
          <cell r="Y89" t="str">
            <v/>
          </cell>
          <cell r="Z89" t="str">
            <v>GUPN800727EN6</v>
          </cell>
          <cell r="AA89" t="str">
            <v>DERMOCONSEJO</v>
          </cell>
          <cell r="AB89" t="str">
            <v>MUJER</v>
          </cell>
          <cell r="AC89">
            <v>560.35658252863198</v>
          </cell>
          <cell r="AD89" t="str">
            <v/>
          </cell>
          <cell r="AE89" t="str">
            <v/>
          </cell>
          <cell r="AF89" t="str">
            <v>7223465781</v>
          </cell>
          <cell r="AG89" t="str">
            <v>TOLUCA</v>
          </cell>
          <cell r="AH89">
            <v>0</v>
          </cell>
        </row>
        <row r="90">
          <cell r="A90">
            <v>288</v>
          </cell>
          <cell r="B90" t="str">
            <v>w9dqy2wz4o5mxe8</v>
          </cell>
          <cell r="C90" t="str">
            <v>BTL-DC-288</v>
          </cell>
          <cell r="D90" t="str">
            <v>82134</v>
          </cell>
          <cell r="E90" t="str">
            <v>maria_lizarraga@outlook.es</v>
          </cell>
          <cell r="F90" t="str">
            <v>GULL680507MSLZZR05</v>
          </cell>
          <cell r="G90" t="str">
            <v/>
          </cell>
          <cell r="H90" t="str">
            <v/>
          </cell>
          <cell r="I90" t="str">
            <v/>
          </cell>
          <cell r="J90" t="str">
            <v>AVENIDA FRANCISCO GONZÁLEZ BOCANEGRA 9605 PUERTA DEL SOL MAZATLÁN  CP 82134 SINALOA</v>
          </cell>
          <cell r="K90">
            <v>0</v>
          </cell>
          <cell r="L90" t="str">
            <v>ACTIVO</v>
          </cell>
          <cell r="M90" t="str">
            <v>SOLTERO/A</v>
          </cell>
          <cell r="N90" t="str">
            <v/>
          </cell>
          <cell r="O90" t="str">
            <v/>
          </cell>
          <cell r="P90" t="str">
            <v/>
          </cell>
          <cell r="Q90" t="str">
            <v>2024-03-20 00:00:00.000Z</v>
          </cell>
          <cell r="R90" t="str">
            <v>2024-03-20 00:00:00.000Z</v>
          </cell>
          <cell r="S90" t="str">
            <v>1968-05-07 00:00:00.000Z</v>
          </cell>
          <cell r="T90" t="str">
            <v>40ci64tove69ro6</v>
          </cell>
          <cell r="U90" t="str">
            <v xml:space="preserve">GUZMAN LIZARRAGA MARIA DE LOURDES </v>
          </cell>
          <cell r="V90" t="str">
            <v>23836710600</v>
          </cell>
          <cell r="W90" t="str">
            <v>SINALOA</v>
          </cell>
          <cell r="X90" t="str">
            <v/>
          </cell>
          <cell r="Y90" t="str">
            <v/>
          </cell>
          <cell r="Z90" t="str">
            <v>GULL680507SS0</v>
          </cell>
          <cell r="AA90" t="str">
            <v>DERMOCONSEJO</v>
          </cell>
          <cell r="AB90" t="str">
            <v>MUJER</v>
          </cell>
          <cell r="AC90">
            <v>690.56968268582898</v>
          </cell>
          <cell r="AD90" t="str">
            <v/>
          </cell>
          <cell r="AE90" t="str">
            <v/>
          </cell>
          <cell r="AF90" t="str">
            <v>6692474837</v>
          </cell>
          <cell r="AG90" t="str">
            <v>SINALOA</v>
          </cell>
          <cell r="AH90">
            <v>0</v>
          </cell>
        </row>
        <row r="91">
          <cell r="A91">
            <v>221</v>
          </cell>
          <cell r="B91" t="str">
            <v>w9dqy2wz4o5mxe8</v>
          </cell>
          <cell r="C91" t="str">
            <v>BTL-DC-221</v>
          </cell>
          <cell r="D91" t="str">
            <v>14376</v>
          </cell>
          <cell r="E91" t="str">
            <v>lauraguzman.lgv@gmail.com</v>
          </cell>
          <cell r="F91" t="str">
            <v>GUVL660728MDFZZR02</v>
          </cell>
          <cell r="G91" t="str">
            <v/>
          </cell>
          <cell r="H91" t="str">
            <v/>
          </cell>
          <cell r="I91" t="str">
            <v/>
          </cell>
          <cell r="J91" t="str">
            <v>PRIV. INDEPENDIENTE 6 ARBOLEDAS DEL SUR  TLALPAN CDMX  CP 14376 CIUDAD DE MÉXICO</v>
          </cell>
          <cell r="K91">
            <v>0</v>
          </cell>
          <cell r="L91" t="str">
            <v>ACTIVO</v>
          </cell>
          <cell r="M91" t="str">
            <v>SOLTERO/A</v>
          </cell>
          <cell r="N91" t="str">
            <v/>
          </cell>
          <cell r="O91" t="str">
            <v/>
          </cell>
          <cell r="P91" t="str">
            <v/>
          </cell>
          <cell r="Q91" t="str">
            <v>2025-05-08 00:00:00.000Z</v>
          </cell>
          <cell r="R91" t="str">
            <v>2025-05-08 00:00:00.000Z</v>
          </cell>
          <cell r="S91" t="str">
            <v>1966-07-28 00:00:00.000Z</v>
          </cell>
          <cell r="T91" t="str">
            <v>03e318w4848c0yc</v>
          </cell>
          <cell r="U91" t="str">
            <v xml:space="preserve">GUZMAN VAZQUEZ LAURA </v>
          </cell>
          <cell r="V91" t="str">
            <v>88856606491</v>
          </cell>
          <cell r="W91" t="str">
            <v>CIUDAD DE MEXICO</v>
          </cell>
          <cell r="X91" t="str">
            <v/>
          </cell>
          <cell r="Y91" t="str">
            <v/>
          </cell>
          <cell r="Z91" t="str">
            <v>GUVL6607287Q5</v>
          </cell>
          <cell r="AA91" t="str">
            <v>DERMOCONSEJO</v>
          </cell>
          <cell r="AB91" t="str">
            <v>MUJER</v>
          </cell>
          <cell r="AC91">
            <v>529.77261262070499</v>
          </cell>
          <cell r="AD91" t="str">
            <v/>
          </cell>
          <cell r="AE91" t="str">
            <v/>
          </cell>
          <cell r="AF91" t="str">
            <v>5535246523</v>
          </cell>
          <cell r="AG91" t="str">
            <v>CDMX</v>
          </cell>
          <cell r="AH91">
            <v>0</v>
          </cell>
        </row>
        <row r="92">
          <cell r="A92">
            <v>346</v>
          </cell>
          <cell r="B92" t="str">
            <v>w9dqy2wz4o5mxe8</v>
          </cell>
          <cell r="C92" t="str">
            <v>BTL-DC-346</v>
          </cell>
          <cell r="D92" t="str">
            <v>54743</v>
          </cell>
          <cell r="E92" t="str">
            <v>ingridangelicahagman@gmail.com</v>
          </cell>
          <cell r="F92" t="str">
            <v>HAAI810729MDFGGN01</v>
          </cell>
          <cell r="G92" t="str">
            <v/>
          </cell>
          <cell r="H92" t="str">
            <v/>
          </cell>
          <cell r="I92" t="str">
            <v/>
          </cell>
          <cell r="J92" t="str">
            <v>INFONAVIT CENTRO N3 DEPTO 502 SANTA MARIA GUADALUPE LAS TORRES 1RA SECCIÓN  CUAUTITLÁN IZCALLI  CP 54743 MÉXICO</v>
          </cell>
          <cell r="K92">
            <v>0</v>
          </cell>
          <cell r="L92" t="str">
            <v>ACTIVO</v>
          </cell>
          <cell r="M92" t="str">
            <v>SOLTERO/A</v>
          </cell>
          <cell r="N92" t="str">
            <v/>
          </cell>
          <cell r="O92" t="str">
            <v/>
          </cell>
          <cell r="P92" t="str">
            <v/>
          </cell>
          <cell r="Q92" t="str">
            <v>2024-08-06 00:00:00.000Z</v>
          </cell>
          <cell r="R92" t="str">
            <v>2024-08-06 00:00:00.000Z</v>
          </cell>
          <cell r="S92" t="str">
            <v>1981-07-29 00:00:00.000Z</v>
          </cell>
          <cell r="T92" t="str">
            <v>8utgm42gk5nj04b</v>
          </cell>
          <cell r="U92" t="str">
            <v xml:space="preserve">HAGMAN AGUILAR INGRID ANGELICA </v>
          </cell>
          <cell r="V92" t="str">
            <v>92028105184</v>
          </cell>
          <cell r="W92" t="str">
            <v>CIUDAD DE MEXICO</v>
          </cell>
          <cell r="X92" t="str">
            <v/>
          </cell>
          <cell r="Y92" t="str">
            <v/>
          </cell>
          <cell r="Z92" t="str">
            <v>HAAI810729I99</v>
          </cell>
          <cell r="AA92" t="str">
            <v>DERMOCONSEJO</v>
          </cell>
          <cell r="AB92" t="str">
            <v>MUJER</v>
          </cell>
          <cell r="AC92">
            <v>677.76983898495405</v>
          </cell>
          <cell r="AD92" t="str">
            <v/>
          </cell>
          <cell r="AE92" t="str">
            <v/>
          </cell>
          <cell r="AF92" t="str">
            <v>5566768480</v>
          </cell>
          <cell r="AG92" t="str">
            <v>CDMX</v>
          </cell>
          <cell r="AH92">
            <v>0</v>
          </cell>
        </row>
        <row r="93">
          <cell r="A93">
            <v>34</v>
          </cell>
          <cell r="B93" t="str">
            <v>w9dqy2wz4o5mxe8</v>
          </cell>
          <cell r="C93" t="str">
            <v>BTL-DC-34</v>
          </cell>
          <cell r="D93" t="str">
            <v>57139</v>
          </cell>
          <cell r="E93" t="str">
            <v>dulce0611@hotmail.es</v>
          </cell>
          <cell r="F93" t="str">
            <v>HEAD661106MDFRNL00</v>
          </cell>
          <cell r="G93" t="str">
            <v/>
          </cell>
          <cell r="H93" t="str">
            <v/>
          </cell>
          <cell r="I93" t="str">
            <v/>
          </cell>
          <cell r="J93" t="str">
            <v>AV PLAZA CENTRAL NO 82 MZ16 LT 26 MZ 27 PLAZAS ARAGÓN  NEZAHUALCÓYOTL  CP 57139 MÉXICO</v>
          </cell>
          <cell r="K93">
            <v>0</v>
          </cell>
          <cell r="L93" t="str">
            <v>ACTIVO</v>
          </cell>
          <cell r="M93" t="str">
            <v>CASADO/A</v>
          </cell>
          <cell r="N93" t="str">
            <v/>
          </cell>
          <cell r="O93" t="str">
            <v/>
          </cell>
          <cell r="P93" t="str">
            <v/>
          </cell>
          <cell r="Q93" t="str">
            <v>2021-03-10 00:00:00.000Z</v>
          </cell>
          <cell r="R93" t="str">
            <v>2021-03-09 00:00:00.000Z</v>
          </cell>
          <cell r="S93" t="str">
            <v>1966-11-06 00:00:00.000Z</v>
          </cell>
          <cell r="T93" t="str">
            <v>uv5d0xia21cqo1p</v>
          </cell>
          <cell r="U93" t="str">
            <v>HERNANDEZ ANGUIANO DULCE MARIA</v>
          </cell>
          <cell r="V93" t="str">
            <v>06856615163</v>
          </cell>
          <cell r="W93" t="str">
            <v>CIUDAD DE MEXICO</v>
          </cell>
          <cell r="X93" t="str">
            <v/>
          </cell>
          <cell r="Y93" t="str">
            <v/>
          </cell>
          <cell r="Z93" t="str">
            <v>HEAD661106NY6</v>
          </cell>
          <cell r="AA93" t="str">
            <v>DERMOCONSEJO</v>
          </cell>
          <cell r="AB93" t="str">
            <v>MUJER</v>
          </cell>
          <cell r="AC93">
            <v>528.37088928812</v>
          </cell>
          <cell r="AD93" t="str">
            <v/>
          </cell>
          <cell r="AE93" t="str">
            <v/>
          </cell>
          <cell r="AF93" t="str">
            <v>5519034076</v>
          </cell>
          <cell r="AG93" t="str">
            <v>CDMX</v>
          </cell>
          <cell r="AH93">
            <v>0</v>
          </cell>
        </row>
        <row r="94">
          <cell r="A94">
            <v>70</v>
          </cell>
          <cell r="B94" t="str">
            <v>w9dqy2wz4o5mxe8</v>
          </cell>
          <cell r="C94" t="str">
            <v>BTL-DC-70</v>
          </cell>
          <cell r="D94" t="str">
            <v>10020</v>
          </cell>
          <cell r="E94" t="str">
            <v>mitmaleni@gmail.com</v>
          </cell>
          <cell r="F94" t="str">
            <v>HEBM930430MDFRDT02</v>
          </cell>
          <cell r="G94" t="str">
            <v/>
          </cell>
          <cell r="H94" t="str">
            <v/>
          </cell>
          <cell r="I94" t="str">
            <v/>
          </cell>
          <cell r="J94" t="str">
            <v>OLIVOS #34 CUAUHTÉMOC  LA MAGDALENA CONTRERAS  CP 10020 MÉXICO</v>
          </cell>
          <cell r="K94">
            <v>0</v>
          </cell>
          <cell r="L94" t="str">
            <v>ACTIVO</v>
          </cell>
          <cell r="M94" t="str">
            <v>SOLTERO/A</v>
          </cell>
          <cell r="N94" t="str">
            <v/>
          </cell>
          <cell r="O94" t="str">
            <v/>
          </cell>
          <cell r="P94" t="str">
            <v/>
          </cell>
          <cell r="Q94" t="str">
            <v>2022-05-06 00:00:00.000Z</v>
          </cell>
          <cell r="R94" t="str">
            <v>2022-05-05 00:00:00.000Z</v>
          </cell>
          <cell r="S94" t="str">
            <v>1993-04-30 00:00:00.000Z</v>
          </cell>
          <cell r="T94" t="str">
            <v>9hv8kz108o127rl</v>
          </cell>
          <cell r="U94" t="str">
            <v xml:space="preserve">HERNANDEZ BADILLO MITZY MALENI </v>
          </cell>
          <cell r="V94" t="str">
            <v>39139310450</v>
          </cell>
          <cell r="W94" t="str">
            <v>CIUDAD DE MEXICO</v>
          </cell>
          <cell r="X94" t="str">
            <v/>
          </cell>
          <cell r="Y94" t="str">
            <v/>
          </cell>
          <cell r="Z94" t="str">
            <v>HEBM930430CDA</v>
          </cell>
          <cell r="AA94" t="str">
            <v>DERMOCONSEJO</v>
          </cell>
          <cell r="AB94" t="str">
            <v>MUJER</v>
          </cell>
          <cell r="AC94">
            <v>511.04545721985102</v>
          </cell>
          <cell r="AD94" t="str">
            <v/>
          </cell>
          <cell r="AE94" t="str">
            <v/>
          </cell>
          <cell r="AF94" t="str">
            <v>5545822257</v>
          </cell>
          <cell r="AG94" t="str">
            <v>CDMX</v>
          </cell>
          <cell r="AH94">
            <v>0</v>
          </cell>
        </row>
        <row r="95">
          <cell r="A95">
            <v>501</v>
          </cell>
          <cell r="B95" t="str">
            <v>w9dqy2wz4o5mxe8</v>
          </cell>
          <cell r="C95" t="str">
            <v>BTL-DC-501</v>
          </cell>
          <cell r="D95" t="str">
            <v>13420</v>
          </cell>
          <cell r="E95" t="str">
            <v>nubiher8401@gmail.com</v>
          </cell>
          <cell r="F95" t="str">
            <v>HEBN840131MDFRNB09</v>
          </cell>
          <cell r="G95" t="str">
            <v/>
          </cell>
          <cell r="H95" t="str">
            <v/>
          </cell>
          <cell r="I95" t="str">
            <v/>
          </cell>
          <cell r="J95" t="str">
            <v>CRÁTER ATLAS MZ 15 A LT12  COLONIA SELENE  TLÁHUAC  CP 13420 CIUDAD DE MÉXICO</v>
          </cell>
          <cell r="K95">
            <v>0</v>
          </cell>
          <cell r="L95" t="str">
            <v>ACTIVO</v>
          </cell>
          <cell r="M95" t="str">
            <v>CASADO/A</v>
          </cell>
          <cell r="N95" t="str">
            <v/>
          </cell>
          <cell r="O95" t="str">
            <v/>
          </cell>
          <cell r="P95" t="str">
            <v/>
          </cell>
          <cell r="Q95" t="str">
            <v>2025-08-06 00:00:00.000Z</v>
          </cell>
          <cell r="R95" t="str">
            <v>2025-08-06 00:00:00.000Z</v>
          </cell>
          <cell r="S95" t="str">
            <v>1984-01-31 00:00:00.000Z</v>
          </cell>
          <cell r="T95" t="str">
            <v>63re38f63zxc2k4</v>
          </cell>
          <cell r="U95" t="str">
            <v xml:space="preserve">HERNANDEZ BONILLA NUBIA ANGELICA </v>
          </cell>
          <cell r="V95" t="str">
            <v>45028409063</v>
          </cell>
          <cell r="W95" t="str">
            <v>CIUDAD DE MEXICO</v>
          </cell>
          <cell r="X95" t="str">
            <v/>
          </cell>
          <cell r="Y95" t="str">
            <v/>
          </cell>
          <cell r="Z95" t="str">
            <v>HEBN840131R12</v>
          </cell>
          <cell r="AA95" t="str">
            <v>DERMOCONSEJO</v>
          </cell>
          <cell r="AB95" t="str">
            <v>MUJER</v>
          </cell>
          <cell r="AC95">
            <v>594.21818639119601</v>
          </cell>
          <cell r="AD95" t="str">
            <v/>
          </cell>
          <cell r="AE95" t="str">
            <v/>
          </cell>
          <cell r="AF95" t="str">
            <v>5547651192</v>
          </cell>
          <cell r="AG95" t="str">
            <v>CDMX</v>
          </cell>
          <cell r="AH95">
            <v>0</v>
          </cell>
        </row>
        <row r="96">
          <cell r="A96">
            <v>484</v>
          </cell>
          <cell r="B96" t="str">
            <v>w9dqy2wz4o5mxe8</v>
          </cell>
          <cell r="C96" t="str">
            <v>BTL-DC-484</v>
          </cell>
          <cell r="D96" t="str">
            <v>83118</v>
          </cell>
          <cell r="E96" t="str">
            <v>alejandra.hc.art@gmail.com</v>
          </cell>
          <cell r="F96" t="str">
            <v>HECA970328MDFRBL08</v>
          </cell>
          <cell r="G96" t="str">
            <v/>
          </cell>
          <cell r="H96" t="str">
            <v/>
          </cell>
          <cell r="I96" t="str">
            <v/>
          </cell>
          <cell r="J96" t="str">
            <v>CDA DE LOS SERAFINES OESTE 2 PUEBLO DEL ÁNGEL  HERMOSILLO CP 83118 SONORA</v>
          </cell>
          <cell r="K96">
            <v>0</v>
          </cell>
          <cell r="L96" t="str">
            <v>ACTIVO</v>
          </cell>
          <cell r="M96" t="str">
            <v>SOLTERO/A</v>
          </cell>
          <cell r="N96" t="str">
            <v/>
          </cell>
          <cell r="O96" t="str">
            <v/>
          </cell>
          <cell r="P96" t="str">
            <v/>
          </cell>
          <cell r="Q96" t="str">
            <v>2025-07-02 00:00:00.000Z</v>
          </cell>
          <cell r="R96" t="str">
            <v>2025-07-02 00:00:00.000Z</v>
          </cell>
          <cell r="S96" t="str">
            <v>1997-03-28 00:00:00.000Z</v>
          </cell>
          <cell r="T96" t="str">
            <v>cgcu830x9zklnap</v>
          </cell>
          <cell r="U96" t="str">
            <v xml:space="preserve">HERNANDEZ CABRERA ALEJANDRA </v>
          </cell>
          <cell r="V96" t="str">
            <v>45129776493</v>
          </cell>
          <cell r="W96" t="str">
            <v>CIUDAD DE MEXICO</v>
          </cell>
          <cell r="X96" t="str">
            <v/>
          </cell>
          <cell r="Y96" t="str">
            <v/>
          </cell>
          <cell r="Z96" t="str">
            <v>HECA970328228</v>
          </cell>
          <cell r="AA96" t="str">
            <v>DERMOCONSEJO</v>
          </cell>
          <cell r="AB96" t="str">
            <v>MUJER</v>
          </cell>
          <cell r="AC96">
            <v>655.15011542780098</v>
          </cell>
          <cell r="AD96" t="str">
            <v/>
          </cell>
          <cell r="AE96" t="str">
            <v/>
          </cell>
          <cell r="AF96" t="str">
            <v>5529452723</v>
          </cell>
          <cell r="AG96" t="str">
            <v>HERMOSILLO</v>
          </cell>
          <cell r="AH96">
            <v>0</v>
          </cell>
        </row>
        <row r="97">
          <cell r="A97">
            <v>504</v>
          </cell>
          <cell r="B97" t="str">
            <v>w9dqy2wz4o5mxe8</v>
          </cell>
          <cell r="C97" t="str">
            <v>BTL-DC-504</v>
          </cell>
          <cell r="D97" t="str">
            <v>55349</v>
          </cell>
          <cell r="E97" t="str">
            <v>ninkaranausa@gmail.com</v>
          </cell>
          <cell r="F97" t="str">
            <v>HECA860719MMCRSN09</v>
          </cell>
          <cell r="G97" t="str">
            <v/>
          </cell>
          <cell r="H97" t="str">
            <v/>
          </cell>
          <cell r="I97" t="str">
            <v/>
          </cell>
          <cell r="J97" t="str">
            <v>MORELOS 66 URBANA IXHUATEPEC  ECATEPEC  CP 55349 MÉXICO</v>
          </cell>
          <cell r="K97">
            <v>0</v>
          </cell>
          <cell r="L97" t="str">
            <v>ACTIVO</v>
          </cell>
          <cell r="M97" t="str">
            <v>SOLTERO/A</v>
          </cell>
          <cell r="N97" t="str">
            <v/>
          </cell>
          <cell r="O97" t="str">
            <v/>
          </cell>
          <cell r="P97" t="str">
            <v/>
          </cell>
          <cell r="Q97" t="str">
            <v>2025-08-08 00:00:00.000Z</v>
          </cell>
          <cell r="R97" t="str">
            <v>2025-08-08 00:00:00.000Z</v>
          </cell>
          <cell r="S97" t="str">
            <v>1986-07-19 00:00:00.000Z</v>
          </cell>
          <cell r="T97" t="str">
            <v>7295624336z8210</v>
          </cell>
          <cell r="U97" t="str">
            <v xml:space="preserve">HERNANDEZ CASTILLO  ANA LILIA </v>
          </cell>
          <cell r="V97" t="str">
            <v>94058649602</v>
          </cell>
          <cell r="W97" t="str">
            <v>ESTADO DE MEXICO</v>
          </cell>
          <cell r="X97" t="str">
            <v/>
          </cell>
          <cell r="Y97" t="str">
            <v/>
          </cell>
          <cell r="Z97" t="str">
            <v>HECA8607194Z5</v>
          </cell>
          <cell r="AA97" t="str">
            <v>DERMOCONSEJO</v>
          </cell>
          <cell r="AB97" t="str">
            <v>MUJER</v>
          </cell>
          <cell r="AC97">
            <v>567.84933393218</v>
          </cell>
          <cell r="AD97" t="str">
            <v/>
          </cell>
          <cell r="AE97" t="str">
            <v/>
          </cell>
          <cell r="AF97" t="str">
            <v>5572184399</v>
          </cell>
          <cell r="AG97" t="str">
            <v>CDMX</v>
          </cell>
          <cell r="AH97">
            <v>0</v>
          </cell>
        </row>
        <row r="98">
          <cell r="A98">
            <v>360</v>
          </cell>
          <cell r="B98" t="str">
            <v>w9dqy2wz4o5mxe8</v>
          </cell>
          <cell r="C98" t="str">
            <v>BTL-DC-360</v>
          </cell>
          <cell r="D98" t="str">
            <v>10320</v>
          </cell>
          <cell r="E98" t="str">
            <v>alouquaone@gmail.com</v>
          </cell>
          <cell r="F98" t="str">
            <v>HEFP890212MDFRLT06</v>
          </cell>
          <cell r="G98" t="str">
            <v/>
          </cell>
          <cell r="H98" t="str">
            <v/>
          </cell>
          <cell r="I98" t="str">
            <v/>
          </cell>
          <cell r="J98" t="str">
            <v>MEMBRILLO 25 EL TANQUE  MAGDALENA CONTRERAS  CP 10320 CIUDAD DE MÉXICO</v>
          </cell>
          <cell r="K98">
            <v>0</v>
          </cell>
          <cell r="L98" t="str">
            <v>ACTIVO</v>
          </cell>
          <cell r="M98" t="str">
            <v>SOLTERO/A</v>
          </cell>
          <cell r="N98" t="str">
            <v/>
          </cell>
          <cell r="O98" t="str">
            <v/>
          </cell>
          <cell r="P98" t="str">
            <v/>
          </cell>
          <cell r="Q98" t="str">
            <v>2024-08-27 00:00:00.000Z</v>
          </cell>
          <cell r="R98" t="str">
            <v>2024-08-27 00:00:00.000Z</v>
          </cell>
          <cell r="S98" t="str">
            <v>1989-02-12 00:00:00.000Z</v>
          </cell>
          <cell r="T98" t="str">
            <v>pa0ejal6seabq3m</v>
          </cell>
          <cell r="U98" t="str">
            <v xml:space="preserve">HERNANDEZ FLORES PATRICIA </v>
          </cell>
          <cell r="V98" t="str">
            <v>39088903750</v>
          </cell>
          <cell r="W98" t="str">
            <v>CIUDAD DE MEXICO</v>
          </cell>
          <cell r="X98" t="str">
            <v/>
          </cell>
          <cell r="Y98" t="str">
            <v/>
          </cell>
          <cell r="Z98" t="str">
            <v>HEFP890212JR4</v>
          </cell>
          <cell r="AA98" t="str">
            <v>DERMOCONSEJO</v>
          </cell>
          <cell r="AB98" t="str">
            <v>MUJER</v>
          </cell>
          <cell r="AC98">
            <v>552.77311767347805</v>
          </cell>
          <cell r="AD98" t="str">
            <v/>
          </cell>
          <cell r="AE98" t="str">
            <v/>
          </cell>
          <cell r="AF98" t="str">
            <v>5526554763</v>
          </cell>
          <cell r="AG98" t="str">
            <v>CDMX</v>
          </cell>
          <cell r="AH98">
            <v>0</v>
          </cell>
        </row>
        <row r="99">
          <cell r="A99">
            <v>182</v>
          </cell>
          <cell r="B99" t="str">
            <v>w9dqy2wz4o5mxe8</v>
          </cell>
          <cell r="C99" t="str">
            <v>BTL-DC-182</v>
          </cell>
          <cell r="D99" t="str">
            <v>44300</v>
          </cell>
          <cell r="E99" t="str">
            <v>hernándezgitierrrz90@hotmail.com</v>
          </cell>
          <cell r="F99" t="str">
            <v>HEGN900205MJCRTN02</v>
          </cell>
          <cell r="G99" t="str">
            <v/>
          </cell>
          <cell r="H99" t="str">
            <v/>
          </cell>
          <cell r="I99" t="str">
            <v/>
          </cell>
          <cell r="J99" t="str">
            <v>VOLCÁN SAJAMA 4835 D INT 31 GUADALAJARA JALISCO  JALISCO  CP 44300 JALISCO</v>
          </cell>
          <cell r="K99">
            <v>0</v>
          </cell>
          <cell r="L99" t="str">
            <v>ACTIVO</v>
          </cell>
          <cell r="M99" t="str">
            <v>SOLTERO/A</v>
          </cell>
          <cell r="N99" t="str">
            <v/>
          </cell>
          <cell r="O99" t="str">
            <v/>
          </cell>
          <cell r="P99" t="str">
            <v/>
          </cell>
          <cell r="Q99" t="str">
            <v>2023-07-06 00:00:00.000Z</v>
          </cell>
          <cell r="R99" t="str">
            <v>2023-07-06 00:00:00.000Z</v>
          </cell>
          <cell r="S99" t="str">
            <v>1990-02-05 00:00:00.000Z</v>
          </cell>
          <cell r="T99" t="str">
            <v>0p87je7v5t0405z</v>
          </cell>
          <cell r="U99" t="str">
            <v xml:space="preserve">HERNANDEZ GUTIERREZ NANCY GUADALUPE </v>
          </cell>
          <cell r="V99" t="str">
            <v>04089022570</v>
          </cell>
          <cell r="W99" t="str">
            <v>JALISCO</v>
          </cell>
          <cell r="X99" t="str">
            <v/>
          </cell>
          <cell r="Y99" t="str">
            <v/>
          </cell>
          <cell r="Z99" t="str">
            <v>HEGN900205LN6</v>
          </cell>
          <cell r="AA99" t="str">
            <v>DERMOCONSEJO</v>
          </cell>
          <cell r="AB99" t="str">
            <v>MUJER</v>
          </cell>
          <cell r="AC99">
            <v>613.744287446665</v>
          </cell>
          <cell r="AD99" t="str">
            <v/>
          </cell>
          <cell r="AE99" t="str">
            <v/>
          </cell>
          <cell r="AF99" t="str">
            <v>3334890893</v>
          </cell>
          <cell r="AG99" t="str">
            <v>GDL</v>
          </cell>
          <cell r="AH99">
            <v>0</v>
          </cell>
        </row>
        <row r="100">
          <cell r="A100">
            <v>147</v>
          </cell>
          <cell r="B100" t="str">
            <v>w9dqy2wz4o5mxe8</v>
          </cell>
          <cell r="C100" t="str">
            <v>BTL-DC-147</v>
          </cell>
          <cell r="D100" t="str">
            <v>89460</v>
          </cell>
          <cell r="E100" t="str">
            <v>hgrecia154@gmail.com</v>
          </cell>
          <cell r="F100" t="str">
            <v>HEHG920926MTSRRR03</v>
          </cell>
          <cell r="G100" t="str">
            <v/>
          </cell>
          <cell r="H100" t="str">
            <v/>
          </cell>
          <cell r="I100" t="str">
            <v/>
          </cell>
          <cell r="J100" t="str">
            <v>PROLONGACIÓN FRANCISCO SARABIA 2411 LOMA DEL GALLO CIUDAD MADERO CP 89460 TAMAULIPAS</v>
          </cell>
          <cell r="K100">
            <v>0</v>
          </cell>
          <cell r="L100" t="str">
            <v>ACTIVO</v>
          </cell>
          <cell r="M100" t="str">
            <v>SOLTERO/A</v>
          </cell>
          <cell r="N100" t="str">
            <v/>
          </cell>
          <cell r="O100" t="str">
            <v/>
          </cell>
          <cell r="P100" t="str">
            <v/>
          </cell>
          <cell r="Q100" t="str">
            <v>2023-02-28 00:00:00.000Z</v>
          </cell>
          <cell r="R100" t="str">
            <v>2023-02-28 00:00:00.000Z</v>
          </cell>
          <cell r="S100" t="str">
            <v>1992-09-26 00:00:00.000Z</v>
          </cell>
          <cell r="T100" t="str">
            <v>9mo90gqsjq409zq</v>
          </cell>
          <cell r="U100" t="str">
            <v xml:space="preserve">HERNANDEZ HERNANDEZ GRECIA MONTSERRAT </v>
          </cell>
          <cell r="V100" t="str">
            <v>08179202562</v>
          </cell>
          <cell r="W100" t="str">
            <v>TAMAULIPAS</v>
          </cell>
          <cell r="X100" t="str">
            <v/>
          </cell>
          <cell r="Y100" t="str">
            <v/>
          </cell>
          <cell r="Z100" t="str">
            <v>HEHG9209263C3</v>
          </cell>
          <cell r="AA100" t="str">
            <v>DERMOCONSEJO</v>
          </cell>
          <cell r="AB100" t="str">
            <v>MUJER</v>
          </cell>
          <cell r="AC100">
            <v>547.19395957781205</v>
          </cell>
          <cell r="AD100" t="str">
            <v/>
          </cell>
          <cell r="AE100" t="str">
            <v/>
          </cell>
          <cell r="AF100" t="str">
            <v>8334418474</v>
          </cell>
          <cell r="AG100" t="str">
            <v>TAMPICO</v>
          </cell>
          <cell r="AH100">
            <v>0</v>
          </cell>
        </row>
        <row r="101">
          <cell r="A101">
            <v>332</v>
          </cell>
          <cell r="B101" t="str">
            <v>w9dqy2wz4o5mxe8</v>
          </cell>
          <cell r="C101" t="str">
            <v>BTL-DC-332</v>
          </cell>
          <cell r="D101" t="str">
            <v>53697</v>
          </cell>
          <cell r="E101" t="str">
            <v>dejesusjaqueline783@gmail.com</v>
          </cell>
          <cell r="F101" t="str">
            <v>JEHJ850425MDFSRQ02</v>
          </cell>
          <cell r="G101" t="str">
            <v/>
          </cell>
          <cell r="H101" t="str">
            <v/>
          </cell>
          <cell r="I101" t="str">
            <v/>
          </cell>
          <cell r="J101" t="str">
            <v>CARRETERA NAUCALPAN TOLUCA #17  EL CAPULIN NAUCALPAN  CP 53697 CIUDAD DE MÉXICO</v>
          </cell>
          <cell r="K101">
            <v>0</v>
          </cell>
          <cell r="L101" t="str">
            <v>ACTIVO</v>
          </cell>
          <cell r="M101" t="str">
            <v>CASADO/A</v>
          </cell>
          <cell r="N101" t="str">
            <v/>
          </cell>
          <cell r="O101" t="str">
            <v/>
          </cell>
          <cell r="P101" t="str">
            <v/>
          </cell>
          <cell r="Q101" t="str">
            <v>2024-07-02 00:00:00.000Z</v>
          </cell>
          <cell r="R101" t="str">
            <v>2024-07-02 00:00:00.000Z</v>
          </cell>
          <cell r="S101" t="str">
            <v>1985-04-25 00:00:00.000Z</v>
          </cell>
          <cell r="T101" t="str">
            <v>iv518xf1btdu33u</v>
          </cell>
          <cell r="U101" t="str">
            <v xml:space="preserve">HERNANDEZ JAQUELIN DE JESUS </v>
          </cell>
          <cell r="V101" t="str">
            <v>90038528437</v>
          </cell>
          <cell r="W101" t="str">
            <v>CIUDAD DE MEXICO</v>
          </cell>
          <cell r="X101" t="str">
            <v/>
          </cell>
          <cell r="Y101" t="str">
            <v/>
          </cell>
          <cell r="Z101" t="str">
            <v>JEHJ8504259Y1</v>
          </cell>
          <cell r="AA101" t="str">
            <v>DERMOCONSEJO</v>
          </cell>
          <cell r="AB101" t="str">
            <v>MUJER</v>
          </cell>
          <cell r="AC101">
            <v>709.913773411183</v>
          </cell>
          <cell r="AD101" t="str">
            <v/>
          </cell>
          <cell r="AE101" t="str">
            <v/>
          </cell>
          <cell r="AF101" t="str">
            <v>5584875239</v>
          </cell>
          <cell r="AG101" t="str">
            <v>CDMX</v>
          </cell>
          <cell r="AH101">
            <v>0</v>
          </cell>
        </row>
        <row r="102">
          <cell r="A102">
            <v>427</v>
          </cell>
          <cell r="B102" t="str">
            <v>w9dqy2wz4o5mxe8</v>
          </cell>
          <cell r="C102" t="str">
            <v>BTL-DC-427</v>
          </cell>
          <cell r="D102" t="str">
            <v>66006</v>
          </cell>
          <cell r="E102" t="str">
            <v>angiehernandezventas@gmail.com</v>
          </cell>
          <cell r="F102" t="str">
            <v>HEMA910530MNLRRN06</v>
          </cell>
          <cell r="G102" t="str">
            <v/>
          </cell>
          <cell r="H102" t="str">
            <v/>
          </cell>
          <cell r="I102" t="str">
            <v/>
          </cell>
          <cell r="J102" t="str">
            <v>CALLE RIO SABINAS # 515 COL. COLINAS DEL RIO GARCIA C.P. 66006 GARCIA, N.L.</v>
          </cell>
          <cell r="K102">
            <v>0</v>
          </cell>
          <cell r="L102" t="str">
            <v>ACTIVO</v>
          </cell>
          <cell r="M102" t="str">
            <v>SOLTERO/A</v>
          </cell>
          <cell r="N102" t="str">
            <v/>
          </cell>
          <cell r="O102" t="str">
            <v/>
          </cell>
          <cell r="P102" t="str">
            <v/>
          </cell>
          <cell r="Q102" t="str">
            <v>2026-01-08 00:00:00.000Z</v>
          </cell>
          <cell r="R102" t="str">
            <v>2025-02-05 00:00:00.000Z</v>
          </cell>
          <cell r="S102" t="str">
            <v>1991-05-30 00:00:00.000Z</v>
          </cell>
          <cell r="T102" t="str">
            <v>530093a486wfjjt</v>
          </cell>
          <cell r="U102" t="str">
            <v>HERNANDEZ MORIN ANGELICA YANET</v>
          </cell>
          <cell r="V102" t="str">
            <v>43079157723</v>
          </cell>
          <cell r="W102" t="str">
            <v>NUEVO LEON</v>
          </cell>
          <cell r="X102" t="str">
            <v/>
          </cell>
          <cell r="Y102" t="str">
            <v/>
          </cell>
          <cell r="Z102" t="str">
            <v>HEMA910530683</v>
          </cell>
          <cell r="AA102" t="str">
            <v>DERMOCONSEJO</v>
          </cell>
          <cell r="AB102" t="str">
            <v>MUJER</v>
          </cell>
          <cell r="AC102">
            <v>330.576219178082</v>
          </cell>
          <cell r="AD102" t="str">
            <v/>
          </cell>
          <cell r="AE102" t="str">
            <v/>
          </cell>
          <cell r="AF102" t="str">
            <v>8132783186</v>
          </cell>
          <cell r="AG102" t="str">
            <v>MTY</v>
          </cell>
          <cell r="AH102">
            <v>0</v>
          </cell>
        </row>
        <row r="103">
          <cell r="A103">
            <v>63</v>
          </cell>
          <cell r="B103" t="str">
            <v>w9dqy2wz4o5mxe8</v>
          </cell>
          <cell r="C103" t="str">
            <v>BTL-DC-63</v>
          </cell>
          <cell r="D103" t="str">
            <v>52928</v>
          </cell>
          <cell r="E103" t="str">
            <v>luzanahdz@gmail.com</v>
          </cell>
          <cell r="F103" t="str">
            <v>HESA860502MDFRNN01</v>
          </cell>
          <cell r="G103" t="str">
            <v/>
          </cell>
          <cell r="H103" t="str">
            <v/>
          </cell>
          <cell r="I103" t="str">
            <v/>
          </cell>
          <cell r="J103" t="str">
            <v>CALLE LOMA GRANDE #169 SAN JUAN IZTACALA PLANO NORTE ATIZAPÁN DE ZARAGOZA  CP 52928 MÉXICO</v>
          </cell>
          <cell r="K103">
            <v>0</v>
          </cell>
          <cell r="L103" t="str">
            <v>ACTIVO</v>
          </cell>
          <cell r="M103" t="str">
            <v>CASADO/A</v>
          </cell>
          <cell r="N103" t="str">
            <v/>
          </cell>
          <cell r="O103" t="str">
            <v/>
          </cell>
          <cell r="P103" t="str">
            <v/>
          </cell>
          <cell r="Q103" t="str">
            <v>2022-03-14 00:00:00.000Z</v>
          </cell>
          <cell r="R103" t="str">
            <v>2022-03-15 00:00:00.000Z</v>
          </cell>
          <cell r="S103" t="str">
            <v>1986-05-02 00:00:00.000Z</v>
          </cell>
          <cell r="T103" t="str">
            <v>db9mu91z24tbv9k</v>
          </cell>
          <cell r="U103" t="str">
            <v>HERNANDEZ SANCHEZ ANA LUZ</v>
          </cell>
          <cell r="V103" t="str">
            <v>43068658251</v>
          </cell>
          <cell r="W103" t="str">
            <v>CIUDAD DE MEXICO</v>
          </cell>
          <cell r="X103" t="str">
            <v/>
          </cell>
          <cell r="Y103" t="str">
            <v/>
          </cell>
          <cell r="Z103" t="str">
            <v>HESA860502AE6</v>
          </cell>
          <cell r="AA103" t="str">
            <v>DERMOCONSEJO</v>
          </cell>
          <cell r="AB103" t="str">
            <v>MUJER</v>
          </cell>
          <cell r="AC103">
            <v>539.55726049854002</v>
          </cell>
          <cell r="AD103" t="str">
            <v/>
          </cell>
          <cell r="AE103" t="str">
            <v/>
          </cell>
          <cell r="AF103" t="str">
            <v>5573606596</v>
          </cell>
          <cell r="AG103" t="str">
            <v>CDMX</v>
          </cell>
          <cell r="AH103">
            <v>0</v>
          </cell>
        </row>
        <row r="104">
          <cell r="A104">
            <v>323</v>
          </cell>
          <cell r="B104" t="str">
            <v>w9dqy2wz4o5mxe8</v>
          </cell>
          <cell r="C104" t="str">
            <v>BTL-DC-323</v>
          </cell>
          <cell r="D104" t="str">
            <v>82170</v>
          </cell>
          <cell r="E104" t="str">
            <v>falineyabeltran@gmail.com</v>
          </cell>
          <cell r="F104" t="str">
            <v>AIBF960819MSLVLR07</v>
          </cell>
          <cell r="G104" t="str">
            <v/>
          </cell>
          <cell r="H104" t="str">
            <v/>
          </cell>
          <cell r="I104" t="str">
            <v/>
          </cell>
          <cell r="J104" t="str">
            <v>MONTES DE OCA #1502 CONSTITUCIÓN  MAZATLÁN SINALOA  CP 82170 SINALOA</v>
          </cell>
          <cell r="K104">
            <v>0</v>
          </cell>
          <cell r="L104" t="str">
            <v>ACTIVO</v>
          </cell>
          <cell r="M104" t="str">
            <v>CASADO/A</v>
          </cell>
          <cell r="N104" t="str">
            <v/>
          </cell>
          <cell r="O104" t="str">
            <v/>
          </cell>
          <cell r="P104" t="str">
            <v/>
          </cell>
          <cell r="Q104" t="str">
            <v>2024-06-06 00:00:00.000Z</v>
          </cell>
          <cell r="R104" t="str">
            <v>2024-05-06 00:00:00.000Z</v>
          </cell>
          <cell r="S104" t="str">
            <v>1996-08-19 00:00:00.000Z</v>
          </cell>
          <cell r="T104" t="str">
            <v>7a3hc2471c5262p</v>
          </cell>
          <cell r="U104" t="str">
            <v xml:space="preserve">AVILA BELTRAN FRANCIA ALINEY </v>
          </cell>
          <cell r="V104" t="str">
            <v>19159632363</v>
          </cell>
          <cell r="W104" t="str">
            <v>SINALOA</v>
          </cell>
          <cell r="X104" t="str">
            <v/>
          </cell>
          <cell r="Y104" t="str">
            <v/>
          </cell>
          <cell r="Z104" t="str">
            <v>AIBF960819583</v>
          </cell>
          <cell r="AA104" t="str">
            <v>DERMOCONSEJO</v>
          </cell>
          <cell r="AB104" t="str">
            <v>MUJER</v>
          </cell>
          <cell r="AC104">
            <v>590.06047591692402</v>
          </cell>
          <cell r="AD104" t="str">
            <v/>
          </cell>
          <cell r="AE104" t="str">
            <v/>
          </cell>
          <cell r="AF104" t="str">
            <v>6691640583</v>
          </cell>
          <cell r="AG104" t="str">
            <v>SINALOA</v>
          </cell>
          <cell r="AH104">
            <v>0</v>
          </cell>
        </row>
        <row r="105">
          <cell r="A105">
            <v>487</v>
          </cell>
          <cell r="B105" t="str">
            <v>w9dqy2wz4o5mxe8</v>
          </cell>
          <cell r="C105" t="str">
            <v>BTL-DC-487</v>
          </cell>
          <cell r="D105" t="str">
            <v>57200</v>
          </cell>
          <cell r="E105" t="str">
            <v>ch931440@gmail.com</v>
          </cell>
          <cell r="F105" t="str">
            <v>HEZC770527MDFRVR04</v>
          </cell>
          <cell r="G105" t="str">
            <v/>
          </cell>
          <cell r="H105" t="str">
            <v/>
          </cell>
          <cell r="I105" t="str">
            <v/>
          </cell>
          <cell r="J105" t="str">
            <v>39#143B EL SOL NEZAHUALCÓYOTL  CP 57200 CIUDAD DE MÉXICO</v>
          </cell>
          <cell r="K105">
            <v>0</v>
          </cell>
          <cell r="L105" t="str">
            <v>ACTIVO</v>
          </cell>
          <cell r="M105" t="str">
            <v>SOLTERO/A</v>
          </cell>
          <cell r="N105" t="str">
            <v/>
          </cell>
          <cell r="O105" t="str">
            <v/>
          </cell>
          <cell r="P105" t="str">
            <v/>
          </cell>
          <cell r="Q105" t="str">
            <v>2025-07-03 00:00:00.000Z</v>
          </cell>
          <cell r="R105" t="str">
            <v>2025-07-03 00:00:00.000Z</v>
          </cell>
          <cell r="S105" t="str">
            <v>1977-05-27 00:00:00.000Z</v>
          </cell>
          <cell r="T105" t="str">
            <v>3dl67zpw7c72s2v</v>
          </cell>
          <cell r="U105" t="str">
            <v xml:space="preserve">HERNANDEZ ZAVALA CAROLINA </v>
          </cell>
          <cell r="V105" t="str">
            <v>20977708849</v>
          </cell>
          <cell r="W105" t="str">
            <v>CIUDAD DE MEXICO</v>
          </cell>
          <cell r="X105" t="str">
            <v/>
          </cell>
          <cell r="Y105" t="str">
            <v/>
          </cell>
          <cell r="Z105" t="str">
            <v>HEZC7705278T1</v>
          </cell>
          <cell r="AA105" t="str">
            <v>DERMOCONSEJO</v>
          </cell>
          <cell r="AB105" t="str">
            <v>MUJER</v>
          </cell>
          <cell r="AC105">
            <v>522.61064540759003</v>
          </cell>
          <cell r="AD105" t="str">
            <v/>
          </cell>
          <cell r="AE105" t="str">
            <v/>
          </cell>
          <cell r="AF105" t="str">
            <v>5580680471</v>
          </cell>
          <cell r="AG105" t="str">
            <v>CDMX</v>
          </cell>
          <cell r="AH105">
            <v>0</v>
          </cell>
        </row>
        <row r="106">
          <cell r="A106">
            <v>576</v>
          </cell>
          <cell r="B106" t="str">
            <v>w9dqy2wz4o5mxe8</v>
          </cell>
          <cell r="C106" t="str">
            <v>BTL-DC-576</v>
          </cell>
          <cell r="D106" t="str">
            <v>64103</v>
          </cell>
          <cell r="E106" t="str">
            <v>fabiolaibagay1405@gmail.com</v>
          </cell>
          <cell r="F106" t="str">
            <v>IAGF010914MTSBYBA9</v>
          </cell>
          <cell r="G106" t="str">
            <v/>
          </cell>
          <cell r="H106" t="str">
            <v/>
          </cell>
          <cell r="I106" t="str">
            <v/>
          </cell>
          <cell r="J106" t="str">
            <v>AV. ANTIGUOS EJIDATARIOS 220, PASEO DE SAN BERNABÉ, MONTERREY NL C.P. 64103</v>
          </cell>
          <cell r="K106">
            <v>0</v>
          </cell>
          <cell r="L106" t="str">
            <v>ACTIVO</v>
          </cell>
          <cell r="M106" t="str">
            <v>SOLTERO/A</v>
          </cell>
          <cell r="N106" t="str">
            <v/>
          </cell>
          <cell r="O106" t="str">
            <v/>
          </cell>
          <cell r="P106" t="str">
            <v/>
          </cell>
          <cell r="Q106" t="str">
            <v>2026-01-22 00:00:00.000Z</v>
          </cell>
          <cell r="R106" t="str">
            <v>2026-01-22 00:00:00.000Z</v>
          </cell>
          <cell r="S106" t="str">
            <v>2001-09-14 00:00:00.000Z</v>
          </cell>
          <cell r="T106" t="str">
            <v>29ev1f48b5ujkvp</v>
          </cell>
          <cell r="U106" t="str">
            <v>IBARRA GAYTAN FABIOLA</v>
          </cell>
          <cell r="V106" t="str">
            <v>14160177276</v>
          </cell>
          <cell r="W106" t="str">
            <v>NUEVO LEON</v>
          </cell>
          <cell r="X106" t="str">
            <v/>
          </cell>
          <cell r="Y106" t="str">
            <v/>
          </cell>
          <cell r="Z106" t="str">
            <v>IAGF010914732</v>
          </cell>
          <cell r="AA106" t="str">
            <v>DERMOCONSEJO</v>
          </cell>
          <cell r="AB106" t="str">
            <v>MUJER</v>
          </cell>
          <cell r="AC106">
            <v>330.576219178082</v>
          </cell>
          <cell r="AD106" t="str">
            <v/>
          </cell>
          <cell r="AE106" t="str">
            <v/>
          </cell>
          <cell r="AF106" t="str">
            <v>8147309753</v>
          </cell>
          <cell r="AG106" t="str">
            <v>MTY</v>
          </cell>
          <cell r="AH106">
            <v>0</v>
          </cell>
        </row>
        <row r="107">
          <cell r="A107">
            <v>91</v>
          </cell>
          <cell r="B107" t="str">
            <v>w9dqy2wz4o5mxe8</v>
          </cell>
          <cell r="C107" t="str">
            <v>BTL-DC-91</v>
          </cell>
          <cell r="D107" t="str">
            <v>11270</v>
          </cell>
          <cell r="E107" t="str">
            <v>ibarrageorgina22@gmail.com</v>
          </cell>
          <cell r="F107" t="str">
            <v>IARG700313MDFBDR02</v>
          </cell>
          <cell r="G107" t="str">
            <v/>
          </cell>
          <cell r="H107" t="str">
            <v/>
          </cell>
          <cell r="I107" t="str">
            <v/>
          </cell>
          <cell r="J107" t="str">
            <v>IGNACIO ALLENDE 143 ARGENTINA  MIGUEL HIDALGO  CP 11270 CIUDAD DE MÉXICO</v>
          </cell>
          <cell r="K107">
            <v>0</v>
          </cell>
          <cell r="L107" t="str">
            <v>ACTIVO</v>
          </cell>
          <cell r="M107" t="str">
            <v>SOLTERO/A</v>
          </cell>
          <cell r="N107" t="str">
            <v/>
          </cell>
          <cell r="O107" t="str">
            <v/>
          </cell>
          <cell r="P107" t="str">
            <v/>
          </cell>
          <cell r="Q107" t="str">
            <v>2022-08-25 00:00:00.000Z</v>
          </cell>
          <cell r="R107" t="str">
            <v>2022-09-01 00:00:00.000Z</v>
          </cell>
          <cell r="S107" t="str">
            <v>1970-03-13 00:00:00.000Z</v>
          </cell>
          <cell r="T107" t="str">
            <v>xs20c9hep9qd94j</v>
          </cell>
          <cell r="U107" t="str">
            <v xml:space="preserve">IBARRA RODRIGUEZ GEORGINA </v>
          </cell>
          <cell r="V107" t="str">
            <v>90937011766</v>
          </cell>
          <cell r="W107" t="str">
            <v>CIUDAD DE MEXICO</v>
          </cell>
          <cell r="X107" t="str">
            <v/>
          </cell>
          <cell r="Y107" t="str">
            <v/>
          </cell>
          <cell r="Z107" t="str">
            <v>IARG700313CXA</v>
          </cell>
          <cell r="AA107" t="str">
            <v>DERMOCONSEJO</v>
          </cell>
          <cell r="AB107" t="str">
            <v>MUJER</v>
          </cell>
          <cell r="AC107">
            <v>573.60267033460502</v>
          </cell>
          <cell r="AD107" t="str">
            <v/>
          </cell>
          <cell r="AE107" t="str">
            <v/>
          </cell>
          <cell r="AF107" t="str">
            <v>5537829093</v>
          </cell>
          <cell r="AG107" t="str">
            <v>CDMX</v>
          </cell>
          <cell r="AH107">
            <v>0</v>
          </cell>
        </row>
        <row r="108">
          <cell r="A108">
            <v>433</v>
          </cell>
          <cell r="B108" t="str">
            <v>w9dqy2wz4o5mxe8</v>
          </cell>
          <cell r="C108" t="str">
            <v>BTL-DC-433</v>
          </cell>
          <cell r="D108" t="str">
            <v>44350</v>
          </cell>
          <cell r="E108" t="str">
            <v>judithislas2@gmail.com</v>
          </cell>
          <cell r="F108" t="str">
            <v>IAMJ750905MJCSRD05</v>
          </cell>
          <cell r="G108" t="str">
            <v/>
          </cell>
          <cell r="H108" t="str">
            <v/>
          </cell>
          <cell r="I108" t="str">
            <v/>
          </cell>
          <cell r="J108" t="str">
            <v>SANTA CLEMENCIA 1233 SANTA MARIA GUADALAJARA  CP 44350 JALISCO</v>
          </cell>
          <cell r="K108">
            <v>0</v>
          </cell>
          <cell r="L108" t="str">
            <v>ACTIVO</v>
          </cell>
          <cell r="M108" t="str">
            <v>SOLTERO/A</v>
          </cell>
          <cell r="N108" t="str">
            <v/>
          </cell>
          <cell r="O108" t="str">
            <v/>
          </cell>
          <cell r="P108" t="str">
            <v/>
          </cell>
          <cell r="Q108" t="str">
            <v>2025-03-03 00:00:00.000Z</v>
          </cell>
          <cell r="R108" t="str">
            <v>2025-03-03 00:00:00.000Z</v>
          </cell>
          <cell r="S108" t="str">
            <v>1975-09-05 00:00:00.000Z</v>
          </cell>
          <cell r="T108" t="str">
            <v>0v7w7eyu7o4sg39</v>
          </cell>
          <cell r="U108" t="str">
            <v xml:space="preserve">ISLAS MORA JUDITH </v>
          </cell>
          <cell r="V108" t="str">
            <v>56977510793</v>
          </cell>
          <cell r="W108" t="str">
            <v>JALISCO</v>
          </cell>
          <cell r="X108" t="str">
            <v/>
          </cell>
          <cell r="Y108" t="str">
            <v/>
          </cell>
          <cell r="Z108" t="str">
            <v>IAMJ750905KHA</v>
          </cell>
          <cell r="AA108" t="str">
            <v>DERMOCONSEJO</v>
          </cell>
          <cell r="AB108" t="str">
            <v>MUJER</v>
          </cell>
          <cell r="AC108">
            <v>620.74162901414695</v>
          </cell>
          <cell r="AD108" t="str">
            <v/>
          </cell>
          <cell r="AE108" t="str">
            <v/>
          </cell>
          <cell r="AF108" t="str">
            <v>3325804526</v>
          </cell>
          <cell r="AG108" t="str">
            <v>GDL</v>
          </cell>
          <cell r="AH108">
            <v>0</v>
          </cell>
        </row>
        <row r="109">
          <cell r="A109">
            <v>429</v>
          </cell>
          <cell r="B109" t="str">
            <v>w9dqy2wz4o5mxe8</v>
          </cell>
          <cell r="C109" t="str">
            <v>BTL-DC-429</v>
          </cell>
          <cell r="D109" t="str">
            <v>01770</v>
          </cell>
          <cell r="E109" t="str">
            <v>susy.rodriguez.2024@gmail.com</v>
          </cell>
          <cell r="F109" t="str">
            <v>JIRB840803MDFMDL08</v>
          </cell>
          <cell r="G109" t="str">
            <v/>
          </cell>
          <cell r="H109" t="str">
            <v/>
          </cell>
          <cell r="I109" t="str">
            <v/>
          </cell>
          <cell r="J109" t="str">
            <v>AV. DE LAS TORRES 99 PREDIO LA ANGOSTURA  ÁLVARO OBREGÓN CP 01770 CIUDAD DE MÉXICO</v>
          </cell>
          <cell r="K109">
            <v>0</v>
          </cell>
          <cell r="L109" t="str">
            <v>ACTIVO</v>
          </cell>
          <cell r="M109" t="str">
            <v>SOLTERO/A</v>
          </cell>
          <cell r="N109" t="str">
            <v/>
          </cell>
          <cell r="O109" t="str">
            <v/>
          </cell>
          <cell r="P109" t="str">
            <v/>
          </cell>
          <cell r="Q109" t="str">
            <v>2025-02-18 00:00:00.000Z</v>
          </cell>
          <cell r="R109" t="str">
            <v>2025-02-17 00:00:00.000Z</v>
          </cell>
          <cell r="S109" t="str">
            <v>1984-08-03 00:00:00.000Z</v>
          </cell>
          <cell r="T109" t="str">
            <v>2mg04050qxwp38m</v>
          </cell>
          <cell r="U109" t="str">
            <v>JIMENEZ RODRIGUEZ BLANCA AZUCENA</v>
          </cell>
          <cell r="V109" t="str">
            <v>39028434585</v>
          </cell>
          <cell r="W109" t="str">
            <v>CIUDAD DE MEXICO</v>
          </cell>
          <cell r="X109" t="str">
            <v/>
          </cell>
          <cell r="Y109" t="str">
            <v/>
          </cell>
          <cell r="Z109" t="str">
            <v>JIRB840803MV2</v>
          </cell>
          <cell r="AA109" t="str">
            <v>DERMOCONSEJO</v>
          </cell>
          <cell r="AB109" t="str">
            <v>MUJER</v>
          </cell>
          <cell r="AC109">
            <v>577.14408803054096</v>
          </cell>
          <cell r="AD109" t="str">
            <v/>
          </cell>
          <cell r="AE109" t="str">
            <v/>
          </cell>
          <cell r="AF109" t="str">
            <v>5534711818</v>
          </cell>
          <cell r="AG109" t="str">
            <v>CDMX</v>
          </cell>
          <cell r="AH109">
            <v>0</v>
          </cell>
        </row>
        <row r="110">
          <cell r="A110">
            <v>461</v>
          </cell>
          <cell r="B110" t="str">
            <v>w9dqy2wz4o5mxe8</v>
          </cell>
          <cell r="C110" t="str">
            <v>BTL-DC-461</v>
          </cell>
          <cell r="D110" t="str">
            <v>56334</v>
          </cell>
          <cell r="E110" t="str">
            <v>paolaprincemoxamoxa@gmail.com</v>
          </cell>
          <cell r="F110" t="str">
            <v>JUPP900126MPLRRL05</v>
          </cell>
          <cell r="G110" t="str">
            <v/>
          </cell>
          <cell r="H110" t="str">
            <v/>
          </cell>
          <cell r="I110" t="str">
            <v/>
          </cell>
          <cell r="J110" t="str">
            <v>2 CERRADA DE MARGARITAS LOTE 3 S/N SAN PABLO  CHIMALHUACÁN  CP 56334 MÉXICO</v>
          </cell>
          <cell r="K110">
            <v>0</v>
          </cell>
          <cell r="L110" t="str">
            <v>ACTIVO</v>
          </cell>
          <cell r="M110" t="str">
            <v>SOLTERO/A</v>
          </cell>
          <cell r="N110" t="str">
            <v/>
          </cell>
          <cell r="O110" t="str">
            <v/>
          </cell>
          <cell r="P110" t="str">
            <v/>
          </cell>
          <cell r="Q110" t="str">
            <v>2025-05-15 00:00:00.000Z</v>
          </cell>
          <cell r="R110" t="str">
            <v>2025-05-15 00:00:00.000Z</v>
          </cell>
          <cell r="S110" t="str">
            <v>1990-01-26 00:00:00.000Z</v>
          </cell>
          <cell r="T110" t="str">
            <v>69992p8o15hqgjo</v>
          </cell>
          <cell r="U110" t="str">
            <v xml:space="preserve">JUAREZ PEREZ PAOLA NAYELI </v>
          </cell>
          <cell r="V110" t="str">
            <v>96099030072</v>
          </cell>
          <cell r="W110" t="str">
            <v>PUEBLA</v>
          </cell>
          <cell r="X110" t="str">
            <v/>
          </cell>
          <cell r="Y110" t="str">
            <v/>
          </cell>
          <cell r="Z110" t="str">
            <v>JUPP900126B95</v>
          </cell>
          <cell r="AA110" t="str">
            <v>DERMOCONSEJO</v>
          </cell>
          <cell r="AB110" t="str">
            <v>MUJER</v>
          </cell>
          <cell r="AC110">
            <v>552.72933393218</v>
          </cell>
          <cell r="AD110" t="str">
            <v/>
          </cell>
          <cell r="AE110" t="str">
            <v/>
          </cell>
          <cell r="AF110" t="str">
            <v>5523438965</v>
          </cell>
          <cell r="AG110" t="str">
            <v>CDMX</v>
          </cell>
          <cell r="AH110">
            <v>0</v>
          </cell>
        </row>
        <row r="111">
          <cell r="A111">
            <v>273</v>
          </cell>
          <cell r="B111" t="str">
            <v>w9dqy2wz4o5mxe8</v>
          </cell>
          <cell r="C111" t="str">
            <v>BTL-DC-273</v>
          </cell>
          <cell r="D111" t="str">
            <v>11370</v>
          </cell>
          <cell r="E111" t="str">
            <v>anakofiadou@hotmail.com</v>
          </cell>
          <cell r="F111" t="str">
            <v>KOXA661018MNEFXN04</v>
          </cell>
          <cell r="G111" t="str">
            <v/>
          </cell>
          <cell r="H111" t="str">
            <v/>
          </cell>
          <cell r="I111" t="str">
            <v/>
          </cell>
          <cell r="J111" t="str">
            <v>CACAMATZIN 34 COLONIA TLAXPANA, MIGUEL HIDALGO  CP 11370 CIUDAD DE MÉXICO</v>
          </cell>
          <cell r="K111">
            <v>0</v>
          </cell>
          <cell r="L111" t="str">
            <v>ACTIVO</v>
          </cell>
          <cell r="M111" t="str">
            <v>SOLTERO/A</v>
          </cell>
          <cell r="N111" t="str">
            <v/>
          </cell>
          <cell r="O111" t="str">
            <v/>
          </cell>
          <cell r="P111" t="str">
            <v/>
          </cell>
          <cell r="Q111" t="str">
            <v>2024-02-16 00:00:00.000Z</v>
          </cell>
          <cell r="R111" t="str">
            <v>2024-02-16 00:00:00.000Z</v>
          </cell>
          <cell r="S111" t="str">
            <v>1966-10-18 00:00:00.000Z</v>
          </cell>
          <cell r="T111" t="str">
            <v>06n3d51z36tbnye</v>
          </cell>
          <cell r="U111" t="str">
            <v>KOFIADOU ANASTASIA</v>
          </cell>
          <cell r="V111" t="str">
            <v>11136600183</v>
          </cell>
          <cell r="W111" t="str">
            <v>NACIDO EN EL EXTRANJERO</v>
          </cell>
          <cell r="X111" t="str">
            <v/>
          </cell>
          <cell r="Y111" t="str">
            <v/>
          </cell>
          <cell r="Z111" t="str">
            <v>KOAN6610189Y1</v>
          </cell>
          <cell r="AA111" t="str">
            <v>DERMOCONSEJO</v>
          </cell>
          <cell r="AB111" t="str">
            <v>MUJER</v>
          </cell>
          <cell r="AC111">
            <v>612.31278980462605</v>
          </cell>
          <cell r="AD111" t="str">
            <v/>
          </cell>
          <cell r="AE111" t="str">
            <v/>
          </cell>
          <cell r="AF111" t="str">
            <v>5539113385</v>
          </cell>
          <cell r="AG111" t="str">
            <v>CDMX</v>
          </cell>
          <cell r="AH111">
            <v>0</v>
          </cell>
        </row>
        <row r="112">
          <cell r="A112">
            <v>434</v>
          </cell>
          <cell r="B112" t="str">
            <v>w9dqy2wz4o5mxe8</v>
          </cell>
          <cell r="C112" t="str">
            <v>BTL-DC-434</v>
          </cell>
          <cell r="D112" t="str">
            <v>45640</v>
          </cell>
          <cell r="E112" t="str">
            <v>rosamariaxd2000@mail.com</v>
          </cell>
          <cell r="F112" t="str">
            <v>LAGR690616MJCMTS07</v>
          </cell>
          <cell r="G112" t="str">
            <v/>
          </cell>
          <cell r="H112" t="str">
            <v/>
          </cell>
          <cell r="I112" t="str">
            <v/>
          </cell>
          <cell r="J112" t="str">
            <v>CALLE 28 DE ENERO #7 SUR STA. CRUZ DE LAS FLORES MUNICIPIO DE TLAJOMULCO DE ZUÑIGA CP 45640 JALISCO</v>
          </cell>
          <cell r="K112">
            <v>0</v>
          </cell>
          <cell r="L112" t="str">
            <v>ACTIVO</v>
          </cell>
          <cell r="M112" t="str">
            <v>SOLTERO/A</v>
          </cell>
          <cell r="N112" t="str">
            <v/>
          </cell>
          <cell r="O112" t="str">
            <v/>
          </cell>
          <cell r="P112" t="str">
            <v/>
          </cell>
          <cell r="Q112" t="str">
            <v>2025-03-03 00:00:00.000Z</v>
          </cell>
          <cell r="R112" t="str">
            <v>2025-03-03 00:00:00.000Z</v>
          </cell>
          <cell r="S112" t="str">
            <v>1969-06-16 00:00:00.000Z</v>
          </cell>
          <cell r="T112" t="str">
            <v>kvpnq7828q1982a</v>
          </cell>
          <cell r="U112" t="str">
            <v xml:space="preserve">LAMAS GUTIERREZ ROSA MARIA </v>
          </cell>
          <cell r="V112" t="str">
            <v>37906913357</v>
          </cell>
          <cell r="W112" t="str">
            <v>JALISCO</v>
          </cell>
          <cell r="X112" t="str">
            <v/>
          </cell>
          <cell r="Y112" t="str">
            <v/>
          </cell>
          <cell r="Z112" t="str">
            <v>LAGR690616JS0</v>
          </cell>
          <cell r="AA112" t="str">
            <v>DERMOCONSEJO</v>
          </cell>
          <cell r="AB112" t="str">
            <v>MUJER</v>
          </cell>
          <cell r="AC112">
            <v>372.80572737480298</v>
          </cell>
          <cell r="AD112" t="str">
            <v/>
          </cell>
          <cell r="AE112" t="str">
            <v/>
          </cell>
          <cell r="AF112" t="str">
            <v>3314430450</v>
          </cell>
          <cell r="AG112" t="str">
            <v>GDL</v>
          </cell>
          <cell r="AH112">
            <v>0</v>
          </cell>
        </row>
        <row r="113">
          <cell r="A113">
            <v>53</v>
          </cell>
          <cell r="B113" t="str">
            <v>w9dqy2wz4o5mxe8</v>
          </cell>
          <cell r="C113" t="str">
            <v>BTL-DC-53</v>
          </cell>
          <cell r="D113" t="str">
            <v>76803</v>
          </cell>
          <cell r="E113" t="str">
            <v>paulinashomara@gmail.com</v>
          </cell>
          <cell r="F113" t="str">
            <v>LERP980324MDFVML09</v>
          </cell>
          <cell r="G113" t="str">
            <v/>
          </cell>
          <cell r="H113" t="str">
            <v/>
          </cell>
          <cell r="I113" t="str">
            <v/>
          </cell>
          <cell r="J113" t="str">
            <v>CTO. DEL BOSQUE #57 FRACC VIVEROS DE CEDROS , COL MANANTIALES SAN JUAN DEL RIO  CP 76803 QUERÉTARO</v>
          </cell>
          <cell r="K113">
            <v>0</v>
          </cell>
          <cell r="L113" t="str">
            <v>ACTIVO</v>
          </cell>
          <cell r="M113" t="str">
            <v>SOLTERO/A</v>
          </cell>
          <cell r="N113" t="str">
            <v/>
          </cell>
          <cell r="O113" t="str">
            <v/>
          </cell>
          <cell r="P113" t="str">
            <v/>
          </cell>
          <cell r="Q113" t="str">
            <v>2021-10-18 00:00:00.000Z</v>
          </cell>
          <cell r="R113" t="str">
            <v>2021-10-15 00:00:00.000Z</v>
          </cell>
          <cell r="S113" t="str">
            <v>1998-03-24 00:00:00.000Z</v>
          </cell>
          <cell r="T113" t="str">
            <v>121vm8i1z570fk7</v>
          </cell>
          <cell r="U113" t="str">
            <v xml:space="preserve">LEVARIO RAMIREZ PAULINA SHOMARA </v>
          </cell>
          <cell r="V113" t="str">
            <v>27159815946</v>
          </cell>
          <cell r="W113" t="str">
            <v>CIUDAD DE MEXICO</v>
          </cell>
          <cell r="X113" t="str">
            <v/>
          </cell>
          <cell r="Y113" t="str">
            <v/>
          </cell>
          <cell r="Z113" t="str">
            <v>LERP980324KV9</v>
          </cell>
          <cell r="AA113" t="str">
            <v>DERMOCONSEJO</v>
          </cell>
          <cell r="AB113" t="str">
            <v>MUJER</v>
          </cell>
          <cell r="AC113">
            <v>614.65056141926698</v>
          </cell>
          <cell r="AD113" t="str">
            <v/>
          </cell>
          <cell r="AE113" t="str">
            <v/>
          </cell>
          <cell r="AF113" t="str">
            <v>4274278169</v>
          </cell>
          <cell r="AG113" t="str">
            <v>QUERETARO</v>
          </cell>
          <cell r="AH113">
            <v>0</v>
          </cell>
        </row>
        <row r="114">
          <cell r="A114">
            <v>349</v>
          </cell>
          <cell r="B114" t="str">
            <v>w9dqy2wz4o5mxe8</v>
          </cell>
          <cell r="C114" t="str">
            <v>BTL-DC-349</v>
          </cell>
          <cell r="D114" t="str">
            <v>07410</v>
          </cell>
          <cell r="E114" t="str">
            <v>mariadelrosariolimonlopez97@gmail.com</v>
          </cell>
          <cell r="F114" t="str">
            <v>LILR741214MDFMPS02</v>
          </cell>
          <cell r="G114" t="str">
            <v/>
          </cell>
          <cell r="H114" t="str">
            <v/>
          </cell>
          <cell r="I114" t="str">
            <v/>
          </cell>
          <cell r="J114" t="str">
            <v>GLORIA MN41 LT17, JUAN GONZALES ROMERO, CALDIA GUASTAVO A MADERO, CP 7410, CIUDAD DE MÉXICO</v>
          </cell>
          <cell r="K114">
            <v>0</v>
          </cell>
          <cell r="L114" t="str">
            <v>ACTIVO</v>
          </cell>
          <cell r="M114" t="str">
            <v>SOLTERO/A</v>
          </cell>
          <cell r="N114" t="str">
            <v/>
          </cell>
          <cell r="O114" t="str">
            <v/>
          </cell>
          <cell r="P114" t="str">
            <v/>
          </cell>
          <cell r="Q114" t="str">
            <v>2026-01-12 00:00:00.000Z</v>
          </cell>
          <cell r="R114" t="str">
            <v>2024-08-09 00:00:00.000Z</v>
          </cell>
          <cell r="S114" t="str">
            <v>1974-12-14 00:00:00.000Z</v>
          </cell>
          <cell r="T114" t="str">
            <v>67a1aq5usk98x4b</v>
          </cell>
          <cell r="U114" t="str">
            <v>LIMON LOPEZ MARIA DEL ROSARIO</v>
          </cell>
          <cell r="V114" t="str">
            <v>01947413595</v>
          </cell>
          <cell r="W114" t="str">
            <v>CIUDAD DE MEXICO</v>
          </cell>
          <cell r="X114" t="str">
            <v/>
          </cell>
          <cell r="Y114" t="str">
            <v/>
          </cell>
          <cell r="Z114" t="str">
            <v>LILR7412147S7</v>
          </cell>
          <cell r="AA114" t="str">
            <v>DERMOCONSEJO</v>
          </cell>
          <cell r="AB114" t="str">
            <v>MUJER</v>
          </cell>
          <cell r="AC114">
            <v>330.576219178082</v>
          </cell>
          <cell r="AD114" t="str">
            <v/>
          </cell>
          <cell r="AE114" t="str">
            <v/>
          </cell>
          <cell r="AF114" t="str">
            <v>5574557368</v>
          </cell>
          <cell r="AG114" t="str">
            <v>CDMX</v>
          </cell>
          <cell r="AH114">
            <v>0</v>
          </cell>
        </row>
        <row r="115">
          <cell r="A115">
            <v>480</v>
          </cell>
          <cell r="B115" t="str">
            <v>w9dqy2wz4o5mxe8</v>
          </cell>
          <cell r="C115" t="str">
            <v>BTL-DC-480</v>
          </cell>
          <cell r="D115" t="str">
            <v>66003</v>
          </cell>
          <cell r="E115" t="str">
            <v>ayala_michelle3@icloud.com</v>
          </cell>
          <cell r="F115" t="str">
            <v>AAXK050607MNEYXMA4</v>
          </cell>
          <cell r="G115" t="str">
            <v/>
          </cell>
          <cell r="H115" t="str">
            <v/>
          </cell>
          <cell r="I115" t="str">
            <v/>
          </cell>
          <cell r="J115" t="str">
            <v>HACIENDA DEL PINO 232 HACIENDA DEL SOL GARCÍA CP 66003 NUEVO LEÓN</v>
          </cell>
          <cell r="K115">
            <v>0</v>
          </cell>
          <cell r="L115" t="str">
            <v>ACTIVO</v>
          </cell>
          <cell r="M115" t="str">
            <v>SOLTERO/A</v>
          </cell>
          <cell r="N115" t="str">
            <v/>
          </cell>
          <cell r="O115" t="str">
            <v/>
          </cell>
          <cell r="P115" t="str">
            <v/>
          </cell>
          <cell r="Q115" t="str">
            <v>2025-03-13 00:00:00.000Z</v>
          </cell>
          <cell r="R115" t="str">
            <v>2025-03-13 00:00:00.000Z</v>
          </cell>
          <cell r="S115" t="str">
            <v>2005-06-07 00:00:00.000Z</v>
          </cell>
          <cell r="T115" t="str">
            <v>1x3cmg40wq9e361</v>
          </cell>
          <cell r="U115" t="str">
            <v xml:space="preserve">AYALA KIMBERLY MICHELLE </v>
          </cell>
          <cell r="V115" t="str">
            <v>25240580768</v>
          </cell>
          <cell r="W115" t="str">
            <v>NACIDO EN EL EXTRANJERO</v>
          </cell>
          <cell r="X115" t="str">
            <v/>
          </cell>
          <cell r="Y115" t="str">
            <v/>
          </cell>
          <cell r="Z115" t="str">
            <v>AAKI050607ET2</v>
          </cell>
          <cell r="AA115" t="str">
            <v>DERMOCONSEJO</v>
          </cell>
          <cell r="AB115" t="str">
            <v>MUJER</v>
          </cell>
          <cell r="AC115">
            <v>569.62267079098501</v>
          </cell>
          <cell r="AD115" t="str">
            <v/>
          </cell>
          <cell r="AE115" t="str">
            <v/>
          </cell>
          <cell r="AF115" t="str">
            <v>8136041322</v>
          </cell>
          <cell r="AG115" t="str">
            <v>MTY</v>
          </cell>
          <cell r="AH115">
            <v>0</v>
          </cell>
        </row>
        <row r="116">
          <cell r="A116">
            <v>489</v>
          </cell>
          <cell r="B116" t="str">
            <v>w9dqy2wz4o5mxe8</v>
          </cell>
          <cell r="C116" t="str">
            <v>BTL-DC-489</v>
          </cell>
          <cell r="D116" t="str">
            <v>66612</v>
          </cell>
          <cell r="E116" t="str">
            <v>vikilobaloa71@hotmail.com</v>
          </cell>
          <cell r="F116" t="str">
            <v>LOPV710416MNLXLR01</v>
          </cell>
          <cell r="G116" t="str">
            <v/>
          </cell>
          <cell r="H116" t="str">
            <v/>
          </cell>
          <cell r="I116" t="str">
            <v/>
          </cell>
          <cell r="J116" t="str">
            <v>ARCE#534 COL BOSQUE REAL APODACA  CP 66612 NUEVO LEÓN</v>
          </cell>
          <cell r="K116">
            <v>0</v>
          </cell>
          <cell r="L116" t="str">
            <v>ACTIVO</v>
          </cell>
          <cell r="M116" t="str">
            <v>CASADO/A</v>
          </cell>
          <cell r="N116" t="str">
            <v/>
          </cell>
          <cell r="O116" t="str">
            <v/>
          </cell>
          <cell r="P116" t="str">
            <v/>
          </cell>
          <cell r="Q116" t="str">
            <v>2025-07-08 00:00:00.000Z</v>
          </cell>
          <cell r="R116" t="str">
            <v>2025-07-08 00:00:00.000Z</v>
          </cell>
          <cell r="S116" t="str">
            <v>1971-04-16 00:00:00.000Z</v>
          </cell>
          <cell r="T116" t="str">
            <v>81nhv3jualnct55</v>
          </cell>
          <cell r="U116" t="str">
            <v xml:space="preserve">LOA PALOMO VIRGINIA ALICIA </v>
          </cell>
          <cell r="V116" t="str">
            <v>47897149457</v>
          </cell>
          <cell r="W116" t="str">
            <v>NUEVO LEON</v>
          </cell>
          <cell r="X116" t="str">
            <v/>
          </cell>
          <cell r="Y116" t="str">
            <v/>
          </cell>
          <cell r="Z116" t="str">
            <v>LOPV7104163N6</v>
          </cell>
          <cell r="AA116" t="str">
            <v>DERMOCONSEJO</v>
          </cell>
          <cell r="AB116" t="str">
            <v>MUJER</v>
          </cell>
          <cell r="AC116">
            <v>582.967694587918</v>
          </cell>
          <cell r="AD116" t="str">
            <v/>
          </cell>
          <cell r="AE116" t="str">
            <v/>
          </cell>
          <cell r="AF116" t="str">
            <v>8110284762</v>
          </cell>
          <cell r="AG116" t="str">
            <v>MTY</v>
          </cell>
          <cell r="AH116">
            <v>0</v>
          </cell>
        </row>
        <row r="117">
          <cell r="A117">
            <v>313</v>
          </cell>
          <cell r="B117" t="str">
            <v>w9dqy2wz4o5mxe8</v>
          </cell>
          <cell r="C117" t="str">
            <v>BTL-DC-313</v>
          </cell>
          <cell r="D117" t="str">
            <v>11320</v>
          </cell>
          <cell r="E117" t="str">
            <v>samayael@hotmail.com</v>
          </cell>
          <cell r="F117" t="str">
            <v>LOAS890803MDFPBM01</v>
          </cell>
          <cell r="G117" t="str">
            <v/>
          </cell>
          <cell r="H117" t="str">
            <v/>
          </cell>
          <cell r="I117" t="str">
            <v/>
          </cell>
          <cell r="J117" t="str">
            <v>LAGO TRASIMENO 2 ANAHUAC MIGUEL HIDALGO CP 11320 CIUDAD DE MÉXICO</v>
          </cell>
          <cell r="K117">
            <v>0</v>
          </cell>
          <cell r="L117" t="str">
            <v>ACTIVO</v>
          </cell>
          <cell r="M117" t="str">
            <v>CASADO/A</v>
          </cell>
          <cell r="N117" t="str">
            <v/>
          </cell>
          <cell r="O117" t="str">
            <v/>
          </cell>
          <cell r="P117" t="str">
            <v/>
          </cell>
          <cell r="Q117" t="str">
            <v>2024-05-22 00:00:00.000Z</v>
          </cell>
          <cell r="R117" t="str">
            <v>2024-05-22 00:00:00.000Z</v>
          </cell>
          <cell r="S117" t="str">
            <v>1989-08-03 00:00:00.000Z</v>
          </cell>
          <cell r="T117" t="str">
            <v>0ampc7xd4iccwex</v>
          </cell>
          <cell r="U117" t="str">
            <v xml:space="preserve">LOPEZ ABAD SAMANTHA YAEL </v>
          </cell>
          <cell r="V117" t="str">
            <v>11088900615</v>
          </cell>
          <cell r="W117" t="str">
            <v>CIUDAD DE MEXICO</v>
          </cell>
          <cell r="X117" t="str">
            <v/>
          </cell>
          <cell r="Y117" t="str">
            <v/>
          </cell>
          <cell r="Z117" t="str">
            <v>LOAS8908031P0</v>
          </cell>
          <cell r="AA117" t="str">
            <v>DERMOCONSEJO</v>
          </cell>
          <cell r="AB117" t="str">
            <v>MUJER</v>
          </cell>
          <cell r="AC117">
            <v>593.93246193577295</v>
          </cell>
          <cell r="AD117" t="str">
            <v/>
          </cell>
          <cell r="AE117" t="str">
            <v/>
          </cell>
          <cell r="AF117" t="str">
            <v>5510093309</v>
          </cell>
          <cell r="AG117" t="str">
            <v>CDMX</v>
          </cell>
          <cell r="AH117">
            <v>0</v>
          </cell>
        </row>
        <row r="118">
          <cell r="A118">
            <v>244</v>
          </cell>
          <cell r="B118" t="str">
            <v>w9dqy2wz4o5mxe8</v>
          </cell>
          <cell r="C118" t="str">
            <v>BTL-DC-244</v>
          </cell>
          <cell r="D118" t="str">
            <v>53690</v>
          </cell>
          <cell r="E118" t="str">
            <v>ravs_forever@hotmail.com</v>
          </cell>
          <cell r="F118" t="str">
            <v>LOCL861202MMCPRR00</v>
          </cell>
          <cell r="G118" t="str">
            <v/>
          </cell>
          <cell r="H118" t="str">
            <v/>
          </cell>
          <cell r="I118" t="str">
            <v/>
          </cell>
          <cell r="J118" t="str">
            <v>VICENTE SALDIVAR 23, ENTRE LUIS ESTRADA . AMPLIACIÓN OLÍMPICA  NAUCALPAN DE JUÁREZ  CP 53690 MÉXICO</v>
          </cell>
          <cell r="K118">
            <v>0</v>
          </cell>
          <cell r="L118" t="str">
            <v>ACTIVO</v>
          </cell>
          <cell r="M118" t="str">
            <v>SOLTERO/A</v>
          </cell>
          <cell r="N118" t="str">
            <v/>
          </cell>
          <cell r="O118" t="str">
            <v/>
          </cell>
          <cell r="P118" t="str">
            <v/>
          </cell>
          <cell r="Q118" t="str">
            <v>2024-01-05 00:00:00.000Z</v>
          </cell>
          <cell r="R118" t="str">
            <v>2024-01-05 00:00:00.000Z</v>
          </cell>
          <cell r="S118" t="str">
            <v>2025-12-02 00:00:00.000Z</v>
          </cell>
          <cell r="T118" t="str">
            <v>a934a056c21r0i8</v>
          </cell>
          <cell r="U118" t="str">
            <v xml:space="preserve">LOPEZ CRUZ LAURA VIVIANA </v>
          </cell>
          <cell r="V118" t="str">
            <v>90048618251</v>
          </cell>
          <cell r="W118" t="str">
            <v>ESTADO DE MEXICO</v>
          </cell>
          <cell r="X118" t="str">
            <v/>
          </cell>
          <cell r="Y118" t="str">
            <v/>
          </cell>
          <cell r="Z118" t="str">
            <v>LOCL861202K94</v>
          </cell>
          <cell r="AA118" t="str">
            <v>DERMOCONSEJO</v>
          </cell>
          <cell r="AB118" t="str">
            <v>MUJER</v>
          </cell>
          <cell r="AC118">
            <v>595.50428744666499</v>
          </cell>
          <cell r="AD118" t="str">
            <v/>
          </cell>
          <cell r="AE118" t="str">
            <v/>
          </cell>
          <cell r="AF118" t="str">
            <v>5526854043</v>
          </cell>
          <cell r="AG118" t="str">
            <v>CDMX</v>
          </cell>
          <cell r="AH118">
            <v>0</v>
          </cell>
        </row>
        <row r="119">
          <cell r="A119">
            <v>554</v>
          </cell>
          <cell r="B119" t="str">
            <v>w9dqy2wz4o5mxe8</v>
          </cell>
          <cell r="C119" t="str">
            <v>BTL-DC-554</v>
          </cell>
          <cell r="D119" t="str">
            <v>56643</v>
          </cell>
          <cell r="E119" t="str">
            <v>breenlopz@icloud.com</v>
          </cell>
          <cell r="F119" t="str">
            <v>LOLB960220MDFPPR05</v>
          </cell>
          <cell r="G119" t="str">
            <v/>
          </cell>
          <cell r="H119" t="str">
            <v/>
          </cell>
          <cell r="I119" t="str">
            <v/>
          </cell>
          <cell r="J119" t="str">
            <v>CIRCUITO GABRIEL GARCÍA MÁRQUEZ MZ3 LT 1 CASA B, CONJUNTO URBANO SAN MARCOS HUIXTOCO, CHALCO, CP 56643, MÉXICO</v>
          </cell>
          <cell r="K119">
            <v>0</v>
          </cell>
          <cell r="L119" t="str">
            <v>ACTIVO</v>
          </cell>
          <cell r="M119" t="str">
            <v>CASADO/A</v>
          </cell>
          <cell r="N119" t="str">
            <v/>
          </cell>
          <cell r="O119" t="str">
            <v/>
          </cell>
          <cell r="P119" t="str">
            <v/>
          </cell>
          <cell r="Q119" t="str">
            <v>2026-01-12 00:00:00.000Z</v>
          </cell>
          <cell r="R119" t="str">
            <v>2026-01-12 00:00:00.000Z</v>
          </cell>
          <cell r="S119" t="str">
            <v>1996-02-20 00:00:00.000Z</v>
          </cell>
          <cell r="T119" t="str">
            <v>l73p12203nb0ln1</v>
          </cell>
          <cell r="U119" t="str">
            <v>LOPEZ LOPEZ BRENDA</v>
          </cell>
          <cell r="V119" t="str">
            <v>45119664188</v>
          </cell>
          <cell r="W119" t="str">
            <v>CIUDAD DE MEXICO</v>
          </cell>
          <cell r="X119" t="str">
            <v/>
          </cell>
          <cell r="Y119" t="str">
            <v/>
          </cell>
          <cell r="Z119" t="str">
            <v>LOLB960220...</v>
          </cell>
          <cell r="AA119" t="str">
            <v>DERMOCONSEJO</v>
          </cell>
          <cell r="AB119" t="str">
            <v>MUJER</v>
          </cell>
          <cell r="AC119">
            <v>330.576219178082</v>
          </cell>
          <cell r="AD119" t="str">
            <v/>
          </cell>
          <cell r="AE119" t="str">
            <v/>
          </cell>
          <cell r="AF119" t="str">
            <v>5615670215</v>
          </cell>
          <cell r="AG119" t="str">
            <v>CDMX</v>
          </cell>
          <cell r="AH119">
            <v>0</v>
          </cell>
        </row>
        <row r="120">
          <cell r="A120">
            <v>544</v>
          </cell>
          <cell r="B120" t="str">
            <v>w9dqy2wz4o5mxe8</v>
          </cell>
          <cell r="C120" t="str">
            <v>BTL-DC-544</v>
          </cell>
          <cell r="D120" t="str">
            <v>7420</v>
          </cell>
          <cell r="E120" t="str">
            <v>rebecaabigailloredoposada@gmail.com</v>
          </cell>
          <cell r="F120" t="str">
            <v>LOPR010914MDFRSBA7</v>
          </cell>
          <cell r="G120" t="str">
            <v/>
          </cell>
          <cell r="H120" t="str">
            <v/>
          </cell>
          <cell r="I120" t="str">
            <v/>
          </cell>
          <cell r="J120" t="str">
            <v>315 #741, NUEVA ATZACOALCO, GUSTAVO A. MADERO, CP 7420, CIUDAD DE MÉXICO</v>
          </cell>
          <cell r="K120">
            <v>0</v>
          </cell>
          <cell r="L120" t="str">
            <v>ACTIVO</v>
          </cell>
          <cell r="M120" t="str">
            <v>SOLTERO/A</v>
          </cell>
          <cell r="N120" t="str">
            <v/>
          </cell>
          <cell r="O120" t="str">
            <v/>
          </cell>
          <cell r="P120" t="str">
            <v/>
          </cell>
          <cell r="Q120" t="str">
            <v>2026-01-12 00:00:00.000Z</v>
          </cell>
          <cell r="R120" t="str">
            <v>2026-01-12 00:00:00.000Z</v>
          </cell>
          <cell r="S120" t="str">
            <v>2001-09-14 00:00:00.000Z</v>
          </cell>
          <cell r="T120" t="str">
            <v>21477yx5v2u7m77</v>
          </cell>
          <cell r="U120" t="str">
            <v>LOREDO POSADA REBECA ABIGAIL</v>
          </cell>
          <cell r="V120" t="str">
            <v>19160197604</v>
          </cell>
          <cell r="W120" t="str">
            <v>CIUDAD DE MEXICO</v>
          </cell>
          <cell r="X120" t="str">
            <v/>
          </cell>
          <cell r="Y120" t="str">
            <v/>
          </cell>
          <cell r="Z120" t="str">
            <v>LOPR010914P76</v>
          </cell>
          <cell r="AA120" t="str">
            <v>DERMOCONSEJO</v>
          </cell>
          <cell r="AB120" t="str">
            <v>MUJER</v>
          </cell>
          <cell r="AC120">
            <v>330.576219178082</v>
          </cell>
          <cell r="AD120" t="str">
            <v/>
          </cell>
          <cell r="AE120" t="str">
            <v/>
          </cell>
          <cell r="AF120" t="str">
            <v>5615799846</v>
          </cell>
          <cell r="AG120" t="str">
            <v>CDMX</v>
          </cell>
          <cell r="AH120">
            <v>0</v>
          </cell>
        </row>
        <row r="121">
          <cell r="A121">
            <v>537</v>
          </cell>
          <cell r="B121" t="str">
            <v>w9dqy2wz4o5mxe8</v>
          </cell>
          <cell r="C121" t="str">
            <v>BTL-DC-537</v>
          </cell>
          <cell r="D121" t="str">
            <v>97166</v>
          </cell>
          <cell r="E121" t="str">
            <v>jannethmagalycastillonavarro@gmail.com</v>
          </cell>
          <cell r="F121" t="str">
            <v>CANJ930223MYNSVN06</v>
          </cell>
          <cell r="G121" t="str">
            <v/>
          </cell>
          <cell r="H121" t="str">
            <v/>
          </cell>
          <cell r="I121" t="str">
            <v/>
          </cell>
          <cell r="J121" t="str">
            <v>51 #134, FIDEL VELAZQUEZ, MERIDA, CP 97166, YUCATÁN</v>
          </cell>
          <cell r="K121">
            <v>0</v>
          </cell>
          <cell r="L121" t="str">
            <v>ACTIVO</v>
          </cell>
          <cell r="M121" t="str">
            <v>CASADO/A</v>
          </cell>
          <cell r="N121" t="str">
            <v/>
          </cell>
          <cell r="O121" t="str">
            <v/>
          </cell>
          <cell r="P121" t="str">
            <v/>
          </cell>
          <cell r="Q121" t="str">
            <v>2026-01-12 00:00:00.000Z</v>
          </cell>
          <cell r="R121" t="str">
            <v>2026-01-12 00:00:00.000Z</v>
          </cell>
          <cell r="S121" t="str">
            <v>1993-02-23 00:00:00.000Z</v>
          </cell>
          <cell r="T121" t="str">
            <v>tvn15682k97anc8</v>
          </cell>
          <cell r="U121" t="str">
            <v>CASTILLO NAVARRO JANNETH MAGALY</v>
          </cell>
          <cell r="V121" t="str">
            <v>08159300519</v>
          </cell>
          <cell r="W121" t="str">
            <v>YUCATAN</v>
          </cell>
          <cell r="X121" t="str">
            <v/>
          </cell>
          <cell r="Y121" t="str">
            <v/>
          </cell>
          <cell r="Z121" t="str">
            <v>CANJ930223</v>
          </cell>
          <cell r="AA121" t="str">
            <v>DERMOCONSEJO</v>
          </cell>
          <cell r="AB121" t="str">
            <v>MUJER</v>
          </cell>
          <cell r="AC121">
            <v>340.49224657534199</v>
          </cell>
          <cell r="AD121" t="str">
            <v/>
          </cell>
          <cell r="AE121" t="str">
            <v/>
          </cell>
          <cell r="AF121" t="str">
            <v>9991156750</v>
          </cell>
          <cell r="AG121" t="str">
            <v>YUCATAN</v>
          </cell>
          <cell r="AH121">
            <v>0</v>
          </cell>
        </row>
        <row r="122">
          <cell r="A122">
            <v>69</v>
          </cell>
          <cell r="B122" t="str">
            <v>w9dqy2wz4o5mxe8</v>
          </cell>
          <cell r="C122" t="str">
            <v>BTL-DC-69</v>
          </cell>
          <cell r="D122" t="str">
            <v>45407</v>
          </cell>
          <cell r="E122" t="str">
            <v>luperciovaladezn@gmail.com</v>
          </cell>
          <cell r="F122" t="str">
            <v>LUVN921007MJCPLN07</v>
          </cell>
          <cell r="G122" t="str">
            <v/>
          </cell>
          <cell r="H122" t="str">
            <v/>
          </cell>
          <cell r="I122" t="str">
            <v/>
          </cell>
          <cell r="J122" t="str">
            <v>AMAPOLA #204 ALAMEDAS DE ZALATITAN TONALA CP 45407 JALISCO</v>
          </cell>
          <cell r="K122">
            <v>0</v>
          </cell>
          <cell r="L122" t="str">
            <v>ACTIVO</v>
          </cell>
          <cell r="M122" t="str">
            <v>SOLTERO/A</v>
          </cell>
          <cell r="N122" t="str">
            <v/>
          </cell>
          <cell r="O122" t="str">
            <v/>
          </cell>
          <cell r="P122" t="str">
            <v/>
          </cell>
          <cell r="Q122" t="str">
            <v>2022-04-06 00:00:00.000Z</v>
          </cell>
          <cell r="R122" t="str">
            <v>2022-04-08 00:00:00.000Z</v>
          </cell>
          <cell r="S122" t="str">
            <v>1992-10-07 00:00:00.000Z</v>
          </cell>
          <cell r="T122" t="str">
            <v>45cw1ucq347b8s7</v>
          </cell>
          <cell r="U122" t="str">
            <v xml:space="preserve">LUPERCIO VALADEZ NANCY LIZETTE </v>
          </cell>
          <cell r="V122" t="str">
            <v>05199272617</v>
          </cell>
          <cell r="W122" t="str">
            <v>JALISCO</v>
          </cell>
          <cell r="X122" t="str">
            <v/>
          </cell>
          <cell r="Y122" t="str">
            <v/>
          </cell>
          <cell r="Z122" t="str">
            <v>LUVN9210079Y7</v>
          </cell>
          <cell r="AA122" t="str">
            <v>DERMOCONSEJO</v>
          </cell>
          <cell r="AB122" t="str">
            <v>MUJER</v>
          </cell>
          <cell r="AC122">
            <v>612.15398181001501</v>
          </cell>
          <cell r="AD122" t="str">
            <v/>
          </cell>
          <cell r="AE122" t="str">
            <v/>
          </cell>
          <cell r="AF122" t="str">
            <v>3334044961</v>
          </cell>
          <cell r="AG122" t="str">
            <v>GDL</v>
          </cell>
          <cell r="AH122">
            <v>0</v>
          </cell>
        </row>
        <row r="123">
          <cell r="A123">
            <v>186</v>
          </cell>
          <cell r="B123" t="str">
            <v>w9dqy2wz4o5mxe8</v>
          </cell>
          <cell r="C123" t="str">
            <v>BTL-DC-186</v>
          </cell>
          <cell r="D123" t="str">
            <v>37545</v>
          </cell>
          <cell r="E123" t="str">
            <v>mancillaadrianne1@gmail.com</v>
          </cell>
          <cell r="F123" t="str">
            <v>MEGL801031MGTNTZ09</v>
          </cell>
          <cell r="G123" t="str">
            <v/>
          </cell>
          <cell r="H123" t="str">
            <v/>
          </cell>
          <cell r="I123" t="str">
            <v/>
          </cell>
          <cell r="J123" t="str">
            <v>BOSQUE DE CAMELINAS 150 LAS CAMELINAS LEÓN CP 37545 GUANAJUATO</v>
          </cell>
          <cell r="K123">
            <v>0</v>
          </cell>
          <cell r="L123" t="str">
            <v>ACTIVO</v>
          </cell>
          <cell r="M123" t="str">
            <v>CASADO/A</v>
          </cell>
          <cell r="N123" t="str">
            <v/>
          </cell>
          <cell r="O123" t="str">
            <v/>
          </cell>
          <cell r="P123" t="str">
            <v/>
          </cell>
          <cell r="Q123" t="str">
            <v>2025-08-01 00:00:00.000Z</v>
          </cell>
          <cell r="R123" t="str">
            <v>2025-08-01 00:00:00.000Z</v>
          </cell>
          <cell r="S123" t="str">
            <v>1980-10-31 00:00:00.000Z</v>
          </cell>
          <cell r="T123" t="str">
            <v>88b78ryjrju9vg9</v>
          </cell>
          <cell r="U123" t="str">
            <v xml:space="preserve">MANCILLA GUTIERREZ LUZ ADRIANA </v>
          </cell>
          <cell r="V123" t="str">
            <v>63978029666</v>
          </cell>
          <cell r="W123" t="str">
            <v>GUANAJUATO</v>
          </cell>
          <cell r="X123" t="str">
            <v/>
          </cell>
          <cell r="Y123" t="str">
            <v/>
          </cell>
          <cell r="Z123" t="str">
            <v>MAGL801031BR0</v>
          </cell>
          <cell r="AA123" t="str">
            <v>DERMOCONSEJO</v>
          </cell>
          <cell r="AB123" t="str">
            <v>MUJER</v>
          </cell>
          <cell r="AC123">
            <v>562.638186391197</v>
          </cell>
          <cell r="AD123" t="str">
            <v/>
          </cell>
          <cell r="AE123" t="str">
            <v/>
          </cell>
          <cell r="AF123" t="str">
            <v>4772869619</v>
          </cell>
          <cell r="AG123" t="str">
            <v>GUANAJUATO</v>
          </cell>
          <cell r="AH123">
            <v>0</v>
          </cell>
        </row>
        <row r="124">
          <cell r="A124">
            <v>240</v>
          </cell>
          <cell r="B124" t="str">
            <v>w9dqy2wz4o5mxe8</v>
          </cell>
          <cell r="C124" t="str">
            <v>BTL-DC-240</v>
          </cell>
          <cell r="D124" t="str">
            <v>72560</v>
          </cell>
          <cell r="E124" t="str">
            <v>julissa.manzano.cabrera@gmail.com</v>
          </cell>
          <cell r="F124" t="str">
            <v>MACJ940831MPLNBL06</v>
          </cell>
          <cell r="G124" t="str">
            <v/>
          </cell>
          <cell r="H124" t="str">
            <v/>
          </cell>
          <cell r="I124" t="str">
            <v/>
          </cell>
          <cell r="J124" t="str">
            <v>DEL JARDIN BOTANICO EDIFICIO D15-6 LA MARGARITA  PUEBLA  CP 72560 PUEBLA</v>
          </cell>
          <cell r="K124">
            <v>0</v>
          </cell>
          <cell r="L124" t="str">
            <v>ACTIVO</v>
          </cell>
          <cell r="M124" t="str">
            <v>SOLTERO/A</v>
          </cell>
          <cell r="N124" t="str">
            <v/>
          </cell>
          <cell r="O124" t="str">
            <v/>
          </cell>
          <cell r="P124" t="str">
            <v/>
          </cell>
          <cell r="Q124" t="str">
            <v>2024-01-04 00:00:00.000Z</v>
          </cell>
          <cell r="R124" t="str">
            <v>2024-01-04 00:00:00.000Z</v>
          </cell>
          <cell r="S124" t="str">
            <v>1994-08-31 00:00:00.000Z</v>
          </cell>
          <cell r="T124" t="str">
            <v>284g5s278545hif</v>
          </cell>
          <cell r="U124" t="str">
            <v xml:space="preserve">MANZANO CABRERA JULISSA </v>
          </cell>
          <cell r="V124" t="str">
            <v>15169474010</v>
          </cell>
          <cell r="W124" t="str">
            <v>PUEBLA</v>
          </cell>
          <cell r="X124" t="str">
            <v/>
          </cell>
          <cell r="Y124" t="str">
            <v/>
          </cell>
          <cell r="Z124" t="str">
            <v>MACJ940831DY6</v>
          </cell>
          <cell r="AA124" t="str">
            <v>DERMOCONSEJO</v>
          </cell>
          <cell r="AB124" t="str">
            <v>MUJER</v>
          </cell>
          <cell r="AC124">
            <v>551.57445138109097</v>
          </cell>
          <cell r="AD124" t="str">
            <v/>
          </cell>
          <cell r="AE124" t="str">
            <v/>
          </cell>
          <cell r="AF124" t="str">
            <v>2225283081</v>
          </cell>
          <cell r="AG124" t="str">
            <v>PUEBLA</v>
          </cell>
          <cell r="AH124">
            <v>0</v>
          </cell>
        </row>
        <row r="125">
          <cell r="A125">
            <v>465</v>
          </cell>
          <cell r="B125" t="str">
            <v>w9dqy2wz4o5mxe8</v>
          </cell>
          <cell r="C125" t="str">
            <v>BTL-DC-465</v>
          </cell>
          <cell r="D125" t="str">
            <v>09760</v>
          </cell>
          <cell r="E125" t="str">
            <v>erikamtzcruz23@gmail.com</v>
          </cell>
          <cell r="F125" t="str">
            <v>MACE760123MDFRRR05</v>
          </cell>
          <cell r="G125" t="str">
            <v/>
          </cell>
          <cell r="H125" t="str">
            <v/>
          </cell>
          <cell r="I125" t="str">
            <v/>
          </cell>
          <cell r="J125" t="str">
            <v>CHINARA NUM.29 TRIANGULO  IZTAPALAPA  CP 09760 CIUDAD DE MÉXICO</v>
          </cell>
          <cell r="K125">
            <v>0</v>
          </cell>
          <cell r="L125" t="str">
            <v>ACTIVO</v>
          </cell>
          <cell r="M125" t="str">
            <v>CASADO/A</v>
          </cell>
          <cell r="N125" t="str">
            <v/>
          </cell>
          <cell r="O125" t="str">
            <v/>
          </cell>
          <cell r="P125" t="str">
            <v/>
          </cell>
          <cell r="Q125" t="str">
            <v>2025-05-21 00:00:00.000Z</v>
          </cell>
          <cell r="R125" t="str">
            <v>2025-05-21 00:00:00.000Z</v>
          </cell>
          <cell r="S125" t="str">
            <v>1976-01-23 00:00:00.000Z</v>
          </cell>
          <cell r="T125" t="str">
            <v>v81p408thvah650</v>
          </cell>
          <cell r="U125" t="str">
            <v xml:space="preserve">MARTINEZ CRUZ ERIKA </v>
          </cell>
          <cell r="V125" t="str">
            <v>68927647963</v>
          </cell>
          <cell r="W125" t="str">
            <v>CIUDAD DE MEXICO</v>
          </cell>
          <cell r="X125" t="str">
            <v/>
          </cell>
          <cell r="Y125" t="str">
            <v/>
          </cell>
          <cell r="Z125" t="str">
            <v>MACE7601126G2</v>
          </cell>
          <cell r="AA125" t="str">
            <v>DERMOCONSEJO</v>
          </cell>
          <cell r="AB125" t="str">
            <v>MUJER</v>
          </cell>
          <cell r="AC125">
            <v>584.27359622726203</v>
          </cell>
          <cell r="AD125" t="str">
            <v/>
          </cell>
          <cell r="AE125" t="str">
            <v/>
          </cell>
          <cell r="AF125" t="str">
            <v>5522467975</v>
          </cell>
          <cell r="AG125" t="str">
            <v>CDMX</v>
          </cell>
          <cell r="AH125">
            <v>0</v>
          </cell>
        </row>
        <row r="126">
          <cell r="A126">
            <v>499</v>
          </cell>
          <cell r="B126" t="str">
            <v>w9dqy2wz4o5mxe8</v>
          </cell>
          <cell r="C126" t="str">
            <v>BTL-DC-499</v>
          </cell>
          <cell r="D126" t="str">
            <v>45410</v>
          </cell>
          <cell r="E126" t="str">
            <v>mtzglezalicia.19@gmail.com</v>
          </cell>
          <cell r="F126" t="str">
            <v>MAGL810512MJCRNR08</v>
          </cell>
          <cell r="G126" t="str">
            <v/>
          </cell>
          <cell r="H126" t="str">
            <v/>
          </cell>
          <cell r="I126" t="str">
            <v/>
          </cell>
          <cell r="J126" t="str">
            <v>CEDRO 8 F FRACCIONAMIENTO ALTUS PINAR TONALÁ  CP 45410 JALISCO</v>
          </cell>
          <cell r="K126">
            <v>0</v>
          </cell>
          <cell r="L126" t="str">
            <v>ACTIVO</v>
          </cell>
          <cell r="M126" t="str">
            <v>CASADO/A</v>
          </cell>
          <cell r="N126" t="str">
            <v/>
          </cell>
          <cell r="O126" t="str">
            <v/>
          </cell>
          <cell r="P126" t="str">
            <v/>
          </cell>
          <cell r="Q126" t="str">
            <v>2025-08-01 00:00:00.000Z</v>
          </cell>
          <cell r="R126" t="str">
            <v>2025-08-01 00:00:00.000Z</v>
          </cell>
          <cell r="S126" t="str">
            <v>1981-05-12 00:00:00.000Z</v>
          </cell>
          <cell r="T126" t="str">
            <v>dnuv95a3u975703</v>
          </cell>
          <cell r="U126" t="str">
            <v xml:space="preserve">MARTINEZ GONZALEZ LAURA ALICIA </v>
          </cell>
          <cell r="V126" t="str">
            <v>04008144604</v>
          </cell>
          <cell r="W126" t="str">
            <v>JALISCO</v>
          </cell>
          <cell r="X126" t="str">
            <v/>
          </cell>
          <cell r="Y126" t="str">
            <v/>
          </cell>
          <cell r="Z126" t="str">
            <v>MAGL810512DN1</v>
          </cell>
          <cell r="AA126" t="str">
            <v>DERMOCONSEJO</v>
          </cell>
          <cell r="AB126" t="str">
            <v>MUJER</v>
          </cell>
          <cell r="AC126">
            <v>552.41376016168795</v>
          </cell>
          <cell r="AD126" t="str">
            <v/>
          </cell>
          <cell r="AE126" t="str">
            <v/>
          </cell>
          <cell r="AF126" t="str">
            <v>3346602615</v>
          </cell>
          <cell r="AG126" t="str">
            <v>GDL</v>
          </cell>
          <cell r="AH126">
            <v>0</v>
          </cell>
        </row>
        <row r="127">
          <cell r="A127">
            <v>336</v>
          </cell>
          <cell r="B127" t="str">
            <v>w9dqy2wz4o5mxe8</v>
          </cell>
          <cell r="C127" t="str">
            <v>BTL-DC-336</v>
          </cell>
          <cell r="D127" t="str">
            <v>97370</v>
          </cell>
          <cell r="E127" t="str">
            <v>m9991153601@gmail.com</v>
          </cell>
          <cell r="F127" t="str">
            <v>MAGG841212MCSRTD09</v>
          </cell>
          <cell r="G127" t="str">
            <v/>
          </cell>
          <cell r="H127" t="str">
            <v/>
          </cell>
          <cell r="I127" t="str">
            <v/>
          </cell>
          <cell r="J127" t="str">
            <v>CALLE 10A  NÚMERO 495 V16  PORTAL SAN PEDRO KANASIN  CP 97370 YUCATÁN</v>
          </cell>
          <cell r="K127">
            <v>0</v>
          </cell>
          <cell r="L127" t="str">
            <v>ACTIVO</v>
          </cell>
          <cell r="M127" t="str">
            <v>SOLTERO/A</v>
          </cell>
          <cell r="N127" t="str">
            <v/>
          </cell>
          <cell r="O127" t="str">
            <v/>
          </cell>
          <cell r="P127" t="str">
            <v/>
          </cell>
          <cell r="Q127" t="str">
            <v>2024-07-09 00:00:00.000Z</v>
          </cell>
          <cell r="R127" t="str">
            <v>2024-07-09 00:00:00.000Z</v>
          </cell>
          <cell r="S127" t="str">
            <v>1984-12-12 00:00:00.000Z</v>
          </cell>
          <cell r="T127" t="str">
            <v>1q1020g0h62qy75</v>
          </cell>
          <cell r="U127" t="str">
            <v xml:space="preserve">MARTINEZ GUTIERREZ MARIA GUADALUPE </v>
          </cell>
          <cell r="V127" t="str">
            <v>76168400711</v>
          </cell>
          <cell r="W127" t="str">
            <v>CHIAPAS</v>
          </cell>
          <cell r="X127" t="str">
            <v/>
          </cell>
          <cell r="Y127" t="str">
            <v/>
          </cell>
          <cell r="Z127" t="str">
            <v>MAGG841212LZA</v>
          </cell>
          <cell r="AA127" t="str">
            <v>DERMOCONSEJO</v>
          </cell>
          <cell r="AB127" t="str">
            <v>MUJER</v>
          </cell>
          <cell r="AC127">
            <v>536.93066629238695</v>
          </cell>
          <cell r="AD127" t="str">
            <v/>
          </cell>
          <cell r="AE127" t="str">
            <v/>
          </cell>
          <cell r="AF127" t="str">
            <v>9991919541</v>
          </cell>
          <cell r="AG127" t="str">
            <v>YUCATAN</v>
          </cell>
          <cell r="AH127">
            <v>0</v>
          </cell>
        </row>
        <row r="128">
          <cell r="A128">
            <v>401</v>
          </cell>
          <cell r="B128" t="str">
            <v>w9dqy2wz4o5mxe8</v>
          </cell>
          <cell r="C128" t="str">
            <v>BTL-DC-401</v>
          </cell>
          <cell r="D128" t="str">
            <v>02200</v>
          </cell>
          <cell r="E128" t="str">
            <v>betsylu0511@gmail.com</v>
          </cell>
          <cell r="F128" t="str">
            <v>MEJB731105MDFNCT02</v>
          </cell>
          <cell r="G128" t="str">
            <v/>
          </cell>
          <cell r="H128" t="str">
            <v/>
          </cell>
          <cell r="I128" t="str">
            <v/>
          </cell>
          <cell r="J128" t="str">
            <v>CAMPO HORCON  190 EDIF,. J101 REYNOSA TAMAULIPAS  AZCAPOTZALCO  CP 02200 MÉXICO</v>
          </cell>
          <cell r="K128">
            <v>0</v>
          </cell>
          <cell r="L128" t="str">
            <v>ACTIVO</v>
          </cell>
          <cell r="M128" t="str">
            <v>CASADO/A</v>
          </cell>
          <cell r="N128" t="str">
            <v/>
          </cell>
          <cell r="O128" t="str">
            <v/>
          </cell>
          <cell r="P128" t="str">
            <v/>
          </cell>
          <cell r="Q128" t="str">
            <v>2025-01-03 00:00:00.000Z</v>
          </cell>
          <cell r="R128" t="str">
            <v>2025-01-03 00:00:00.000Z</v>
          </cell>
          <cell r="S128" t="str">
            <v>1973-11-05 00:00:00.000Z</v>
          </cell>
          <cell r="T128" t="str">
            <v>prz6o7a6t3gd45q</v>
          </cell>
          <cell r="U128" t="str">
            <v>MENDEZ JACOBO BEATRIZ</v>
          </cell>
          <cell r="V128" t="str">
            <v>07907114925</v>
          </cell>
          <cell r="W128" t="str">
            <v>CIUDAD DE MEXICO</v>
          </cell>
          <cell r="X128" t="str">
            <v/>
          </cell>
          <cell r="Y128" t="str">
            <v/>
          </cell>
          <cell r="Z128" t="str">
            <v>MEJB731105AD8</v>
          </cell>
          <cell r="AA128" t="str">
            <v>DERMOCONSEJO</v>
          </cell>
          <cell r="AB128" t="str">
            <v>MUJER</v>
          </cell>
          <cell r="AC128">
            <v>522.38639636200298</v>
          </cell>
          <cell r="AD128" t="str">
            <v/>
          </cell>
          <cell r="AE128" t="str">
            <v/>
          </cell>
          <cell r="AF128" t="str">
            <v>5521787252</v>
          </cell>
          <cell r="AG128" t="str">
            <v>CDMX</v>
          </cell>
          <cell r="AH128">
            <v>0</v>
          </cell>
        </row>
        <row r="129">
          <cell r="A129">
            <v>233</v>
          </cell>
          <cell r="B129" t="str">
            <v>w9dqy2wz4o5mxe8</v>
          </cell>
          <cell r="C129" t="str">
            <v>BTL-DC-233</v>
          </cell>
          <cell r="D129" t="str">
            <v>44320</v>
          </cell>
          <cell r="E129" t="str">
            <v>mendozavanessa278@gmail.com</v>
          </cell>
          <cell r="F129" t="str">
            <v>MEMV960314MJCNNN04</v>
          </cell>
          <cell r="G129" t="str">
            <v/>
          </cell>
          <cell r="H129" t="str">
            <v/>
          </cell>
          <cell r="I129" t="str">
            <v/>
          </cell>
          <cell r="J129" t="str">
            <v>NUDO DE CEMPOALTEPETL 474 BELISARIO DOMINGUEZ  GUADALAJARA  CP 44320 JALISCO</v>
          </cell>
          <cell r="K129">
            <v>0</v>
          </cell>
          <cell r="L129" t="str">
            <v>ACTIVO</v>
          </cell>
          <cell r="M129" t="str">
            <v>SOLTERO/A</v>
          </cell>
          <cell r="N129" t="str">
            <v/>
          </cell>
          <cell r="O129" t="str">
            <v/>
          </cell>
          <cell r="P129" t="str">
            <v/>
          </cell>
          <cell r="Q129" t="str">
            <v>2024-07-15 00:00:00.000Z</v>
          </cell>
          <cell r="R129" t="str">
            <v>2024-07-15 00:00:00.000Z</v>
          </cell>
          <cell r="S129" t="str">
            <v>1996-03-14 00:00:00.000Z</v>
          </cell>
          <cell r="T129" t="str">
            <v>4197ud96t7j4961</v>
          </cell>
          <cell r="U129" t="str">
            <v xml:space="preserve">MENDOZA MENDIOLA VANESSA </v>
          </cell>
          <cell r="V129" t="str">
            <v>04119605600</v>
          </cell>
          <cell r="W129" t="str">
            <v>JALISCO</v>
          </cell>
          <cell r="X129" t="str">
            <v/>
          </cell>
          <cell r="Y129" t="str">
            <v/>
          </cell>
          <cell r="Z129" t="str">
            <v>MEMV960314L31</v>
          </cell>
          <cell r="AA129" t="str">
            <v>DERMOCONSEJO</v>
          </cell>
          <cell r="AB129" t="str">
            <v>MUJER</v>
          </cell>
          <cell r="AC129">
            <v>531.34967505052703</v>
          </cell>
          <cell r="AD129" t="str">
            <v/>
          </cell>
          <cell r="AE129" t="str">
            <v/>
          </cell>
          <cell r="AF129" t="str">
            <v>3320818721</v>
          </cell>
          <cell r="AG129" t="str">
            <v>GDL</v>
          </cell>
          <cell r="AH129">
            <v>0</v>
          </cell>
        </row>
        <row r="130">
          <cell r="A130">
            <v>287</v>
          </cell>
          <cell r="B130" t="str">
            <v>w9dqy2wz4o5mxe8</v>
          </cell>
          <cell r="C130" t="str">
            <v>BTL-DC-287</v>
          </cell>
          <cell r="D130" t="str">
            <v>57610</v>
          </cell>
          <cell r="E130" t="str">
            <v>imendozasilva7@gmail.com</v>
          </cell>
          <cell r="F130" t="str">
            <v>MESR950111MDFNLB02</v>
          </cell>
          <cell r="G130" t="str">
            <v/>
          </cell>
          <cell r="H130" t="str">
            <v/>
          </cell>
          <cell r="I130" t="str">
            <v/>
          </cell>
          <cell r="J130" t="str">
            <v>OSCAR 164 PAVÓN NEZAHUALCOYOTL CP 57610 CIUDAD DE MÉXICO</v>
          </cell>
          <cell r="K130">
            <v>0</v>
          </cell>
          <cell r="L130" t="str">
            <v>ACTIVO</v>
          </cell>
          <cell r="M130" t="str">
            <v>CASADO/A</v>
          </cell>
          <cell r="N130" t="str">
            <v/>
          </cell>
          <cell r="O130" t="str">
            <v/>
          </cell>
          <cell r="P130" t="str">
            <v/>
          </cell>
          <cell r="Q130" t="str">
            <v>2024-10-14 00:00:00.000Z</v>
          </cell>
          <cell r="R130" t="str">
            <v>2024-10-14 00:00:00.000Z</v>
          </cell>
          <cell r="S130" t="str">
            <v>1995-01-11 00:00:00.000Z</v>
          </cell>
          <cell r="T130" t="str">
            <v>7bt1g8p8582vu2r</v>
          </cell>
          <cell r="U130" t="str">
            <v xml:space="preserve">MENDOZA SILVA REBECA ISABEL </v>
          </cell>
          <cell r="V130" t="str">
            <v>37139501722</v>
          </cell>
          <cell r="W130" t="str">
            <v>CIUDAD DE MEXICO</v>
          </cell>
          <cell r="X130" t="str">
            <v/>
          </cell>
          <cell r="Y130" t="str">
            <v/>
          </cell>
          <cell r="Z130" t="str">
            <v>MESR950111RP6</v>
          </cell>
          <cell r="AA130" t="str">
            <v>DERMOCONSEJO</v>
          </cell>
          <cell r="AB130" t="str">
            <v>MUJER</v>
          </cell>
          <cell r="AC130">
            <v>565.87737996856004</v>
          </cell>
          <cell r="AD130" t="str">
            <v/>
          </cell>
          <cell r="AE130" t="str">
            <v/>
          </cell>
          <cell r="AF130" t="str">
            <v>5633135150</v>
          </cell>
          <cell r="AG130" t="str">
            <v>CDMX</v>
          </cell>
          <cell r="AH130">
            <v>0</v>
          </cell>
        </row>
        <row r="131">
          <cell r="A131">
            <v>165</v>
          </cell>
          <cell r="B131" t="str">
            <v>w9dqy2wz4o5mxe8</v>
          </cell>
          <cell r="C131" t="str">
            <v>BTL-DC-165</v>
          </cell>
          <cell r="D131" t="str">
            <v>55158</v>
          </cell>
          <cell r="E131" t="str">
            <v>luisanavel1982@gmail.com</v>
          </cell>
          <cell r="F131" t="str">
            <v>MEVA820221MDFNLN00</v>
          </cell>
          <cell r="G131" t="str">
            <v/>
          </cell>
          <cell r="H131" t="str">
            <v/>
          </cell>
          <cell r="I131" t="str">
            <v/>
          </cell>
          <cell r="J131" t="str">
            <v>CALLE PEZ TIGRE MZ 23 LT 10  POLÍGONO 2 ECATEPEC DE MORELOS CP 55158 MÉXICO</v>
          </cell>
          <cell r="K131">
            <v>0</v>
          </cell>
          <cell r="L131" t="str">
            <v>ACTIVO</v>
          </cell>
          <cell r="M131" t="str">
            <v>SOLTERO/A</v>
          </cell>
          <cell r="N131" t="str">
            <v/>
          </cell>
          <cell r="O131" t="str">
            <v/>
          </cell>
          <cell r="P131" t="str">
            <v/>
          </cell>
          <cell r="Q131" t="str">
            <v>2023-03-31 00:00:00.000Z</v>
          </cell>
          <cell r="R131" t="str">
            <v>2023-04-01 00:00:00.000Z</v>
          </cell>
          <cell r="S131" t="str">
            <v>1982-02-21 00:00:00.000Z</v>
          </cell>
          <cell r="T131" t="str">
            <v>98wb7apny5hvo8f</v>
          </cell>
          <cell r="U131" t="str">
            <v>MENESES VELAZQUEZ ANA LUISA</v>
          </cell>
          <cell r="V131" t="str">
            <v>21018261038</v>
          </cell>
          <cell r="W131" t="str">
            <v>CIUDAD DE MEXICO</v>
          </cell>
          <cell r="X131" t="str">
            <v/>
          </cell>
          <cell r="Y131" t="str">
            <v/>
          </cell>
          <cell r="Z131" t="str">
            <v>MEVA820221HM7</v>
          </cell>
          <cell r="AA131" t="str">
            <v>DERMOCONSEJO</v>
          </cell>
          <cell r="AB131" t="str">
            <v>MUJER</v>
          </cell>
          <cell r="AC131">
            <v>581.82150056141904</v>
          </cell>
          <cell r="AD131" t="str">
            <v/>
          </cell>
          <cell r="AE131" t="str">
            <v/>
          </cell>
          <cell r="AF131" t="str">
            <v>5527222361</v>
          </cell>
          <cell r="AG131" t="str">
            <v>CDMX</v>
          </cell>
          <cell r="AH131">
            <v>0</v>
          </cell>
        </row>
        <row r="132">
          <cell r="A132">
            <v>573</v>
          </cell>
          <cell r="B132" t="str">
            <v>w9dqy2wz4o5mxe8</v>
          </cell>
          <cell r="C132" t="str">
            <v>BTL-DC-573</v>
          </cell>
          <cell r="D132" t="str">
            <v>44990</v>
          </cell>
          <cell r="E132" t="str">
            <v>mercadomarialuisa08@gmail.com</v>
          </cell>
          <cell r="F132" t="str">
            <v>MESL750325MJCRLS04</v>
          </cell>
          <cell r="G132" t="str">
            <v/>
          </cell>
          <cell r="H132" t="str">
            <v/>
          </cell>
          <cell r="I132" t="str">
            <v/>
          </cell>
          <cell r="J132" t="str">
            <v>JOSE SALOME PIÑA EDF 73 INT. 41 COL MIRAVALLE TLAQUEPAQUE, JALISCO CP.44990</v>
          </cell>
          <cell r="K132">
            <v>0</v>
          </cell>
          <cell r="L132" t="str">
            <v>ACTIVO</v>
          </cell>
          <cell r="M132" t="str">
            <v>CASADO/A</v>
          </cell>
          <cell r="N132" t="str">
            <v/>
          </cell>
          <cell r="O132" t="str">
            <v/>
          </cell>
          <cell r="P132" t="str">
            <v/>
          </cell>
          <cell r="Q132" t="str">
            <v>2026-01-20 00:00:00.000Z</v>
          </cell>
          <cell r="R132" t="str">
            <v>2026-01-20 00:00:00.000Z</v>
          </cell>
          <cell r="S132" t="str">
            <v>1975-03-25 00:00:00.000Z</v>
          </cell>
          <cell r="T132" t="str">
            <v>57twjs818a7n570</v>
          </cell>
          <cell r="U132" t="str">
            <v>MERCADO SILVA MARIA LUISA</v>
          </cell>
          <cell r="V132" t="str">
            <v>04927545790</v>
          </cell>
          <cell r="W132" t="str">
            <v>JALISCO</v>
          </cell>
          <cell r="X132" t="str">
            <v/>
          </cell>
          <cell r="Y132" t="str">
            <v/>
          </cell>
          <cell r="Z132" t="str">
            <v>MESL750325IY7</v>
          </cell>
          <cell r="AA132" t="str">
            <v>DERMOCONSEJO</v>
          </cell>
          <cell r="AB132" t="str">
            <v>MUJER</v>
          </cell>
          <cell r="AC132">
            <v>330.576219178082</v>
          </cell>
          <cell r="AD132" t="str">
            <v/>
          </cell>
          <cell r="AE132" t="str">
            <v/>
          </cell>
          <cell r="AF132" t="str">
            <v>3334805763</v>
          </cell>
          <cell r="AG132" t="str">
            <v>GDL</v>
          </cell>
          <cell r="AH132">
            <v>0</v>
          </cell>
        </row>
        <row r="133">
          <cell r="A133">
            <v>469</v>
          </cell>
          <cell r="B133" t="str">
            <v>w9dqy2wz4o5mxe8</v>
          </cell>
          <cell r="C133" t="str">
            <v>BTL-DC-469</v>
          </cell>
          <cell r="D133" t="str">
            <v>44810</v>
          </cell>
          <cell r="E133" t="str">
            <v>claudia.meza.prom@gmail.com</v>
          </cell>
          <cell r="F133" t="str">
            <v>MEFC770716MJCZGL08</v>
          </cell>
          <cell r="G133" t="str">
            <v/>
          </cell>
          <cell r="H133" t="str">
            <v/>
          </cell>
          <cell r="I133" t="str">
            <v/>
          </cell>
          <cell r="J133" t="str">
            <v>JOSE MARIA VEREA 2986 A SAN RAFAEL  GUADALAJARA  CP 44810 JALISCO</v>
          </cell>
          <cell r="K133">
            <v>0</v>
          </cell>
          <cell r="L133" t="str">
            <v>ACTIVO</v>
          </cell>
          <cell r="M133" t="str">
            <v>CASADO/A</v>
          </cell>
          <cell r="N133" t="str">
            <v/>
          </cell>
          <cell r="O133" t="str">
            <v/>
          </cell>
          <cell r="P133" t="str">
            <v/>
          </cell>
          <cell r="Q133" t="str">
            <v>2025-06-02 00:00:00.000Z</v>
          </cell>
          <cell r="R133" t="str">
            <v>2025-06-02 00:00:00.000Z</v>
          </cell>
          <cell r="S133" t="str">
            <v>2025-07-16 00:00:00.000Z</v>
          </cell>
          <cell r="T133" t="str">
            <v>17w4x0352xj3z6f</v>
          </cell>
          <cell r="U133" t="str">
            <v xml:space="preserve">MEZA FIGUEROA CLAUDIA DEL CARMEN </v>
          </cell>
          <cell r="V133" t="str">
            <v>56957733084</v>
          </cell>
          <cell r="W133" t="str">
            <v>JALISCO</v>
          </cell>
          <cell r="X133" t="str">
            <v/>
          </cell>
          <cell r="Y133" t="str">
            <v/>
          </cell>
          <cell r="Z133" t="str">
            <v>MEFC770716N70</v>
          </cell>
          <cell r="AA133" t="str">
            <v>DERMOCONSEJO</v>
          </cell>
          <cell r="AB133" t="str">
            <v>MUJER</v>
          </cell>
          <cell r="AC133">
            <v>575.53589130922899</v>
          </cell>
          <cell r="AD133" t="str">
            <v/>
          </cell>
          <cell r="AE133" t="str">
            <v/>
          </cell>
          <cell r="AF133" t="str">
            <v>3335985440</v>
          </cell>
          <cell r="AG133" t="str">
            <v>GDL</v>
          </cell>
          <cell r="AH133">
            <v>0</v>
          </cell>
        </row>
        <row r="134">
          <cell r="A134">
            <v>123</v>
          </cell>
          <cell r="B134" t="str">
            <v>w9dqy2wz4o5mxe8</v>
          </cell>
          <cell r="C134" t="str">
            <v>BTL-DC-123</v>
          </cell>
          <cell r="D134" t="str">
            <v>13319</v>
          </cell>
          <cell r="E134" t="str">
            <v>monserratmogo06@gmail.com</v>
          </cell>
          <cell r="F134" t="str">
            <v>MOVM750128MDFGZN01</v>
          </cell>
          <cell r="G134" t="str">
            <v/>
          </cell>
          <cell r="H134" t="str">
            <v/>
          </cell>
          <cell r="I134" t="str">
            <v/>
          </cell>
          <cell r="J134" t="str">
            <v>VILLA DE CORTES MZ63 LT 25 ESTACION VIILLA DE CORTES TLAHUAC CP 13319 CIUDAD DE MÉXICO</v>
          </cell>
          <cell r="K134">
            <v>0</v>
          </cell>
          <cell r="L134" t="str">
            <v>ACTIVO</v>
          </cell>
          <cell r="M134" t="str">
            <v>SOLTERO/A</v>
          </cell>
          <cell r="N134" t="str">
            <v/>
          </cell>
          <cell r="O134" t="str">
            <v/>
          </cell>
          <cell r="P134" t="str">
            <v/>
          </cell>
          <cell r="Q134" t="str">
            <v>2023-01-11 00:00:00.000Z</v>
          </cell>
          <cell r="R134" t="str">
            <v>2023-01-15 00:00:00.000Z</v>
          </cell>
          <cell r="S134" t="str">
            <v>1975-01-28 00:00:00.000Z</v>
          </cell>
          <cell r="T134" t="str">
            <v>63di39sn75544z0</v>
          </cell>
          <cell r="U134" t="str">
            <v>MOGO VAZQUEZ MONSERRAT</v>
          </cell>
          <cell r="V134" t="str">
            <v>45017500690</v>
          </cell>
          <cell r="W134" t="str">
            <v>CIUDAD DE MEXICO</v>
          </cell>
          <cell r="X134" t="str">
            <v/>
          </cell>
          <cell r="Y134" t="str">
            <v/>
          </cell>
          <cell r="Z134" t="str">
            <v>MOVM750128QI4</v>
          </cell>
          <cell r="AA134" t="str">
            <v>DERMOCONSEJO</v>
          </cell>
          <cell r="AB134" t="str">
            <v>MUJER</v>
          </cell>
          <cell r="AC134">
            <v>472.87840803952298</v>
          </cell>
          <cell r="AD134" t="str">
            <v/>
          </cell>
          <cell r="AE134" t="str">
            <v/>
          </cell>
          <cell r="AF134" t="str">
            <v>5616162511</v>
          </cell>
          <cell r="AG134" t="str">
            <v>CDMX</v>
          </cell>
          <cell r="AH134">
            <v>0</v>
          </cell>
        </row>
        <row r="135">
          <cell r="A135">
            <v>82</v>
          </cell>
          <cell r="B135" t="str">
            <v>w9dqy2wz4o5mxe8</v>
          </cell>
          <cell r="C135" t="str">
            <v>BTL-DC-82</v>
          </cell>
          <cell r="D135" t="str">
            <v>50285</v>
          </cell>
          <cell r="E135" t="str">
            <v>dianimol0809@gmail.com</v>
          </cell>
          <cell r="F135" t="str">
            <v>MOCD780209MMCLRN09</v>
          </cell>
          <cell r="G135" t="str">
            <v/>
          </cell>
          <cell r="H135" t="str">
            <v/>
          </cell>
          <cell r="I135" t="str">
            <v/>
          </cell>
          <cell r="J135" t="str">
            <v>JUAN ESCUTIA 302 SAN MARCOS YACHIHUACALTEPEC TOLUCA CP 50285 MÉXICO</v>
          </cell>
          <cell r="K135">
            <v>0</v>
          </cell>
          <cell r="L135" t="str">
            <v>ACTIVO</v>
          </cell>
          <cell r="M135" t="str">
            <v>CASADO/A</v>
          </cell>
          <cell r="N135" t="str">
            <v/>
          </cell>
          <cell r="O135" t="str">
            <v/>
          </cell>
          <cell r="P135" t="str">
            <v/>
          </cell>
          <cell r="Q135" t="str">
            <v>2022-08-05 00:00:00.000Z</v>
          </cell>
          <cell r="R135" t="str">
            <v>2022-08-01 00:00:00.000Z</v>
          </cell>
          <cell r="S135" t="str">
            <v>1978-02-09 00:00:00.000Z</v>
          </cell>
          <cell r="T135" t="str">
            <v>hd4f53ivsr0ng26</v>
          </cell>
          <cell r="U135" t="str">
            <v xml:space="preserve">MOLINA CARMONA DIANA MARINA </v>
          </cell>
          <cell r="V135" t="str">
            <v>16967848611</v>
          </cell>
          <cell r="W135" t="str">
            <v>ESTADO DE MEXICO</v>
          </cell>
          <cell r="X135" t="str">
            <v/>
          </cell>
          <cell r="Y135" t="str">
            <v/>
          </cell>
          <cell r="Z135" t="str">
            <v>MOCD780209U57</v>
          </cell>
          <cell r="AA135" t="str">
            <v>DERMOCONSEJO</v>
          </cell>
          <cell r="AB135" t="str">
            <v>MUJER</v>
          </cell>
          <cell r="AC135">
            <v>535.29447361329403</v>
          </cell>
          <cell r="AD135" t="str">
            <v/>
          </cell>
          <cell r="AE135" t="str">
            <v/>
          </cell>
          <cell r="AF135" t="str">
            <v>7292610413</v>
          </cell>
          <cell r="AG135" t="str">
            <v>TOLUCA</v>
          </cell>
          <cell r="AH135">
            <v>0</v>
          </cell>
        </row>
        <row r="136">
          <cell r="A136">
            <v>180</v>
          </cell>
          <cell r="B136" t="str">
            <v>w9dqy2wz4o5mxe8</v>
          </cell>
          <cell r="C136" t="str">
            <v>BTL-DC-180</v>
          </cell>
          <cell r="D136" t="str">
            <v>80295</v>
          </cell>
          <cell r="E136" t="str">
            <v>viridianamaricelamolinagarcia@gmail.com</v>
          </cell>
          <cell r="F136" t="str">
            <v>MOGV860225MSLLRR00</v>
          </cell>
          <cell r="G136" t="str">
            <v/>
          </cell>
          <cell r="H136" t="str">
            <v/>
          </cell>
          <cell r="I136" t="str">
            <v/>
          </cell>
          <cell r="J136" t="str">
            <v>MONTE LA MESA 5783 FRACCIONAMIENTO ALTURAS DEL SUR  CULIACÁN SINALOA  CP 80295 SINALOA</v>
          </cell>
          <cell r="K136">
            <v>0</v>
          </cell>
          <cell r="L136" t="str">
            <v>ACTIVO</v>
          </cell>
          <cell r="M136" t="str">
            <v>SOLTERO/A</v>
          </cell>
          <cell r="N136" t="str">
            <v/>
          </cell>
          <cell r="O136" t="str">
            <v/>
          </cell>
          <cell r="P136" t="str">
            <v/>
          </cell>
          <cell r="Q136" t="str">
            <v>2023-06-24 00:00:00.000Z</v>
          </cell>
          <cell r="R136" t="str">
            <v>2023-06-22 00:00:00.000Z</v>
          </cell>
          <cell r="S136" t="str">
            <v>1986-02-25 00:00:00.000Z</v>
          </cell>
          <cell r="T136" t="str">
            <v>8pq3t986hum6623</v>
          </cell>
          <cell r="U136" t="str">
            <v xml:space="preserve">MOLINA GARCIA VIRIDIANA MARICELA </v>
          </cell>
          <cell r="V136" t="str">
            <v>23028657254</v>
          </cell>
          <cell r="W136" t="str">
            <v>SINALOA</v>
          </cell>
          <cell r="X136" t="str">
            <v/>
          </cell>
          <cell r="Y136" t="str">
            <v/>
          </cell>
          <cell r="Z136" t="str">
            <v>MOGV860225UB5</v>
          </cell>
          <cell r="AA136" t="str">
            <v>DERMOCONSEJO</v>
          </cell>
          <cell r="AB136" t="str">
            <v>MUJER</v>
          </cell>
          <cell r="AC136">
            <v>642.38722838535796</v>
          </cell>
          <cell r="AD136" t="str">
            <v/>
          </cell>
          <cell r="AE136" t="str">
            <v/>
          </cell>
          <cell r="AF136" t="str">
            <v>6674283018</v>
          </cell>
          <cell r="AG136" t="str">
            <v>SINALOA</v>
          </cell>
          <cell r="AH136">
            <v>0</v>
          </cell>
        </row>
        <row r="137">
          <cell r="A137">
            <v>248</v>
          </cell>
          <cell r="B137" t="str">
            <v>w9dqy2wz4o5mxe8</v>
          </cell>
          <cell r="C137" t="str">
            <v>BTL-DC-248</v>
          </cell>
          <cell r="D137" t="str">
            <v>10300</v>
          </cell>
          <cell r="E137" t="str">
            <v>maria011022lourdes@gmail.com</v>
          </cell>
          <cell r="F137" t="str">
            <v>MORL011022MDFNNRA5</v>
          </cell>
          <cell r="G137" t="str">
            <v/>
          </cell>
          <cell r="H137" t="str">
            <v/>
          </cell>
          <cell r="I137" t="str">
            <v/>
          </cell>
          <cell r="J137" t="str">
            <v>CD DEL CARMEN #11 PUEBLO DE SANBERNABE OCOTEPEC  MAGDALENA CONTRERAS  CP 10300 CIUDAD DE MÉXICO</v>
          </cell>
          <cell r="K137">
            <v>0</v>
          </cell>
          <cell r="L137" t="str">
            <v>ACTIVO</v>
          </cell>
          <cell r="M137" t="str">
            <v>SOLTERO/A</v>
          </cell>
          <cell r="N137" t="str">
            <v/>
          </cell>
          <cell r="O137" t="str">
            <v/>
          </cell>
          <cell r="P137" t="str">
            <v/>
          </cell>
          <cell r="Q137" t="str">
            <v>2024-01-10 00:00:00.000Z</v>
          </cell>
          <cell r="R137" t="str">
            <v>2024-01-10 00:00:00.000Z</v>
          </cell>
          <cell r="S137" t="str">
            <v>2001-10-22 00:00:00.000Z</v>
          </cell>
          <cell r="T137" t="str">
            <v>b59j84mx2s1wqvu</v>
          </cell>
          <cell r="U137" t="str">
            <v xml:space="preserve">MON RAGEL MARIA DE LOURDES </v>
          </cell>
          <cell r="V137" t="str">
            <v>56160134930</v>
          </cell>
          <cell r="W137" t="str">
            <v>CIUDAD DE MEXICO</v>
          </cell>
          <cell r="X137" t="str">
            <v/>
          </cell>
          <cell r="Y137" t="str">
            <v/>
          </cell>
          <cell r="Z137" t="str">
            <v>MORL0110221I1</v>
          </cell>
          <cell r="AA137" t="str">
            <v>DERMOCONSEJO</v>
          </cell>
          <cell r="AB137" t="str">
            <v>MUJER</v>
          </cell>
          <cell r="AC137">
            <v>588.22822187289398</v>
          </cell>
          <cell r="AD137" t="str">
            <v/>
          </cell>
          <cell r="AE137" t="str">
            <v/>
          </cell>
          <cell r="AF137" t="str">
            <v>5532660406</v>
          </cell>
          <cell r="AG137" t="str">
            <v>CDMX</v>
          </cell>
          <cell r="AH137">
            <v>0</v>
          </cell>
        </row>
        <row r="138">
          <cell r="A138">
            <v>144</v>
          </cell>
          <cell r="B138" t="str">
            <v>w9dqy2wz4o5mxe8</v>
          </cell>
          <cell r="C138" t="str">
            <v>BTL-DC-144</v>
          </cell>
          <cell r="D138" t="str">
            <v>62290</v>
          </cell>
          <cell r="E138" t="str">
            <v>celiamondragonlopez@gmail.com</v>
          </cell>
          <cell r="F138" t="str">
            <v>MOLC751005MSLNPL06</v>
          </cell>
          <cell r="G138" t="str">
            <v/>
          </cell>
          <cell r="H138" t="str">
            <v/>
          </cell>
          <cell r="I138" t="str">
            <v/>
          </cell>
          <cell r="J138" t="str">
            <v>PRIVADA RÍO TAMAZULA #205 VISTA HERMOSA CUERNAVACA MORELOS  CP 62290 MORELOS</v>
          </cell>
          <cell r="K138">
            <v>0</v>
          </cell>
          <cell r="L138" t="str">
            <v>ACTIVO</v>
          </cell>
          <cell r="M138" t="str">
            <v>SOLTERO/A</v>
          </cell>
          <cell r="N138" t="str">
            <v/>
          </cell>
          <cell r="O138" t="str">
            <v/>
          </cell>
          <cell r="P138" t="str">
            <v/>
          </cell>
          <cell r="Q138" t="str">
            <v>2023-02-28 00:00:00.000Z</v>
          </cell>
          <cell r="R138" t="str">
            <v>2023-02-28 00:00:00.000Z</v>
          </cell>
          <cell r="S138" t="str">
            <v>1975-10-05 00:00:00.000Z</v>
          </cell>
          <cell r="T138" t="str">
            <v>7n4a07s60qk9n4j</v>
          </cell>
          <cell r="U138" t="str">
            <v xml:space="preserve">MONDRAGON LOPEZ CELIA </v>
          </cell>
          <cell r="V138" t="str">
            <v>15937510616</v>
          </cell>
          <cell r="W138" t="str">
            <v>SINALOA</v>
          </cell>
          <cell r="X138" t="str">
            <v/>
          </cell>
          <cell r="Y138" t="str">
            <v/>
          </cell>
          <cell r="Z138" t="str">
            <v>MOLC751005LT9</v>
          </cell>
          <cell r="AA138" t="str">
            <v>DERMOCONSEJO</v>
          </cell>
          <cell r="AB138" t="str">
            <v>MUJER</v>
          </cell>
          <cell r="AC138">
            <v>632.85526117224299</v>
          </cell>
          <cell r="AD138" t="str">
            <v/>
          </cell>
          <cell r="AE138" t="str">
            <v/>
          </cell>
          <cell r="AF138" t="str">
            <v>7775019758</v>
          </cell>
          <cell r="AG138" t="str">
            <v>CUERNAVACA</v>
          </cell>
          <cell r="AH138">
            <v>0</v>
          </cell>
        </row>
        <row r="139">
          <cell r="A139">
            <v>112</v>
          </cell>
          <cell r="B139" t="str">
            <v>w9dqy2wz4o5mxe8</v>
          </cell>
          <cell r="C139" t="str">
            <v>BTL-DC-112</v>
          </cell>
          <cell r="D139" t="str">
            <v>07240</v>
          </cell>
          <cell r="E139" t="str">
            <v>flor7jaz@gmail.com</v>
          </cell>
          <cell r="F139" t="str">
            <v>FOUG840917MDFLRD00</v>
          </cell>
          <cell r="G139" t="str">
            <v/>
          </cell>
          <cell r="H139" t="str">
            <v/>
          </cell>
          <cell r="I139" t="str">
            <v/>
          </cell>
          <cell r="J139" t="str">
            <v>CUAUTEPEC 3 EL ARBOLILLO GAM CP 07240 CIUDAD DE MÉXICO</v>
          </cell>
          <cell r="K139">
            <v>0</v>
          </cell>
          <cell r="L139" t="str">
            <v>ACTIVO</v>
          </cell>
          <cell r="M139" t="str">
            <v>CASADO/A</v>
          </cell>
          <cell r="N139" t="str">
            <v/>
          </cell>
          <cell r="O139" t="str">
            <v/>
          </cell>
          <cell r="P139" t="str">
            <v/>
          </cell>
          <cell r="Q139" t="str">
            <v>2022-11-04 00:00:00.000Z</v>
          </cell>
          <cell r="R139" t="str">
            <v>2022-11-04 00:00:00.000Z</v>
          </cell>
          <cell r="S139" t="str">
            <v>1984-09-17 00:00:00.000Z</v>
          </cell>
          <cell r="T139" t="str">
            <v>259hr460o13j424</v>
          </cell>
          <cell r="U139" t="str">
            <v xml:space="preserve">FLORES URIBE GUADALUPE JAZMIN </v>
          </cell>
          <cell r="V139" t="str">
            <v>01118404464</v>
          </cell>
          <cell r="W139" t="str">
            <v>CIUDAD DE MEXICO</v>
          </cell>
          <cell r="X139" t="str">
            <v/>
          </cell>
          <cell r="Y139" t="str">
            <v/>
          </cell>
          <cell r="Z139" t="str">
            <v>FOUG840917RO9</v>
          </cell>
          <cell r="AA139" t="str">
            <v>DERMOCONSEJO</v>
          </cell>
          <cell r="AB139" t="str">
            <v>MUJER</v>
          </cell>
          <cell r="AC139">
            <v>570.311697304463</v>
          </cell>
          <cell r="AD139" t="str">
            <v/>
          </cell>
          <cell r="AE139" t="str">
            <v/>
          </cell>
          <cell r="AF139" t="str">
            <v>5574924863</v>
          </cell>
          <cell r="AG139" t="str">
            <v>CDMX</v>
          </cell>
          <cell r="AH139">
            <v>0</v>
          </cell>
        </row>
        <row r="140">
          <cell r="A140">
            <v>403</v>
          </cell>
          <cell r="B140" t="str">
            <v>w9dqy2wz4o5mxe8</v>
          </cell>
          <cell r="C140" t="str">
            <v>BTL-DC-403</v>
          </cell>
          <cell r="D140" t="str">
            <v>55644</v>
          </cell>
          <cell r="E140" t="str">
            <v>moralestabata2@gmail.com</v>
          </cell>
          <cell r="F140" t="str">
            <v>MOTT860902MDFRRB00</v>
          </cell>
          <cell r="G140" t="str">
            <v/>
          </cell>
          <cell r="H140" t="str">
            <v/>
          </cell>
          <cell r="I140" t="str">
            <v/>
          </cell>
          <cell r="J140" t="str">
            <v>3ER CIRCUITO DE BULEVARD LOS HÉROES CHALCO MZ14 LT27 LOS HÉROES CHALCO 56644 LOS HÉROES CHALCO  CHALCO DE DÍAZ COVARRUBIAS CP 55644 MÉXICO</v>
          </cell>
          <cell r="K140">
            <v>0</v>
          </cell>
          <cell r="L140" t="str">
            <v>ACTIVO</v>
          </cell>
          <cell r="M140" t="str">
            <v>SOLTERO/A</v>
          </cell>
          <cell r="N140" t="str">
            <v/>
          </cell>
          <cell r="O140" t="str">
            <v/>
          </cell>
          <cell r="P140" t="str">
            <v/>
          </cell>
          <cell r="Q140" t="str">
            <v>2025-01-03 00:00:00.000Z</v>
          </cell>
          <cell r="R140" t="str">
            <v>2025-01-03 00:00:00.000Z</v>
          </cell>
          <cell r="S140" t="str">
            <v>1986-09-02 00:00:00.000Z</v>
          </cell>
          <cell r="T140" t="str">
            <v>27n0f10mo0w4llk</v>
          </cell>
          <cell r="U140" t="str">
            <v xml:space="preserve">MORALES DE LA TORRE TABATA ALEJANDRA </v>
          </cell>
          <cell r="V140" t="str">
            <v>45058613782</v>
          </cell>
          <cell r="W140" t="str">
            <v>CIUDAD DE MEXICO</v>
          </cell>
          <cell r="X140" t="str">
            <v/>
          </cell>
          <cell r="Y140" t="str">
            <v/>
          </cell>
          <cell r="Z140" t="str">
            <v>MOTT860902AE7</v>
          </cell>
          <cell r="AA140" t="str">
            <v>DERMOCONSEJO</v>
          </cell>
          <cell r="AB140" t="str">
            <v>MUJER</v>
          </cell>
          <cell r="AC140">
            <v>616.54000291937996</v>
          </cell>
          <cell r="AD140" t="str">
            <v/>
          </cell>
          <cell r="AE140" t="str">
            <v/>
          </cell>
          <cell r="AF140" t="str">
            <v>5574874308</v>
          </cell>
          <cell r="AG140" t="str">
            <v>CDMX</v>
          </cell>
          <cell r="AH140">
            <v>0</v>
          </cell>
        </row>
        <row r="141">
          <cell r="A141">
            <v>235</v>
          </cell>
          <cell r="B141" t="str">
            <v>w9dqy2wz4o5mxe8</v>
          </cell>
          <cell r="C141" t="str">
            <v>BTL-DC-235</v>
          </cell>
          <cell r="D141" t="str">
            <v>05129</v>
          </cell>
          <cell r="E141" t="str">
            <v>gabymo2011@gmail.com</v>
          </cell>
          <cell r="F141" t="str">
            <v>MORG720310MMCRYB09</v>
          </cell>
          <cell r="G141" t="str">
            <v/>
          </cell>
          <cell r="H141" t="str">
            <v/>
          </cell>
          <cell r="I141" t="str">
            <v/>
          </cell>
          <cell r="J141" t="str">
            <v>TALLER DE CAPSULAS 12 LOMAS DEL CHAMIZAL CUAJIMALPA DE MORELOS CP 05129 CIUDAD DE MÉXICO</v>
          </cell>
          <cell r="K141">
            <v>0</v>
          </cell>
          <cell r="L141" t="str">
            <v>ACTIVO</v>
          </cell>
          <cell r="M141" t="str">
            <v>SOLTERO/A</v>
          </cell>
          <cell r="N141" t="str">
            <v/>
          </cell>
          <cell r="O141" t="str">
            <v/>
          </cell>
          <cell r="P141" t="str">
            <v/>
          </cell>
          <cell r="Q141" t="str">
            <v>2024-01-02 00:00:00.000Z</v>
          </cell>
          <cell r="R141" t="str">
            <v>2023-01-02 00:00:00.000Z</v>
          </cell>
          <cell r="S141" t="str">
            <v>1972-03-10 00:00:00.000Z</v>
          </cell>
          <cell r="T141" t="str">
            <v>7sgeoxzy4fwd977</v>
          </cell>
          <cell r="U141" t="str">
            <v xml:space="preserve">MORALES REYES MARIA GABRIELA </v>
          </cell>
          <cell r="V141" t="str">
            <v>90917240740</v>
          </cell>
          <cell r="W141" t="str">
            <v>ESTADO DE MEXICO</v>
          </cell>
          <cell r="X141" t="str">
            <v/>
          </cell>
          <cell r="Y141" t="str">
            <v/>
          </cell>
          <cell r="Z141" t="str">
            <v>MORG720310FY5</v>
          </cell>
          <cell r="AA141" t="str">
            <v>DERMOCONSEJO</v>
          </cell>
          <cell r="AB141" t="str">
            <v>MUJER</v>
          </cell>
          <cell r="AC141">
            <v>928.52182843027094</v>
          </cell>
          <cell r="AD141" t="str">
            <v/>
          </cell>
          <cell r="AE141" t="str">
            <v/>
          </cell>
          <cell r="AF141" t="str">
            <v>5585734450</v>
          </cell>
          <cell r="AG141" t="str">
            <v>CDMX</v>
          </cell>
          <cell r="AH141">
            <v>0</v>
          </cell>
        </row>
        <row r="142">
          <cell r="A142">
            <v>120</v>
          </cell>
          <cell r="B142" t="str">
            <v>w9dqy2wz4o5mxe8</v>
          </cell>
          <cell r="C142" t="str">
            <v>BTL-DC-120</v>
          </cell>
          <cell r="D142" t="str">
            <v>55023</v>
          </cell>
          <cell r="E142" t="str">
            <v>marisoolgomezz2369@gmail.com</v>
          </cell>
          <cell r="F142" t="str">
            <v>GOMM690227MDFMRR06</v>
          </cell>
          <cell r="G142" t="str">
            <v/>
          </cell>
          <cell r="H142" t="str">
            <v/>
          </cell>
          <cell r="I142" t="str">
            <v/>
          </cell>
          <cell r="J142" t="str">
            <v>JOSÉ MARÍA MORELOS PONIENTE MZ4 LT 27 INT 55 LOS HEROES ECATEPEC 1 SECC ECATEPEC  CP 55023 MÉXICO</v>
          </cell>
          <cell r="K142">
            <v>0</v>
          </cell>
          <cell r="L142" t="str">
            <v>ACTIVO</v>
          </cell>
          <cell r="M142" t="str">
            <v>CASADO/A</v>
          </cell>
          <cell r="N142" t="str">
            <v/>
          </cell>
          <cell r="O142" t="str">
            <v/>
          </cell>
          <cell r="P142" t="str">
            <v/>
          </cell>
          <cell r="Q142" t="str">
            <v>2023-01-04 00:00:00.000Z</v>
          </cell>
          <cell r="R142" t="str">
            <v>2023-01-04 00:00:00.000Z</v>
          </cell>
          <cell r="S142" t="str">
            <v>1969-02-27 00:00:00.000Z</v>
          </cell>
          <cell r="T142" t="str">
            <v>ew020tbz44td5b6</v>
          </cell>
          <cell r="U142" t="str">
            <v xml:space="preserve">GOMEZ MARTINEZ MARISOL </v>
          </cell>
          <cell r="V142" t="str">
            <v>30026901659</v>
          </cell>
          <cell r="W142" t="str">
            <v>CIUDAD DE MEXICO</v>
          </cell>
          <cell r="X142" t="str">
            <v/>
          </cell>
          <cell r="Y142" t="str">
            <v/>
          </cell>
          <cell r="Z142" t="str">
            <v>GOMM690227KI1</v>
          </cell>
          <cell r="AA142" t="str">
            <v>DERMOCONSEJO</v>
          </cell>
          <cell r="AB142" t="str">
            <v>MUJER</v>
          </cell>
          <cell r="AC142">
            <v>656.13072956252699</v>
          </cell>
          <cell r="AD142" t="str">
            <v/>
          </cell>
          <cell r="AE142" t="str">
            <v/>
          </cell>
          <cell r="AF142" t="str">
            <v>5520023767</v>
          </cell>
          <cell r="AG142" t="str">
            <v>CDMX</v>
          </cell>
          <cell r="AH142">
            <v>0</v>
          </cell>
        </row>
        <row r="143">
          <cell r="A143">
            <v>293</v>
          </cell>
          <cell r="B143" t="str">
            <v>w9dqy2wz4o5mxe8</v>
          </cell>
          <cell r="C143" t="str">
            <v>BTL-DC-293</v>
          </cell>
          <cell r="D143" t="str">
            <v>82165</v>
          </cell>
          <cell r="E143" t="str">
            <v>yaritzelmendoza5@gmail.com</v>
          </cell>
          <cell r="F143" t="str">
            <v>MUSY010805MGRXNRA0</v>
          </cell>
          <cell r="G143" t="str">
            <v/>
          </cell>
          <cell r="H143" t="str">
            <v/>
          </cell>
          <cell r="I143" t="str">
            <v/>
          </cell>
          <cell r="J143" t="str">
            <v>JABALIES 109 JABALIES  MAZATLÁN  CP 82165 SINALOA</v>
          </cell>
          <cell r="K143">
            <v>0</v>
          </cell>
          <cell r="L143" t="str">
            <v>ACTIVO</v>
          </cell>
          <cell r="M143" t="str">
            <v>SOLTERO/A</v>
          </cell>
          <cell r="N143" t="str">
            <v/>
          </cell>
          <cell r="O143" t="str">
            <v/>
          </cell>
          <cell r="P143" t="str">
            <v/>
          </cell>
          <cell r="Q143" t="str">
            <v>2024-04-01 00:00:00.000Z</v>
          </cell>
          <cell r="R143" t="str">
            <v>2024-04-01 00:00:00.000Z</v>
          </cell>
          <cell r="S143" t="str">
            <v>2001-08-05 00:00:00.000Z</v>
          </cell>
          <cell r="T143" t="str">
            <v>ne77m5n3nhkm4o1</v>
          </cell>
          <cell r="U143" t="str">
            <v xml:space="preserve">MUÑIZ SANCHEZ YARITZEL </v>
          </cell>
          <cell r="V143" t="str">
            <v>27150172156</v>
          </cell>
          <cell r="W143" t="str">
            <v>GUERRERO</v>
          </cell>
          <cell r="X143" t="str">
            <v/>
          </cell>
          <cell r="Y143" t="str">
            <v/>
          </cell>
          <cell r="Z143" t="str">
            <v>MUSY010805K27</v>
          </cell>
          <cell r="AA143" t="str">
            <v>DERMOCONSEJO</v>
          </cell>
          <cell r="AB143" t="str">
            <v>MUJER</v>
          </cell>
          <cell r="AC143">
            <v>648.15050235796002</v>
          </cell>
          <cell r="AD143" t="str">
            <v/>
          </cell>
          <cell r="AE143" t="str">
            <v/>
          </cell>
          <cell r="AF143" t="str">
            <v>9982213183</v>
          </cell>
          <cell r="AG143" t="str">
            <v>SINALOA</v>
          </cell>
          <cell r="AH143">
            <v>0</v>
          </cell>
        </row>
        <row r="144">
          <cell r="A144">
            <v>345</v>
          </cell>
          <cell r="B144" t="str">
            <v>w9dqy2wz4o5mxe8</v>
          </cell>
          <cell r="C144" t="str">
            <v>BTL-DC-345</v>
          </cell>
          <cell r="D144" t="str">
            <v>64233</v>
          </cell>
          <cell r="E144" t="str">
            <v>malyrociomunoz357@gmail.com</v>
          </cell>
          <cell r="F144" t="str">
            <v>MUCM860406MNLXSL05</v>
          </cell>
          <cell r="G144" t="str">
            <v/>
          </cell>
          <cell r="H144" t="str">
            <v/>
          </cell>
          <cell r="I144" t="str">
            <v/>
          </cell>
          <cell r="J144" t="str">
            <v>PEDRO A BALLESTEROS #7329 FOMERREY #6 MONTERRREY CP 64233 NUEVO LEÓN</v>
          </cell>
          <cell r="K144">
            <v>0</v>
          </cell>
          <cell r="L144" t="str">
            <v>ACTIVO</v>
          </cell>
          <cell r="M144" t="str">
            <v>SOLTERO/A</v>
          </cell>
          <cell r="N144" t="str">
            <v/>
          </cell>
          <cell r="O144" t="str">
            <v/>
          </cell>
          <cell r="P144" t="str">
            <v/>
          </cell>
          <cell r="Q144" t="str">
            <v>2024-07-16 00:00:00.000Z</v>
          </cell>
          <cell r="R144" t="str">
            <v>2024-07-16 00:00:00.000Z</v>
          </cell>
          <cell r="S144" t="str">
            <v>1986-04-06 00:00:00.000Z</v>
          </cell>
          <cell r="T144" t="str">
            <v>jlgb4zxt24p812p</v>
          </cell>
          <cell r="U144" t="str">
            <v xml:space="preserve">MUÑOZ CASTILLO MALINAY DEL ROCIO </v>
          </cell>
          <cell r="V144" t="str">
            <v>43038618971</v>
          </cell>
          <cell r="W144" t="str">
            <v>NUEVO LEON</v>
          </cell>
          <cell r="X144" t="str">
            <v/>
          </cell>
          <cell r="Y144" t="str">
            <v/>
          </cell>
          <cell r="Z144" t="str">
            <v>MUCM8604065L8</v>
          </cell>
          <cell r="AA144" t="str">
            <v>DERMOCONSEJO</v>
          </cell>
          <cell r="AB144" t="str">
            <v>MUJER</v>
          </cell>
          <cell r="AC144">
            <v>559.20983898495399</v>
          </cell>
          <cell r="AD144" t="str">
            <v/>
          </cell>
          <cell r="AE144" t="str">
            <v/>
          </cell>
          <cell r="AF144" t="str">
            <v>8115088973</v>
          </cell>
          <cell r="AG144" t="str">
            <v>MTY</v>
          </cell>
          <cell r="AH144">
            <v>0</v>
          </cell>
        </row>
        <row r="145">
          <cell r="A145">
            <v>93</v>
          </cell>
          <cell r="B145" t="str">
            <v>w9dqy2wz4o5mxe8</v>
          </cell>
          <cell r="C145" t="str">
            <v>BTL-DC-93</v>
          </cell>
          <cell r="D145" t="str">
            <v>45428</v>
          </cell>
          <cell r="E145" t="str">
            <v>mariate260782@gmail.com</v>
          </cell>
          <cell r="F145" t="str">
            <v>NUCT820726MJCNMR00</v>
          </cell>
          <cell r="G145" t="str">
            <v/>
          </cell>
          <cell r="H145" t="str">
            <v/>
          </cell>
          <cell r="I145" t="str">
            <v/>
          </cell>
          <cell r="J145" t="str">
            <v>HACIENDA TANIL 36 HACIENDA REAL TONALA CP 45428 JALISCO</v>
          </cell>
          <cell r="K145">
            <v>0</v>
          </cell>
          <cell r="L145" t="str">
            <v>ACTIVO</v>
          </cell>
          <cell r="M145" t="str">
            <v>SOLTERO/A</v>
          </cell>
          <cell r="N145" t="str">
            <v/>
          </cell>
          <cell r="O145" t="str">
            <v/>
          </cell>
          <cell r="P145" t="str">
            <v/>
          </cell>
          <cell r="Q145" t="str">
            <v>2022-08-25 00:00:00.000Z</v>
          </cell>
          <cell r="R145" t="str">
            <v>2022-08-25 00:00:00.000Z</v>
          </cell>
          <cell r="S145" t="str">
            <v>1982-07-26 00:00:00.000Z</v>
          </cell>
          <cell r="T145" t="str">
            <v>5y0c59p2t8rp0kz</v>
          </cell>
          <cell r="U145" t="str">
            <v xml:space="preserve">NUNGARAY CAMPA MARIA TERESA </v>
          </cell>
          <cell r="V145" t="str">
            <v>54008232420</v>
          </cell>
          <cell r="W145" t="str">
            <v>JALISCO</v>
          </cell>
          <cell r="X145" t="str">
            <v/>
          </cell>
          <cell r="Y145" t="str">
            <v/>
          </cell>
          <cell r="Z145" t="str">
            <v>NUCT820726UM4</v>
          </cell>
          <cell r="AA145" t="str">
            <v>DERMOCONSEJO</v>
          </cell>
          <cell r="AB145" t="str">
            <v>MUJER</v>
          </cell>
          <cell r="AC145">
            <v>595.35070312149105</v>
          </cell>
          <cell r="AD145" t="str">
            <v/>
          </cell>
          <cell r="AE145" t="str">
            <v/>
          </cell>
          <cell r="AF145" t="str">
            <v>3311756059</v>
          </cell>
          <cell r="AG145" t="str">
            <v>GDL</v>
          </cell>
          <cell r="AH145">
            <v>0</v>
          </cell>
        </row>
        <row r="146">
          <cell r="A146">
            <v>252</v>
          </cell>
          <cell r="B146" t="str">
            <v>w9dqy2wz4o5mxe8</v>
          </cell>
          <cell r="C146" t="str">
            <v>BTL-DC-252</v>
          </cell>
          <cell r="D146" t="str">
            <v>76115</v>
          </cell>
          <cell r="E146" t="str">
            <v>rouxolvera21@gmail.com</v>
          </cell>
          <cell r="F146" t="str">
            <v>OEAR910121MQTLCC09</v>
          </cell>
          <cell r="G146" t="str">
            <v/>
          </cell>
          <cell r="H146" t="str">
            <v/>
          </cell>
          <cell r="I146" t="str">
            <v/>
          </cell>
          <cell r="J146" t="str">
            <v>MAGUEY 196 GARAMBULLO  QUERÉTARO  CP 76115 QUERÉTARO</v>
          </cell>
          <cell r="K146">
            <v>0</v>
          </cell>
          <cell r="L146" t="str">
            <v>ACTIVO</v>
          </cell>
          <cell r="M146" t="str">
            <v>SOLTERO/A</v>
          </cell>
          <cell r="N146" t="str">
            <v/>
          </cell>
          <cell r="O146" t="str">
            <v/>
          </cell>
          <cell r="P146" t="str">
            <v/>
          </cell>
          <cell r="Q146" t="str">
            <v>2024-01-15 00:00:00.000Z</v>
          </cell>
          <cell r="R146" t="str">
            <v>2024-01-15 00:00:00.000Z</v>
          </cell>
          <cell r="S146" t="str">
            <v>1991-01-21 00:00:00.000Z</v>
          </cell>
          <cell r="T146" t="str">
            <v>5a74rrj98e76l1n</v>
          </cell>
          <cell r="U146" t="str">
            <v xml:space="preserve">OLVERA ACEVEDO ROCIO </v>
          </cell>
          <cell r="V146" t="str">
            <v>14099148331</v>
          </cell>
          <cell r="W146" t="str">
            <v>QUERETARO</v>
          </cell>
          <cell r="X146" t="str">
            <v/>
          </cell>
          <cell r="Y146" t="str">
            <v/>
          </cell>
          <cell r="Z146" t="str">
            <v>OEAR910121E19</v>
          </cell>
          <cell r="AA146" t="str">
            <v>DERMOCONSEJO</v>
          </cell>
          <cell r="AB146" t="str">
            <v>MUJER</v>
          </cell>
          <cell r="AC146">
            <v>631.49248416797604</v>
          </cell>
          <cell r="AD146" t="str">
            <v/>
          </cell>
          <cell r="AE146" t="str">
            <v/>
          </cell>
          <cell r="AF146" t="str">
            <v>4461232166</v>
          </cell>
          <cell r="AG146" t="str">
            <v>QUERETARO</v>
          </cell>
          <cell r="AH146">
            <v>0</v>
          </cell>
        </row>
        <row r="147">
          <cell r="A147">
            <v>452</v>
          </cell>
          <cell r="B147" t="str">
            <v>w9dqy2wz4o5mxe8</v>
          </cell>
          <cell r="C147" t="str">
            <v>BTL-DC-452</v>
          </cell>
          <cell r="D147" t="str">
            <v>55796</v>
          </cell>
          <cell r="E147" t="str">
            <v>angel.olv.c0929@gmail.com</v>
          </cell>
          <cell r="F147" t="str">
            <v>OECA900929MMCLLN04</v>
          </cell>
          <cell r="G147" t="str">
            <v/>
          </cell>
          <cell r="H147" t="str">
            <v/>
          </cell>
          <cell r="I147" t="str">
            <v/>
          </cell>
          <cell r="J147" t="str">
            <v>3RA CDA VALLE SAN DAMIÁN  PASEOS DEL VALLE  NEXTLALPAN  CP 55796 MÉXICO</v>
          </cell>
          <cell r="K147">
            <v>0</v>
          </cell>
          <cell r="L147" t="str">
            <v>ACTIVO</v>
          </cell>
          <cell r="M147" t="str">
            <v>SOLTERO/A</v>
          </cell>
          <cell r="N147" t="str">
            <v/>
          </cell>
          <cell r="O147" t="str">
            <v/>
          </cell>
          <cell r="P147" t="str">
            <v/>
          </cell>
          <cell r="Q147" t="str">
            <v>2025-04-11 00:00:00.000Z</v>
          </cell>
          <cell r="R147" t="str">
            <v>2025-04-11 00:00:00.000Z</v>
          </cell>
          <cell r="S147" t="str">
            <v>1990-09-29 00:00:00.000Z</v>
          </cell>
          <cell r="T147" t="str">
            <v>f777id7rq9p2q22</v>
          </cell>
          <cell r="U147" t="str">
            <v>OLVERA COLIN ANGELA</v>
          </cell>
          <cell r="V147" t="str">
            <v>07109007828</v>
          </cell>
          <cell r="W147" t="str">
            <v>ESTADO DE MEXICO</v>
          </cell>
          <cell r="X147" t="str">
            <v/>
          </cell>
          <cell r="Y147" t="str">
            <v/>
          </cell>
          <cell r="Z147" t="str">
            <v>OECA900929RS8</v>
          </cell>
          <cell r="AA147" t="str">
            <v>DERMOCONSEJO</v>
          </cell>
          <cell r="AB147" t="str">
            <v>MUJER</v>
          </cell>
          <cell r="AC147">
            <v>611.74769458791798</v>
          </cell>
          <cell r="AD147" t="str">
            <v/>
          </cell>
          <cell r="AE147" t="str">
            <v/>
          </cell>
          <cell r="AF147" t="str">
            <v>5637066726</v>
          </cell>
          <cell r="AG147" t="str">
            <v>CDMX</v>
          </cell>
          <cell r="AH147">
            <v>0</v>
          </cell>
        </row>
        <row r="148">
          <cell r="A148">
            <v>156</v>
          </cell>
          <cell r="B148" t="str">
            <v>w9dqy2wz4o5mxe8</v>
          </cell>
          <cell r="C148" t="str">
            <v>BTL-DC-156</v>
          </cell>
          <cell r="D148" t="str">
            <v>01130</v>
          </cell>
          <cell r="E148" t="str">
            <v>jeeshea10espinal@gmail.com</v>
          </cell>
          <cell r="F148" t="str">
            <v>EIHY801002MDFSRN00</v>
          </cell>
          <cell r="G148" t="str">
            <v/>
          </cell>
          <cell r="H148" t="str">
            <v/>
          </cell>
          <cell r="I148" t="str">
            <v/>
          </cell>
          <cell r="J148" t="str">
            <v>AV JARDIN MZ8 LT2 AMP LOMAS STO DOMINGO ALVARO OBREGON CP 01130 CIUDAD DE MÉXICO</v>
          </cell>
          <cell r="K148">
            <v>0</v>
          </cell>
          <cell r="L148" t="str">
            <v>ACTIVO</v>
          </cell>
          <cell r="M148" t="str">
            <v>SOLTERO/A</v>
          </cell>
          <cell r="N148" t="str">
            <v/>
          </cell>
          <cell r="O148" t="str">
            <v/>
          </cell>
          <cell r="P148" t="str">
            <v/>
          </cell>
          <cell r="Q148" t="str">
            <v>2023-03-10 00:00:00.000Z</v>
          </cell>
          <cell r="R148" t="str">
            <v>2023-03-10 00:00:00.000Z</v>
          </cell>
          <cell r="S148" t="str">
            <v>1980-10-02 00:00:00.000Z</v>
          </cell>
          <cell r="T148" t="str">
            <v>7o8p3blt2y284b6</v>
          </cell>
          <cell r="U148" t="str">
            <v xml:space="preserve">HERNANDEZ YENI ESPINAL </v>
          </cell>
          <cell r="V148" t="str">
            <v>11988003288</v>
          </cell>
          <cell r="W148" t="str">
            <v>CIUDAD DE MEXICO</v>
          </cell>
          <cell r="X148" t="str">
            <v/>
          </cell>
          <cell r="Y148" t="str">
            <v/>
          </cell>
          <cell r="Z148" t="str">
            <v>EIHY8010023A5</v>
          </cell>
          <cell r="AA148" t="str">
            <v>DERMOCONSEJO</v>
          </cell>
          <cell r="AB148" t="str">
            <v>MUJER</v>
          </cell>
          <cell r="AC148">
            <v>471.80543498764803</v>
          </cell>
          <cell r="AD148" t="str">
            <v/>
          </cell>
          <cell r="AE148" t="str">
            <v/>
          </cell>
          <cell r="AF148" t="str">
            <v>5562333784</v>
          </cell>
          <cell r="AG148" t="str">
            <v>CDMX</v>
          </cell>
          <cell r="AH148">
            <v>0</v>
          </cell>
        </row>
        <row r="149">
          <cell r="A149">
            <v>485</v>
          </cell>
          <cell r="B149" t="str">
            <v>w9dqy2wz4o5mxe8</v>
          </cell>
          <cell r="C149" t="str">
            <v>BTL-DC-485</v>
          </cell>
          <cell r="D149" t="str">
            <v>22207</v>
          </cell>
          <cell r="E149" t="str">
            <v>wendyortegace@gmail.com</v>
          </cell>
          <cell r="F149" t="str">
            <v>OERW970323MSLRMN00</v>
          </cell>
          <cell r="G149" t="str">
            <v/>
          </cell>
          <cell r="H149" t="str">
            <v/>
          </cell>
          <cell r="I149" t="str">
            <v/>
          </cell>
          <cell r="J149" t="str">
            <v>MULEGE 20043 BUENOS AIRES SUR  TIJUANA  CP 22207 BAJA CALIFORNIA</v>
          </cell>
          <cell r="K149">
            <v>0</v>
          </cell>
          <cell r="L149" t="str">
            <v>ACTIVO</v>
          </cell>
          <cell r="M149" t="str">
            <v>SOLTERO/A</v>
          </cell>
          <cell r="N149" t="str">
            <v/>
          </cell>
          <cell r="O149" t="str">
            <v/>
          </cell>
          <cell r="P149" t="str">
            <v/>
          </cell>
          <cell r="Q149" t="str">
            <v>2025-07-02 00:00:00.000Z</v>
          </cell>
          <cell r="R149" t="str">
            <v>2025-07-02 00:00:00.000Z</v>
          </cell>
          <cell r="S149" t="str">
            <v>1997-03-23 00:00:00.000Z</v>
          </cell>
          <cell r="T149" t="str">
            <v>j777c4sr71n32ua</v>
          </cell>
          <cell r="U149" t="str">
            <v xml:space="preserve">ORTEGA RAMOS WENDY MELISSA </v>
          </cell>
          <cell r="V149" t="str">
            <v>21159746003</v>
          </cell>
          <cell r="W149" t="str">
            <v>SINALOA</v>
          </cell>
          <cell r="X149" t="str">
            <v/>
          </cell>
          <cell r="Y149" t="str">
            <v/>
          </cell>
          <cell r="Z149" t="str">
            <v>OERW970323FF3</v>
          </cell>
          <cell r="AA149" t="str">
            <v>DERMOCONSEJO</v>
          </cell>
          <cell r="AB149" t="str">
            <v>MUJER</v>
          </cell>
          <cell r="AC149">
            <v>768.41661621378796</v>
          </cell>
          <cell r="AD149" t="str">
            <v/>
          </cell>
          <cell r="AE149" t="str">
            <v/>
          </cell>
          <cell r="AF149" t="str">
            <v>6647550875</v>
          </cell>
          <cell r="AG149" t="str">
            <v>TIJUANA</v>
          </cell>
          <cell r="AH149">
            <v>0</v>
          </cell>
        </row>
        <row r="150">
          <cell r="A150">
            <v>509</v>
          </cell>
          <cell r="B150" t="str">
            <v>w9dqy2wz4o5mxe8</v>
          </cell>
          <cell r="C150" t="str">
            <v>BTL-DC-509</v>
          </cell>
          <cell r="D150" t="str">
            <v>55767</v>
          </cell>
          <cell r="E150" t="str">
            <v>cri_cri.b@hotmail.com</v>
          </cell>
          <cell r="F150" t="str">
            <v>OIBC680213MDFRRR08</v>
          </cell>
          <cell r="G150" t="str">
            <v/>
          </cell>
          <cell r="H150" t="str">
            <v/>
          </cell>
          <cell r="I150" t="str">
            <v/>
          </cell>
          <cell r="J150" t="str">
            <v>LAGO VICTORIA PRIV. RIO FRAILES MZ21 LT28 CASA 23 VALLE SAN PEDRO URBI VILLAS  TECAMAC, MEX. CP 55767 CIUDAD DE MÉXICO</v>
          </cell>
          <cell r="K150">
            <v>0</v>
          </cell>
          <cell r="L150" t="str">
            <v>ACTIVO</v>
          </cell>
          <cell r="M150" t="str">
            <v>SOLTERO/A</v>
          </cell>
          <cell r="N150" t="str">
            <v/>
          </cell>
          <cell r="O150" t="str">
            <v/>
          </cell>
          <cell r="P150" t="str">
            <v/>
          </cell>
          <cell r="Q150" t="str">
            <v>2025-08-14 00:00:00.000Z</v>
          </cell>
          <cell r="R150" t="str">
            <v>2025-08-14 00:00:00.000Z</v>
          </cell>
          <cell r="S150" t="str">
            <v>1968-02-13 00:00:00.000Z</v>
          </cell>
          <cell r="T150" t="str">
            <v>n37g6o9mz2hi4ai</v>
          </cell>
          <cell r="U150" t="str">
            <v xml:space="preserve">ORTIZ BARROSO MARIA CRISTINA </v>
          </cell>
          <cell r="V150" t="str">
            <v>96056802612</v>
          </cell>
          <cell r="W150" t="str">
            <v>CIUDAD DE MEXICO</v>
          </cell>
          <cell r="X150" t="str">
            <v/>
          </cell>
          <cell r="Y150" t="str">
            <v/>
          </cell>
          <cell r="Z150" t="str">
            <v>OIBC680213QX0</v>
          </cell>
          <cell r="AA150" t="str">
            <v>DERMOCONSEJO</v>
          </cell>
          <cell r="AB150" t="str">
            <v>MUJER</v>
          </cell>
          <cell r="AC150">
            <v>590.91703885021298</v>
          </cell>
          <cell r="AD150" t="str">
            <v/>
          </cell>
          <cell r="AE150" t="str">
            <v/>
          </cell>
          <cell r="AF150" t="str">
            <v>5567534350</v>
          </cell>
          <cell r="AG150" t="str">
            <v>CDMX</v>
          </cell>
          <cell r="AH150">
            <v>0</v>
          </cell>
        </row>
        <row r="151">
          <cell r="A151">
            <v>121</v>
          </cell>
          <cell r="B151" t="str">
            <v>w9dqy2wz4o5mxe8</v>
          </cell>
          <cell r="C151" t="str">
            <v>BTL-DC-121</v>
          </cell>
          <cell r="D151" t="str">
            <v>09714</v>
          </cell>
          <cell r="E151" t="str">
            <v>eliza.680802@gmail.com</v>
          </cell>
          <cell r="F151" t="str">
            <v>OIME680208MDFRNL08</v>
          </cell>
          <cell r="G151" t="str">
            <v/>
          </cell>
          <cell r="H151" t="str">
            <v/>
          </cell>
          <cell r="I151" t="str">
            <v/>
          </cell>
          <cell r="J151" t="str">
            <v>VENUSTIANO CARRANZA MZ 46 LT 4 PRESIDENTES DE MÉXICO  IZTAPALAPA  CP 09714 CIUDAD DE MÉXICO</v>
          </cell>
          <cell r="K151">
            <v>0</v>
          </cell>
          <cell r="L151" t="str">
            <v>ACTIVO</v>
          </cell>
          <cell r="M151" t="str">
            <v>SOLTERO/A</v>
          </cell>
          <cell r="N151" t="str">
            <v/>
          </cell>
          <cell r="O151" t="str">
            <v/>
          </cell>
          <cell r="P151" t="str">
            <v/>
          </cell>
          <cell r="Q151" t="str">
            <v>2023-01-09 00:00:00.000Z</v>
          </cell>
          <cell r="R151" t="str">
            <v>2023-01-10 00:00:00.000Z</v>
          </cell>
          <cell r="S151" t="str">
            <v>1968-02-08 00:00:00.000Z</v>
          </cell>
          <cell r="T151" t="str">
            <v>z68p79a656tr8i4</v>
          </cell>
          <cell r="U151" t="str">
            <v xml:space="preserve">ORTIZ MENDEZ ELIZABETH </v>
          </cell>
          <cell r="V151" t="str">
            <v>30886826194</v>
          </cell>
          <cell r="W151" t="str">
            <v>CIUDAD DE MEXICO</v>
          </cell>
          <cell r="X151" t="str">
            <v/>
          </cell>
          <cell r="Y151" t="str">
            <v/>
          </cell>
          <cell r="Z151" t="str">
            <v>OIME680208L15</v>
          </cell>
          <cell r="AA151" t="str">
            <v>DERMOCONSEJO</v>
          </cell>
          <cell r="AB151" t="str">
            <v>MUJER</v>
          </cell>
          <cell r="AC151">
            <v>565.33185066247404</v>
          </cell>
          <cell r="AD151" t="str">
            <v/>
          </cell>
          <cell r="AE151" t="str">
            <v/>
          </cell>
          <cell r="AF151" t="str">
            <v>5554929685</v>
          </cell>
          <cell r="AG151" t="str">
            <v>CDMX</v>
          </cell>
          <cell r="AH151">
            <v>0</v>
          </cell>
        </row>
        <row r="152">
          <cell r="A152">
            <v>76</v>
          </cell>
          <cell r="B152" t="str">
            <v>w9dqy2wz4o5mxe8</v>
          </cell>
          <cell r="C152" t="str">
            <v>BTL-DC-76</v>
          </cell>
          <cell r="D152" t="str">
            <v>56410</v>
          </cell>
          <cell r="E152" t="str">
            <v>biometrix.com.mx@gmail.com</v>
          </cell>
          <cell r="F152" t="str">
            <v>OIVD771214MDFRLLO4</v>
          </cell>
          <cell r="G152" t="str">
            <v/>
          </cell>
          <cell r="H152" t="str">
            <v/>
          </cell>
          <cell r="I152" t="str">
            <v/>
          </cell>
          <cell r="J152" t="str">
            <v>TEZOZOMOC#31  ANCON LOS REYES LA PAZ CP 56410 MÉXICO</v>
          </cell>
          <cell r="K152">
            <v>0</v>
          </cell>
          <cell r="L152" t="str">
            <v>ACTIVO</v>
          </cell>
          <cell r="M152" t="str">
            <v>CASADO/A</v>
          </cell>
          <cell r="N152" t="str">
            <v/>
          </cell>
          <cell r="O152" t="str">
            <v/>
          </cell>
          <cell r="P152" t="str">
            <v/>
          </cell>
          <cell r="Q152" t="str">
            <v>2022-08-03 00:00:00.000Z</v>
          </cell>
          <cell r="R152" t="str">
            <v>2022-08-05 00:00:00.000Z</v>
          </cell>
          <cell r="S152" t="str">
            <v>1977-12-14 00:00:00.000Z</v>
          </cell>
          <cell r="T152" t="str">
            <v>20960wz258sfx93</v>
          </cell>
          <cell r="U152" t="str">
            <v>ORTIZ VILLASEÑOR DULCE MARIA</v>
          </cell>
          <cell r="V152" t="str">
            <v>96967720440</v>
          </cell>
          <cell r="W152" t="str">
            <v>CIUDAD DE MEXICO</v>
          </cell>
          <cell r="X152" t="str">
            <v/>
          </cell>
          <cell r="Y152" t="str">
            <v/>
          </cell>
          <cell r="Z152" t="str">
            <v>OIVD77121412A</v>
          </cell>
          <cell r="AA152" t="str">
            <v>DERMOCONSEJO</v>
          </cell>
          <cell r="AB152" t="str">
            <v>MUJER</v>
          </cell>
          <cell r="AC152">
            <v>611.97939164608101</v>
          </cell>
          <cell r="AD152" t="str">
            <v/>
          </cell>
          <cell r="AE152" t="str">
            <v/>
          </cell>
          <cell r="AF152" t="str">
            <v>5631055568</v>
          </cell>
          <cell r="AG152" t="str">
            <v>CDMX</v>
          </cell>
          <cell r="AH152">
            <v>0</v>
          </cell>
        </row>
        <row r="153">
          <cell r="A153">
            <v>199</v>
          </cell>
          <cell r="B153" t="str">
            <v>w9dqy2wz4o5mxe8</v>
          </cell>
          <cell r="C153" t="str">
            <v>BTL-DC-199</v>
          </cell>
          <cell r="D153" t="str">
            <v>72730</v>
          </cell>
          <cell r="E153" t="str">
            <v>carmenaoc22@gmail.com</v>
          </cell>
          <cell r="F153" t="str">
            <v>OOCC840322MGRSSR07</v>
          </cell>
          <cell r="G153" t="str">
            <v/>
          </cell>
          <cell r="H153" t="str">
            <v/>
          </cell>
          <cell r="I153" t="str">
            <v/>
          </cell>
          <cell r="J153" t="str">
            <v>ALDAMA 27-A SANCTORUM  CUAUTLANCINGO  CP 72730 PUEBLA</v>
          </cell>
          <cell r="K153">
            <v>0</v>
          </cell>
          <cell r="L153" t="str">
            <v>ACTIVO</v>
          </cell>
          <cell r="M153" t="str">
            <v>SOLTERO/A</v>
          </cell>
          <cell r="N153" t="str">
            <v/>
          </cell>
          <cell r="O153" t="str">
            <v/>
          </cell>
          <cell r="P153" t="str">
            <v/>
          </cell>
          <cell r="Q153" t="str">
            <v>2023-08-02 00:00:00.000Z</v>
          </cell>
          <cell r="R153" t="str">
            <v>2023-08-02 00:00:00.000Z</v>
          </cell>
          <cell r="S153" t="str">
            <v>1984-03-22 00:00:00.000Z</v>
          </cell>
          <cell r="T153" t="str">
            <v>416x6e3i6ym560g</v>
          </cell>
          <cell r="U153" t="str">
            <v xml:space="preserve">OSORIO CASTELLANOS CARMEN AZALIA </v>
          </cell>
          <cell r="V153" t="str">
            <v>72028430659</v>
          </cell>
          <cell r="W153" t="str">
            <v>GUERRERO</v>
          </cell>
          <cell r="X153" t="str">
            <v/>
          </cell>
          <cell r="Y153" t="str">
            <v/>
          </cell>
          <cell r="Z153" t="str">
            <v>OOCC840322UB1</v>
          </cell>
          <cell r="AA153" t="str">
            <v>DERMOCONSEJO</v>
          </cell>
          <cell r="AB153" t="str">
            <v>MUJER</v>
          </cell>
          <cell r="AC153">
            <v>532.10232023355002</v>
          </cell>
          <cell r="AD153" t="str">
            <v/>
          </cell>
          <cell r="AE153" t="str">
            <v/>
          </cell>
          <cell r="AF153" t="str">
            <v>2271002231</v>
          </cell>
          <cell r="AG153" t="str">
            <v>PUEBLA</v>
          </cell>
          <cell r="AH153">
            <v>0</v>
          </cell>
        </row>
        <row r="154">
          <cell r="A154">
            <v>523</v>
          </cell>
          <cell r="B154" t="str">
            <v>w9dqy2wz4o5mxe8</v>
          </cell>
          <cell r="C154" t="str">
            <v>BTL-DC-523</v>
          </cell>
          <cell r="D154" t="str">
            <v>72490</v>
          </cell>
          <cell r="E154" t="str">
            <v>yazmin.paez.lopez@gmail.com</v>
          </cell>
          <cell r="F154" t="str">
            <v>PALY900101MPLZPZ09</v>
          </cell>
          <cell r="G154" t="str">
            <v/>
          </cell>
          <cell r="H154" t="str">
            <v/>
          </cell>
          <cell r="I154" t="str">
            <v/>
          </cell>
          <cell r="J154" t="str">
            <v>ANDADOR DEL ENCINO C-67 INT 5, SAN BARTOLO, PUEBLA, CP 72490, PUEBLA</v>
          </cell>
          <cell r="K154">
            <v>0</v>
          </cell>
          <cell r="L154" t="str">
            <v>ACTIVO</v>
          </cell>
          <cell r="M154" t="str">
            <v>CASADO/A</v>
          </cell>
          <cell r="N154" t="str">
            <v/>
          </cell>
          <cell r="O154" t="str">
            <v/>
          </cell>
          <cell r="P154" t="str">
            <v/>
          </cell>
          <cell r="Q154" t="str">
            <v>2026-01-02 00:00:00.000Z</v>
          </cell>
          <cell r="R154" t="str">
            <v>2026-01-02 00:00:00.000Z</v>
          </cell>
          <cell r="S154" t="str">
            <v>1990-01-01 00:00:00.000Z</v>
          </cell>
          <cell r="T154" t="str">
            <v>59iho2746fr3tuf</v>
          </cell>
          <cell r="U154" t="str">
            <v>PAEZ LOPEZ YAZMIN</v>
          </cell>
          <cell r="V154" t="str">
            <v>48099041195</v>
          </cell>
          <cell r="W154" t="str">
            <v>PUEBLA</v>
          </cell>
          <cell r="X154" t="str">
            <v/>
          </cell>
          <cell r="Y154" t="str">
            <v/>
          </cell>
          <cell r="Z154" t="str">
            <v>PALY900101</v>
          </cell>
          <cell r="AA154" t="str">
            <v>DERMOCONSEJO</v>
          </cell>
          <cell r="AB154" t="str">
            <v>MUJER</v>
          </cell>
          <cell r="AC154">
            <v>330.576219178082</v>
          </cell>
          <cell r="AD154" t="str">
            <v/>
          </cell>
          <cell r="AE154" t="str">
            <v/>
          </cell>
          <cell r="AF154" t="str">
            <v>2214454403</v>
          </cell>
          <cell r="AG154" t="str">
            <v>PUEBLA</v>
          </cell>
          <cell r="AH154">
            <v>0</v>
          </cell>
        </row>
        <row r="155">
          <cell r="A155">
            <v>143</v>
          </cell>
          <cell r="B155" t="str">
            <v>w9dqy2wz4o5mxe8</v>
          </cell>
          <cell r="C155" t="str">
            <v>BTL-DC-143</v>
          </cell>
          <cell r="D155" t="str">
            <v>62320</v>
          </cell>
          <cell r="E155" t="str">
            <v>bahenajaneth26@gmail.com</v>
          </cell>
          <cell r="F155" t="str">
            <v>PABE900325MMSLHR01</v>
          </cell>
          <cell r="G155" t="str">
            <v/>
          </cell>
          <cell r="H155" t="str">
            <v/>
          </cell>
          <cell r="I155" t="str">
            <v/>
          </cell>
          <cell r="J155" t="str">
            <v>AV. EMILIANO ZAPATA #126 ANTONIO BARONA  CUERNAVACA  CP 62320 MORELOS</v>
          </cell>
          <cell r="K155">
            <v>0</v>
          </cell>
          <cell r="L155" t="str">
            <v>ACTIVO</v>
          </cell>
          <cell r="M155" t="str">
            <v>SOLTERO/A</v>
          </cell>
          <cell r="N155" t="str">
            <v/>
          </cell>
          <cell r="O155" t="str">
            <v/>
          </cell>
          <cell r="P155" t="str">
            <v/>
          </cell>
          <cell r="Q155" t="str">
            <v>2023-02-28 00:00:00.000Z</v>
          </cell>
          <cell r="R155" t="str">
            <v>2023-02-27 00:00:00.000Z</v>
          </cell>
          <cell r="S155" t="str">
            <v>1990-03-25 00:00:00.000Z</v>
          </cell>
          <cell r="T155" t="str">
            <v>gpwwxuftl171b1o</v>
          </cell>
          <cell r="U155" t="str">
            <v xml:space="preserve">PALACIOS BAHENA ERIKA JANETH </v>
          </cell>
          <cell r="V155" t="str">
            <v>15099022269</v>
          </cell>
          <cell r="W155" t="str">
            <v>MORELOS</v>
          </cell>
          <cell r="X155" t="str">
            <v/>
          </cell>
          <cell r="Y155" t="str">
            <v/>
          </cell>
          <cell r="Z155" t="str">
            <v>PABE900325JLA</v>
          </cell>
          <cell r="AA155" t="str">
            <v>DERMOCONSEJO</v>
          </cell>
          <cell r="AB155" t="str">
            <v>MUJER</v>
          </cell>
          <cell r="AC155">
            <v>605.89313002470203</v>
          </cell>
          <cell r="AD155" t="str">
            <v/>
          </cell>
          <cell r="AE155" t="str">
            <v/>
          </cell>
          <cell r="AF155" t="str">
            <v>7773284997</v>
          </cell>
          <cell r="AG155" t="str">
            <v>CUERNAVACA</v>
          </cell>
          <cell r="AH155">
            <v>0</v>
          </cell>
        </row>
        <row r="156">
          <cell r="A156">
            <v>316</v>
          </cell>
          <cell r="B156" t="str">
            <v>w9dqy2wz4o5mxe8</v>
          </cell>
          <cell r="C156" t="str">
            <v>BTL-DC-316</v>
          </cell>
          <cell r="D156" t="str">
            <v>55030</v>
          </cell>
          <cell r="E156" t="str">
            <v>pasquallirodriguezdianacarolin@gmail.com</v>
          </cell>
          <cell r="F156" t="str">
            <v>PARD780109MMCSDN07</v>
          </cell>
          <cell r="G156" t="str">
            <v/>
          </cell>
          <cell r="H156" t="str">
            <v/>
          </cell>
          <cell r="I156" t="str">
            <v/>
          </cell>
          <cell r="J156" t="str">
            <v>IGNACIO RAMIREZ N.57 A HOGARES MARLA  ECATEPEC DE MORELOS  CP 55030 MÉXICO</v>
          </cell>
          <cell r="K156">
            <v>0</v>
          </cell>
          <cell r="L156" t="str">
            <v>ACTIVO</v>
          </cell>
          <cell r="M156" t="str">
            <v>SOLTERO/A</v>
          </cell>
          <cell r="N156" t="str">
            <v/>
          </cell>
          <cell r="O156" t="str">
            <v/>
          </cell>
          <cell r="P156" t="str">
            <v/>
          </cell>
          <cell r="Q156" t="str">
            <v>2024-06-01 00:00:00.000Z</v>
          </cell>
          <cell r="R156" t="str">
            <v>2024-06-01 00:00:00.000Z</v>
          </cell>
          <cell r="S156" t="str">
            <v>1978-01-09 00:00:00.000Z</v>
          </cell>
          <cell r="T156" t="str">
            <v>kqpwqd0z77g8hy8</v>
          </cell>
          <cell r="U156" t="str">
            <v>PASQUALLI RODRIGUEZ DIANA CAROLINA</v>
          </cell>
          <cell r="V156" t="str">
            <v>92007822353</v>
          </cell>
          <cell r="W156" t="str">
            <v>ESTADO DE MEXICO</v>
          </cell>
          <cell r="X156" t="str">
            <v/>
          </cell>
          <cell r="Y156" t="str">
            <v/>
          </cell>
          <cell r="Z156" t="str">
            <v>PARD7801093JA</v>
          </cell>
          <cell r="AA156" t="str">
            <v>DERMOCONSEJO</v>
          </cell>
          <cell r="AB156" t="str">
            <v>MUJER</v>
          </cell>
          <cell r="AC156">
            <v>580.323445542331</v>
          </cell>
          <cell r="AD156" t="str">
            <v/>
          </cell>
          <cell r="AE156" t="str">
            <v/>
          </cell>
          <cell r="AF156" t="str">
            <v>5511942544</v>
          </cell>
          <cell r="AG156" t="str">
            <v>CDMX</v>
          </cell>
          <cell r="AH156">
            <v>0</v>
          </cell>
        </row>
        <row r="157">
          <cell r="A157">
            <v>138</v>
          </cell>
          <cell r="B157" t="str">
            <v>w9dqy2wz4o5mxe8</v>
          </cell>
          <cell r="C157" t="str">
            <v>BTL-DC-138</v>
          </cell>
          <cell r="D157" t="str">
            <v>53716</v>
          </cell>
          <cell r="E157" t="str">
            <v>maydiaz321@gmail.com</v>
          </cell>
          <cell r="F157" t="str">
            <v>PEDM830908MMCRZY03</v>
          </cell>
          <cell r="G157" t="str">
            <v/>
          </cell>
          <cell r="H157" t="str">
            <v/>
          </cell>
          <cell r="I157" t="str">
            <v/>
          </cell>
          <cell r="J157" t="str">
            <v>AGUSTÍN MELGAR LT6 MZ F COLONIA ALFREDO DEL MAZO  NAUCALPAN  CP 53716 MÉXICO</v>
          </cell>
          <cell r="K157">
            <v>0</v>
          </cell>
          <cell r="L157" t="str">
            <v>ACTIVO</v>
          </cell>
          <cell r="M157" t="str">
            <v>SOLTERO/A</v>
          </cell>
          <cell r="N157" t="str">
            <v/>
          </cell>
          <cell r="O157" t="str">
            <v/>
          </cell>
          <cell r="P157" t="str">
            <v/>
          </cell>
          <cell r="Q157" t="str">
            <v>2023-02-27 00:00:00.000Z</v>
          </cell>
          <cell r="R157" t="str">
            <v>2023-02-27 00:00:00.000Z</v>
          </cell>
          <cell r="S157" t="str">
            <v>1983-09-08 00:00:00.000Z</v>
          </cell>
          <cell r="T157" t="str">
            <v>6ofw1e00g853w14</v>
          </cell>
          <cell r="U157" t="str">
            <v xml:space="preserve">PEREZ DIAZ MAYRA </v>
          </cell>
          <cell r="V157" t="str">
            <v>90028309228</v>
          </cell>
          <cell r="W157" t="str">
            <v>ESTADO DE MEXICO</v>
          </cell>
          <cell r="X157" t="str">
            <v/>
          </cell>
          <cell r="Y157" t="str">
            <v/>
          </cell>
          <cell r="Z157" t="str">
            <v>PEDM8309085T7</v>
          </cell>
          <cell r="AA157" t="str">
            <v>DERMOCONSEJO</v>
          </cell>
          <cell r="AB157" t="str">
            <v>MUJER</v>
          </cell>
          <cell r="AC157">
            <v>614.38726999558105</v>
          </cell>
          <cell r="AD157" t="str">
            <v/>
          </cell>
          <cell r="AE157" t="str">
            <v/>
          </cell>
          <cell r="AF157" t="str">
            <v>5610113856</v>
          </cell>
          <cell r="AG157" t="str">
            <v>CDMX</v>
          </cell>
          <cell r="AH157">
            <v>0</v>
          </cell>
        </row>
        <row r="158">
          <cell r="A158">
            <v>503</v>
          </cell>
          <cell r="B158" t="str">
            <v>w9dqy2wz4o5mxe8</v>
          </cell>
          <cell r="C158" t="str">
            <v>BTL-DC-503</v>
          </cell>
          <cell r="D158" t="str">
            <v>45670</v>
          </cell>
          <cell r="E158" t="str">
            <v>lettynails1625@gmail.com</v>
          </cell>
          <cell r="F158" t="str">
            <v>PEHL700425MDFRRT01</v>
          </cell>
          <cell r="G158" t="str">
            <v/>
          </cell>
          <cell r="H158" t="str">
            <v/>
          </cell>
          <cell r="I158" t="str">
            <v/>
          </cell>
          <cell r="J158" t="str">
            <v>JÚPITER 26-B VILLAS DE SAN GILBERTO 3  TLAJOMULCO DE ZÚÑIGA CP 45670 JALISCO</v>
          </cell>
          <cell r="K158">
            <v>0</v>
          </cell>
          <cell r="L158" t="str">
            <v>ACTIVO</v>
          </cell>
          <cell r="M158" t="str">
            <v>SOLTERO/A</v>
          </cell>
          <cell r="N158" t="str">
            <v/>
          </cell>
          <cell r="O158" t="str">
            <v/>
          </cell>
          <cell r="P158" t="str">
            <v/>
          </cell>
          <cell r="Q158" t="str">
            <v>2025-08-07 00:00:00.000Z</v>
          </cell>
          <cell r="R158" t="str">
            <v>2025-08-07 00:00:00.000Z</v>
          </cell>
          <cell r="S158" t="str">
            <v>1970-04-25 00:00:00.000Z</v>
          </cell>
          <cell r="T158" t="str">
            <v>ig1rfv1968r7m0k</v>
          </cell>
          <cell r="U158" t="str">
            <v xml:space="preserve">PEREZ HERNANDEZ LETICIA </v>
          </cell>
          <cell r="V158" t="str">
            <v>20897016653</v>
          </cell>
          <cell r="W158" t="str">
            <v>CIUDAD DE MEXICO</v>
          </cell>
          <cell r="X158" t="str">
            <v/>
          </cell>
          <cell r="Y158" t="str">
            <v/>
          </cell>
          <cell r="Z158" t="str">
            <v>PEHL700425CB0</v>
          </cell>
          <cell r="AA158" t="str">
            <v>DERMOCONSEJO</v>
          </cell>
          <cell r="AB158" t="str">
            <v>MUJER</v>
          </cell>
          <cell r="AC158">
            <v>595.62572737480298</v>
          </cell>
          <cell r="AD158" t="str">
            <v/>
          </cell>
          <cell r="AE158" t="str">
            <v/>
          </cell>
          <cell r="AF158" t="str">
            <v>3312196178</v>
          </cell>
          <cell r="AG158" t="str">
            <v>GDL</v>
          </cell>
          <cell r="AH158">
            <v>0</v>
          </cell>
        </row>
        <row r="159">
          <cell r="A159">
            <v>575</v>
          </cell>
          <cell r="B159" t="str">
            <v>w9dqy2wz4o5mxe8</v>
          </cell>
          <cell r="C159" t="str">
            <v>BTL-DC-575</v>
          </cell>
          <cell r="D159" t="str">
            <v>54460</v>
          </cell>
          <cell r="E159" t="str">
            <v>perezpinonjessica@gmail.com</v>
          </cell>
          <cell r="F159" t="str">
            <v>PEPJ860928MDFRXS02</v>
          </cell>
          <cell r="G159" t="str">
            <v/>
          </cell>
          <cell r="H159" t="str">
            <v/>
          </cell>
          <cell r="I159" t="str">
            <v/>
          </cell>
          <cell r="J159" t="str">
            <v>AV MINAS S/N, LA CONSEPCION, NICOLÁS ROMERO, CP 54460, MÉXICO</v>
          </cell>
          <cell r="K159">
            <v>0</v>
          </cell>
          <cell r="L159" t="str">
            <v>ACTIVO</v>
          </cell>
          <cell r="M159" t="str">
            <v>CASADO/A</v>
          </cell>
          <cell r="N159" t="str">
            <v/>
          </cell>
          <cell r="O159" t="str">
            <v/>
          </cell>
          <cell r="P159" t="str">
            <v/>
          </cell>
          <cell r="Q159" t="str">
            <v>2026-01-21 00:00:00.000Z</v>
          </cell>
          <cell r="R159" t="str">
            <v>2026-01-21 00:00:00.000Z</v>
          </cell>
          <cell r="S159" t="str">
            <v>1986-09-28 00:00:00.000Z</v>
          </cell>
          <cell r="T159" t="str">
            <v>9ae07fq8p1k28m7</v>
          </cell>
          <cell r="U159" t="str">
            <v>PEREZ PIÑON JESSICA ADRIANA</v>
          </cell>
          <cell r="V159" t="str">
            <v>92048656356</v>
          </cell>
          <cell r="W159" t="str">
            <v>CIUDAD DE MEXICO</v>
          </cell>
          <cell r="X159" t="str">
            <v/>
          </cell>
          <cell r="Y159" t="str">
            <v/>
          </cell>
          <cell r="Z159" t="str">
            <v>PEPJ860928</v>
          </cell>
          <cell r="AA159" t="str">
            <v>DERMOCONSEJO</v>
          </cell>
          <cell r="AB159" t="str">
            <v>MUJER</v>
          </cell>
          <cell r="AC159">
            <v>330.576219178082</v>
          </cell>
          <cell r="AD159" t="str">
            <v/>
          </cell>
          <cell r="AE159" t="str">
            <v/>
          </cell>
          <cell r="AF159" t="str">
            <v>5614224221</v>
          </cell>
          <cell r="AG159" t="str">
            <v>CDMX</v>
          </cell>
          <cell r="AH159">
            <v>0</v>
          </cell>
        </row>
        <row r="160">
          <cell r="A160">
            <v>441</v>
          </cell>
          <cell r="B160" t="str">
            <v>w9dqy2wz4o5mxe8</v>
          </cell>
          <cell r="C160" t="str">
            <v>BTL-DC-441</v>
          </cell>
          <cell r="D160" t="str">
            <v>76087</v>
          </cell>
          <cell r="E160" t="str">
            <v>perezsandovalmary3@gmail.com</v>
          </cell>
          <cell r="F160" t="str">
            <v>PESM750623MQTRNR03</v>
          </cell>
          <cell r="G160" t="str">
            <v/>
          </cell>
          <cell r="H160" t="str">
            <v/>
          </cell>
          <cell r="I160" t="str">
            <v/>
          </cell>
          <cell r="J160" t="str">
            <v>IGNACIO ALLENDE 22 CUITLAHUAC JOSÉFA VERGARA Y HERNÁNDEZ CP 76087 QUERÉTARO</v>
          </cell>
          <cell r="K160">
            <v>0</v>
          </cell>
          <cell r="L160" t="str">
            <v>ACTIVO</v>
          </cell>
          <cell r="M160" t="str">
            <v>SOLTERO/A</v>
          </cell>
          <cell r="N160" t="str">
            <v/>
          </cell>
          <cell r="O160" t="str">
            <v/>
          </cell>
          <cell r="P160" t="str">
            <v/>
          </cell>
          <cell r="Q160" t="str">
            <v>2025-03-21 00:00:00.000Z</v>
          </cell>
          <cell r="R160" t="str">
            <v>2025-03-21 00:00:00.000Z</v>
          </cell>
          <cell r="S160" t="str">
            <v>1975-06-23 00:00:00.000Z</v>
          </cell>
          <cell r="T160" t="str">
            <v>9wo2d51189aw2m4</v>
          </cell>
          <cell r="U160" t="str">
            <v xml:space="preserve">PEREZ SANDOVAL MARIA </v>
          </cell>
          <cell r="V160" t="str">
            <v>14957505572</v>
          </cell>
          <cell r="W160" t="str">
            <v>QUERETARO</v>
          </cell>
          <cell r="X160" t="str">
            <v/>
          </cell>
          <cell r="Y160" t="str">
            <v/>
          </cell>
          <cell r="Z160" t="str">
            <v>PESM7506239V1</v>
          </cell>
          <cell r="AA160" t="str">
            <v>DERMOCONSEJO</v>
          </cell>
          <cell r="AB160" t="str">
            <v>MUJER</v>
          </cell>
          <cell r="AC160">
            <v>611.88556344037704</v>
          </cell>
          <cell r="AD160" t="str">
            <v/>
          </cell>
          <cell r="AE160" t="str">
            <v/>
          </cell>
          <cell r="AF160" t="str">
            <v>4422732403</v>
          </cell>
          <cell r="AG160" t="str">
            <v>QUERETARO</v>
          </cell>
          <cell r="AH160">
            <v>0</v>
          </cell>
        </row>
        <row r="161">
          <cell r="A161">
            <v>184</v>
          </cell>
          <cell r="B161" t="str">
            <v>w9dqy2wz4o5mxe8</v>
          </cell>
          <cell r="C161" t="str">
            <v>BTL-DC-184</v>
          </cell>
          <cell r="D161" t="str">
            <v>55720</v>
          </cell>
          <cell r="E161" t="str">
            <v>dyanmar82@gmail.com</v>
          </cell>
          <cell r="F161" t="str">
            <v>PETD820422MMCRLN04</v>
          </cell>
          <cell r="G161" t="str">
            <v/>
          </cell>
          <cell r="H161" t="str">
            <v/>
          </cell>
          <cell r="I161" t="str">
            <v/>
          </cell>
          <cell r="J161" t="str">
            <v>PRIMAVERAS 114 MZ.14 DEPTO D2 PARQUE RESIDENCIAL COACALCO 1A SECC COACALCO DE BERRIOZÁBAL CP 55720 MÉXICO</v>
          </cell>
          <cell r="K161">
            <v>0</v>
          </cell>
          <cell r="L161" t="str">
            <v>ACTIVO</v>
          </cell>
          <cell r="M161" t="str">
            <v>SOLTERO/A</v>
          </cell>
          <cell r="N161" t="str">
            <v/>
          </cell>
          <cell r="O161" t="str">
            <v/>
          </cell>
          <cell r="P161" t="str">
            <v/>
          </cell>
          <cell r="Q161" t="str">
            <v>2023-07-18 00:00:00.000Z</v>
          </cell>
          <cell r="R161" t="str">
            <v>2023-07-21 00:00:00.000Z</v>
          </cell>
          <cell r="S161" t="str">
            <v>1982-04-22 00:00:00.000Z</v>
          </cell>
          <cell r="T161" t="str">
            <v>2h947pb7665x9u4</v>
          </cell>
          <cell r="U161" t="str">
            <v>PEREZ TELLEZ DIANA MARCELA</v>
          </cell>
          <cell r="V161" t="str">
            <v>94098209466</v>
          </cell>
          <cell r="W161" t="str">
            <v>ESTADO DE MEXICO</v>
          </cell>
          <cell r="X161" t="str">
            <v/>
          </cell>
          <cell r="Y161" t="str">
            <v/>
          </cell>
          <cell r="Z161" t="str">
            <v>PETD820422V15</v>
          </cell>
          <cell r="AA161" t="str">
            <v>DERMOCONSEJO</v>
          </cell>
          <cell r="AB161" t="str">
            <v>MUJER</v>
          </cell>
          <cell r="AC161">
            <v>573.50674646305799</v>
          </cell>
          <cell r="AD161" t="str">
            <v/>
          </cell>
          <cell r="AE161" t="str">
            <v/>
          </cell>
          <cell r="AF161" t="str">
            <v>5532410792</v>
          </cell>
          <cell r="AG161" t="str">
            <v>CDMX</v>
          </cell>
          <cell r="AH161">
            <v>0</v>
          </cell>
        </row>
        <row r="162">
          <cell r="A162">
            <v>481</v>
          </cell>
          <cell r="B162" t="str">
            <v>w9dqy2wz4o5mxe8</v>
          </cell>
          <cell r="C162" t="str">
            <v>BTL-DC-481</v>
          </cell>
          <cell r="D162" t="str">
            <v>82139</v>
          </cell>
          <cell r="E162" t="str">
            <v>lizarragagilberto099@gmail.com</v>
          </cell>
          <cell r="F162" t="str">
            <v>LILG040316HSLZZLA9</v>
          </cell>
          <cell r="G162" t="str">
            <v/>
          </cell>
          <cell r="H162" t="str">
            <v/>
          </cell>
          <cell r="I162" t="str">
            <v/>
          </cell>
          <cell r="J162" t="str">
            <v>LAURELES 16009 ARBOLEDAS INVIES  MAZATLÁN  CP 82139 SINALOA</v>
          </cell>
          <cell r="K162">
            <v>0</v>
          </cell>
          <cell r="L162" t="str">
            <v>ACTIVO</v>
          </cell>
          <cell r="M162" t="str">
            <v>SOLTERO/A</v>
          </cell>
          <cell r="N162" t="str">
            <v/>
          </cell>
          <cell r="O162" t="str">
            <v/>
          </cell>
          <cell r="P162" t="str">
            <v/>
          </cell>
          <cell r="Q162" t="str">
            <v>2025-04-03 00:00:00.000Z</v>
          </cell>
          <cell r="R162" t="str">
            <v>2025-04-03 00:00:00.000Z</v>
          </cell>
          <cell r="S162" t="str">
            <v>2004-03-16 00:00:00.000Z</v>
          </cell>
          <cell r="T162" t="str">
            <v>88g89ve9ah38u7o</v>
          </cell>
          <cell r="U162" t="str">
            <v xml:space="preserve">LIZARRAGA LIZARRAGA GILBERTO </v>
          </cell>
          <cell r="V162" t="str">
            <v>35230481315</v>
          </cell>
          <cell r="W162" t="str">
            <v>SINALOA</v>
          </cell>
          <cell r="X162" t="str">
            <v/>
          </cell>
          <cell r="Y162" t="str">
            <v/>
          </cell>
          <cell r="Z162" t="str">
            <v>LILG040316QG6</v>
          </cell>
          <cell r="AA162" t="str">
            <v>DERMOCONSEJO</v>
          </cell>
          <cell r="AB162" t="str">
            <v>HOMBRE</v>
          </cell>
          <cell r="AC162">
            <v>560.35160141405197</v>
          </cell>
          <cell r="AD162" t="str">
            <v/>
          </cell>
          <cell r="AE162" t="str">
            <v/>
          </cell>
          <cell r="AF162" t="str">
            <v>6692600925</v>
          </cell>
          <cell r="AG162" t="str">
            <v>SINALOA</v>
          </cell>
          <cell r="AH162">
            <v>0</v>
          </cell>
        </row>
        <row r="163">
          <cell r="A163">
            <v>278</v>
          </cell>
          <cell r="B163" t="str">
            <v>w9dqy2wz4o5mxe8</v>
          </cell>
          <cell r="C163" t="str">
            <v>BTL-DC-278</v>
          </cell>
          <cell r="D163" t="str">
            <v>06450</v>
          </cell>
          <cell r="E163" t="str">
            <v>m9063124@gmail.com</v>
          </cell>
          <cell r="F163" t="str">
            <v>PIRC790514MDFXDR09</v>
          </cell>
          <cell r="G163" t="str">
            <v/>
          </cell>
          <cell r="H163" t="str">
            <v/>
          </cell>
          <cell r="I163" t="str">
            <v/>
          </cell>
          <cell r="J163" t="str">
            <v>C NOPAL 119 B 303 COL ATLAMPA 06450 CUAUHTEMOC, CDMX</v>
          </cell>
          <cell r="K163">
            <v>0</v>
          </cell>
          <cell r="L163" t="str">
            <v>ACTIVO</v>
          </cell>
          <cell r="M163" t="str">
            <v>CASADO/A</v>
          </cell>
          <cell r="N163" t="str">
            <v/>
          </cell>
          <cell r="O163" t="str">
            <v/>
          </cell>
          <cell r="P163" t="str">
            <v/>
          </cell>
          <cell r="Q163" t="str">
            <v>2026-01-12 00:00:00.000Z</v>
          </cell>
          <cell r="R163" t="str">
            <v>2024-02-29 00:00:00.000Z</v>
          </cell>
          <cell r="S163" t="str">
            <v>1979-05-14 00:00:00.000Z</v>
          </cell>
          <cell r="T163" t="str">
            <v>ylp977x8pc759yb</v>
          </cell>
          <cell r="U163" t="str">
            <v>PIÑA RODRIGUEZ MARIA DEL CARMEN</v>
          </cell>
          <cell r="V163" t="str">
            <v>07047902627</v>
          </cell>
          <cell r="W163" t="str">
            <v>CIUDAD DE MEXICO</v>
          </cell>
          <cell r="X163" t="str">
            <v/>
          </cell>
          <cell r="Y163" t="str">
            <v/>
          </cell>
          <cell r="Z163" t="str">
            <v>PIRC790514F75</v>
          </cell>
          <cell r="AA163" t="str">
            <v>DERMOCONSEJO</v>
          </cell>
          <cell r="AB163" t="str">
            <v>MUJER</v>
          </cell>
          <cell r="AC163">
            <v>330.576219178082</v>
          </cell>
          <cell r="AD163" t="str">
            <v/>
          </cell>
          <cell r="AE163" t="str">
            <v/>
          </cell>
          <cell r="AF163" t="str">
            <v>5622105658</v>
          </cell>
          <cell r="AG163" t="str">
            <v>CDMX</v>
          </cell>
          <cell r="AH163">
            <v>0</v>
          </cell>
        </row>
        <row r="164">
          <cell r="A164">
            <v>396</v>
          </cell>
          <cell r="B164" t="str">
            <v>w9dqy2wz4o5mxe8</v>
          </cell>
          <cell r="C164" t="str">
            <v>BTL-DC-396</v>
          </cell>
          <cell r="D164" t="str">
            <v>44769</v>
          </cell>
          <cell r="E164" t="str">
            <v>ilove_mary512@hotmail.com</v>
          </cell>
          <cell r="F164" t="str">
            <v>QURM901209MJCVYR03</v>
          </cell>
          <cell r="G164" t="str">
            <v/>
          </cell>
          <cell r="H164" t="str">
            <v/>
          </cell>
          <cell r="I164" t="str">
            <v/>
          </cell>
          <cell r="J164" t="str">
            <v>GENARO ESTRADA #4001 LA CAMPESINA GUADALAJARA  CP 44769 JALISCO</v>
          </cell>
          <cell r="K164">
            <v>0</v>
          </cell>
          <cell r="L164" t="str">
            <v>ACTIVO</v>
          </cell>
          <cell r="M164" t="str">
            <v>SOLTERO/A</v>
          </cell>
          <cell r="N164" t="str">
            <v/>
          </cell>
          <cell r="O164" t="str">
            <v/>
          </cell>
          <cell r="P164" t="str">
            <v/>
          </cell>
          <cell r="Q164" t="str">
            <v>2024-12-18 00:00:00.000Z</v>
          </cell>
          <cell r="R164" t="str">
            <v>2024-12-18 00:00:00.000Z</v>
          </cell>
          <cell r="S164" t="str">
            <v>1990-12-09 00:00:00.000Z</v>
          </cell>
          <cell r="T164" t="str">
            <v>fmgc67vri2r5uiz</v>
          </cell>
          <cell r="U164" t="str">
            <v xml:space="preserve">QUEVEDO REYNOSO MARICELA </v>
          </cell>
          <cell r="V164" t="str">
            <v>04129029833</v>
          </cell>
          <cell r="W164" t="str">
            <v>JALISCO</v>
          </cell>
          <cell r="X164" t="str">
            <v/>
          </cell>
          <cell r="Y164" t="str">
            <v/>
          </cell>
          <cell r="Z164" t="str">
            <v>QURM901209I51</v>
          </cell>
          <cell r="AA164" t="str">
            <v>DERMOCONSEJO</v>
          </cell>
          <cell r="AB164" t="str">
            <v>MUJER</v>
          </cell>
          <cell r="AC164">
            <v>612.60557668987201</v>
          </cell>
          <cell r="AD164" t="str">
            <v/>
          </cell>
          <cell r="AE164" t="str">
            <v/>
          </cell>
          <cell r="AF164" t="str">
            <v>3311722508</v>
          </cell>
          <cell r="AG164" t="str">
            <v>GDL</v>
          </cell>
          <cell r="AH164">
            <v>0</v>
          </cell>
        </row>
        <row r="165">
          <cell r="A165">
            <v>131</v>
          </cell>
          <cell r="B165" t="str">
            <v>w9dqy2wz4o5mxe8</v>
          </cell>
          <cell r="C165" t="str">
            <v>BTL-DC-131</v>
          </cell>
          <cell r="D165" t="str">
            <v>83170</v>
          </cell>
          <cell r="E165" t="str">
            <v>elyanaquihuislugo@gmail.com</v>
          </cell>
          <cell r="F165" t="str">
            <v>QULE920125MSRHGL04</v>
          </cell>
          <cell r="G165" t="str">
            <v/>
          </cell>
          <cell r="H165" t="str">
            <v/>
          </cell>
          <cell r="I165" t="str">
            <v/>
          </cell>
          <cell r="J165" t="str">
            <v>ENRIQUE QUIJADA 777 ÁLVARO OBREGÓN  SONORA  CP 83170 SONORA</v>
          </cell>
          <cell r="K165">
            <v>0</v>
          </cell>
          <cell r="L165" t="str">
            <v>ACTIVO</v>
          </cell>
          <cell r="M165" t="str">
            <v>SOLTERO/A</v>
          </cell>
          <cell r="N165" t="str">
            <v/>
          </cell>
          <cell r="O165" t="str">
            <v/>
          </cell>
          <cell r="P165" t="str">
            <v/>
          </cell>
          <cell r="Q165" t="str">
            <v>2023-02-20 00:00:00.000Z</v>
          </cell>
          <cell r="R165" t="str">
            <v>2023-02-20 00:00:00.000Z</v>
          </cell>
          <cell r="S165" t="str">
            <v>1992-01-25 00:00:00.000Z</v>
          </cell>
          <cell r="T165" t="str">
            <v>42kr0fmbl01zigi</v>
          </cell>
          <cell r="U165" t="str">
            <v xml:space="preserve">QUIHUIS LUGO ELIANA GUADALUPE </v>
          </cell>
          <cell r="V165" t="str">
            <v>24129258851</v>
          </cell>
          <cell r="W165" t="str">
            <v>SONORA</v>
          </cell>
          <cell r="X165" t="str">
            <v/>
          </cell>
          <cell r="Y165" t="str">
            <v/>
          </cell>
          <cell r="Z165" t="str">
            <v>QULE920125T89</v>
          </cell>
          <cell r="AA165" t="str">
            <v>DERMOCONSEJO</v>
          </cell>
          <cell r="AB165" t="str">
            <v>MUJER</v>
          </cell>
          <cell r="AC165">
            <v>673.81017920502995</v>
          </cell>
          <cell r="AD165" t="str">
            <v/>
          </cell>
          <cell r="AE165" t="str">
            <v/>
          </cell>
          <cell r="AF165" t="str">
            <v>6622883775</v>
          </cell>
          <cell r="AG165" t="str">
            <v>SONORA</v>
          </cell>
          <cell r="AH165">
            <v>0</v>
          </cell>
        </row>
        <row r="166">
          <cell r="A166">
            <v>202</v>
          </cell>
          <cell r="B166" t="str">
            <v>w9dqy2wz4o5mxe8</v>
          </cell>
          <cell r="C166" t="str">
            <v>BTL-DC-202</v>
          </cell>
          <cell r="D166" t="str">
            <v>54477</v>
          </cell>
          <cell r="E166" t="str">
            <v>nlllmndrgn@gmail</v>
          </cell>
          <cell r="F166" t="str">
            <v>MOVN851109MMCNGL07</v>
          </cell>
          <cell r="G166" t="str">
            <v/>
          </cell>
          <cell r="H166" t="str">
            <v/>
          </cell>
          <cell r="I166" t="str">
            <v/>
          </cell>
          <cell r="J166" t="str">
            <v>LÁZARO CÁRDENAS 17 SAN ISIDRO  NICOLÁS ROMERO CP 54477 MÉXICO</v>
          </cell>
          <cell r="K166">
            <v>0</v>
          </cell>
          <cell r="L166" t="str">
            <v>ACTIVO</v>
          </cell>
          <cell r="M166" t="str">
            <v>CASADO/A</v>
          </cell>
          <cell r="N166" t="str">
            <v/>
          </cell>
          <cell r="O166" t="str">
            <v/>
          </cell>
          <cell r="P166" t="str">
            <v/>
          </cell>
          <cell r="Q166" t="str">
            <v>2023-08-09 00:00:00.000Z</v>
          </cell>
          <cell r="R166" t="str">
            <v>2023-08-09 00:00:00.000Z</v>
          </cell>
          <cell r="S166" t="str">
            <v>1985-11-09 00:00:00.000Z</v>
          </cell>
          <cell r="T166" t="str">
            <v>y28t31f98vpy28a</v>
          </cell>
          <cell r="U166" t="str">
            <v xml:space="preserve">MONDRAGON VEGA NALLELY </v>
          </cell>
          <cell r="V166" t="str">
            <v>92048513912</v>
          </cell>
          <cell r="W166" t="str">
            <v>ESTADO DE MEXICO</v>
          </cell>
          <cell r="X166" t="str">
            <v/>
          </cell>
          <cell r="Y166" t="str">
            <v/>
          </cell>
          <cell r="Z166" t="str">
            <v>MOVN851109F87</v>
          </cell>
          <cell r="AA166" t="str">
            <v>DERMOCONSEJO</v>
          </cell>
          <cell r="AB166" t="str">
            <v>MUJER</v>
          </cell>
          <cell r="AC166">
            <v>557.56049580203205</v>
          </cell>
          <cell r="AD166" t="str">
            <v/>
          </cell>
          <cell r="AE166" t="str">
            <v/>
          </cell>
          <cell r="AF166" t="str">
            <v>5621449883</v>
          </cell>
          <cell r="AG166" t="str">
            <v>CDMX</v>
          </cell>
          <cell r="AH166">
            <v>0</v>
          </cell>
        </row>
        <row r="167">
          <cell r="A167">
            <v>87</v>
          </cell>
          <cell r="B167" t="str">
            <v>w9dqy2wz4o5mxe8</v>
          </cell>
          <cell r="C167" t="str">
            <v>BTL-DC-87</v>
          </cell>
          <cell r="D167" t="str">
            <v>72494</v>
          </cell>
          <cell r="E167" t="str">
            <v>angyquintero1922@gmail.com</v>
          </cell>
          <cell r="F167" t="str">
            <v>QUGA900222MPLNRN05</v>
          </cell>
          <cell r="G167" t="str">
            <v/>
          </cell>
          <cell r="H167" t="str">
            <v/>
          </cell>
          <cell r="I167" t="str">
            <v/>
          </cell>
          <cell r="J167" t="str">
            <v>ANDADOR SAN MARCOS E1 302 FRACC. EL ROSARIO. COLONIA EX HACIENDA CHAPULCO PUEBLA CP 72494 PUEBLA</v>
          </cell>
          <cell r="K167">
            <v>0</v>
          </cell>
          <cell r="L167" t="str">
            <v>ACTIVO</v>
          </cell>
          <cell r="M167" t="str">
            <v>CASADO/A</v>
          </cell>
          <cell r="N167" t="str">
            <v/>
          </cell>
          <cell r="O167" t="str">
            <v/>
          </cell>
          <cell r="P167" t="str">
            <v/>
          </cell>
          <cell r="Q167" t="str">
            <v>2022-08-25 00:00:00.000Z</v>
          </cell>
          <cell r="R167" t="str">
            <v>2022-08-25 00:00:00.000Z</v>
          </cell>
          <cell r="S167" t="str">
            <v>1990-02-22 00:00:00.000Z</v>
          </cell>
          <cell r="T167" t="str">
            <v>2a003mk68v5w44b</v>
          </cell>
          <cell r="U167" t="str">
            <v xml:space="preserve">QUINTERO GARISTA ANGELICA </v>
          </cell>
          <cell r="V167" t="str">
            <v>48099012527</v>
          </cell>
          <cell r="W167" t="str">
            <v>PUEBLA</v>
          </cell>
          <cell r="X167" t="str">
            <v/>
          </cell>
          <cell r="Y167" t="str">
            <v/>
          </cell>
          <cell r="Z167" t="str">
            <v>QUGA900222GK1</v>
          </cell>
          <cell r="AA167" t="str">
            <v>DERMOCONSEJO</v>
          </cell>
          <cell r="AB167" t="str">
            <v>MUJER</v>
          </cell>
          <cell r="AC167">
            <v>638.99775230181899</v>
          </cell>
          <cell r="AD167" t="str">
            <v/>
          </cell>
          <cell r="AE167" t="str">
            <v/>
          </cell>
          <cell r="AF167" t="str">
            <v>2229175933</v>
          </cell>
          <cell r="AG167" t="str">
            <v>PUEBLA</v>
          </cell>
          <cell r="AH167">
            <v>0</v>
          </cell>
        </row>
        <row r="168">
          <cell r="A168">
            <v>535</v>
          </cell>
          <cell r="B168" t="str">
            <v>w9dqy2wz4o5mxe8</v>
          </cell>
          <cell r="C168" t="str">
            <v>BTL-DC-535</v>
          </cell>
          <cell r="D168" t="str">
            <v>66210</v>
          </cell>
          <cell r="E168" t="str">
            <v>brendamarina001@hotmail.com</v>
          </cell>
          <cell r="F168" t="str">
            <v>QUGB890601MNLXRR03</v>
          </cell>
          <cell r="G168" t="str">
            <v/>
          </cell>
          <cell r="H168" t="str">
            <v/>
          </cell>
          <cell r="I168" t="str">
            <v/>
          </cell>
          <cell r="J168" t="str">
            <v>MERCURIO 805, SAN PEDRO 400, SAN PEDRO GARZA GARCIA, CP 66210, NUEVO LEÓN</v>
          </cell>
          <cell r="K168">
            <v>0</v>
          </cell>
          <cell r="L168" t="str">
            <v>ACTIVO</v>
          </cell>
          <cell r="M168" t="str">
            <v>CASADO/A</v>
          </cell>
          <cell r="N168" t="str">
            <v/>
          </cell>
          <cell r="O168" t="str">
            <v/>
          </cell>
          <cell r="P168" t="str">
            <v/>
          </cell>
          <cell r="Q168" t="str">
            <v>2026-01-10 00:00:00.000Z</v>
          </cell>
          <cell r="R168" t="str">
            <v>2026-01-10 00:00:00.000Z</v>
          </cell>
          <cell r="S168" t="str">
            <v>1989-06-01 00:00:00.000Z</v>
          </cell>
          <cell r="T168" t="str">
            <v>bm13l2er1e3u76u</v>
          </cell>
          <cell r="U168" t="str">
            <v>QUIÑONES GARZA BRENDA KARINA</v>
          </cell>
          <cell r="V168" t="str">
            <v>47058901449</v>
          </cell>
          <cell r="W168" t="str">
            <v>NUEVO LEON</v>
          </cell>
          <cell r="X168" t="str">
            <v/>
          </cell>
          <cell r="Y168" t="str">
            <v/>
          </cell>
          <cell r="Z168" t="str">
            <v>QUGB8906012S8</v>
          </cell>
          <cell r="AA168" t="str">
            <v>DERMOCONSEJO</v>
          </cell>
          <cell r="AB168" t="str">
            <v>MUJER</v>
          </cell>
          <cell r="AC168">
            <v>330.576219178082</v>
          </cell>
          <cell r="AD168" t="str">
            <v/>
          </cell>
          <cell r="AE168" t="str">
            <v/>
          </cell>
          <cell r="AF168" t="str">
            <v>8184729626</v>
          </cell>
          <cell r="AG168" t="str">
            <v>MTY</v>
          </cell>
          <cell r="AH168">
            <v>0</v>
          </cell>
        </row>
        <row r="169">
          <cell r="A169">
            <v>364</v>
          </cell>
          <cell r="B169" t="str">
            <v>w9dqy2wz4o5mxe8</v>
          </cell>
          <cell r="C169" t="str">
            <v>BTL-DC-364</v>
          </cell>
          <cell r="D169" t="str">
            <v>76140</v>
          </cell>
          <cell r="E169" t="str">
            <v>anamariela926@gmail.com</v>
          </cell>
          <cell r="F169" t="str">
            <v>RABA821221MQTMTN05</v>
          </cell>
          <cell r="G169" t="str">
            <v/>
          </cell>
          <cell r="H169" t="str">
            <v/>
          </cell>
          <cell r="I169" t="str">
            <v/>
          </cell>
          <cell r="J169" t="str">
            <v>CALLE CAMPECHE ESQUINA LADERA 1 LAS MARGARITAS SAN JOSÉ EL ALTO QUERÉTARO  CP 76140 QUERÉTARO</v>
          </cell>
          <cell r="K169">
            <v>0</v>
          </cell>
          <cell r="L169" t="str">
            <v>ACTIVO</v>
          </cell>
          <cell r="M169" t="str">
            <v>SOLTERO/A</v>
          </cell>
          <cell r="N169" t="str">
            <v/>
          </cell>
          <cell r="O169" t="str">
            <v/>
          </cell>
          <cell r="P169" t="str">
            <v/>
          </cell>
          <cell r="Q169" t="str">
            <v>2024-09-02 00:00:00.000Z</v>
          </cell>
          <cell r="R169" t="str">
            <v>2024-09-02 00:00:00.000Z</v>
          </cell>
          <cell r="S169" t="str">
            <v>1982-12-21 00:00:00.000Z</v>
          </cell>
          <cell r="T169" t="str">
            <v>82e4w75b2hm5wz7</v>
          </cell>
          <cell r="U169" t="str">
            <v xml:space="preserve">RAMIREZ BAUTISTA ANA MARIELA </v>
          </cell>
          <cell r="V169" t="str">
            <v>14028208784</v>
          </cell>
          <cell r="W169" t="str">
            <v>QUERETARO</v>
          </cell>
          <cell r="X169" t="str">
            <v/>
          </cell>
          <cell r="Y169" t="str">
            <v/>
          </cell>
          <cell r="Z169" t="str">
            <v>RABA821221AY9</v>
          </cell>
          <cell r="AA169" t="str">
            <v>DERMOCONSEJO</v>
          </cell>
          <cell r="AB169" t="str">
            <v>MUJER</v>
          </cell>
          <cell r="AC169">
            <v>660.32131439478997</v>
          </cell>
          <cell r="AD169" t="str">
            <v/>
          </cell>
          <cell r="AE169" t="str">
            <v/>
          </cell>
          <cell r="AF169" t="str">
            <v>4423942293</v>
          </cell>
          <cell r="AG169" t="str">
            <v>QUERETARO</v>
          </cell>
          <cell r="AH169">
            <v>0</v>
          </cell>
        </row>
        <row r="170">
          <cell r="A170">
            <v>548</v>
          </cell>
          <cell r="B170" t="str">
            <v>w9dqy2wz4o5mxe8</v>
          </cell>
          <cell r="C170" t="str">
            <v>BTL-DC-548</v>
          </cell>
          <cell r="D170" t="str">
            <v>14100</v>
          </cell>
          <cell r="E170" t="str">
            <v>karinamoralesruiz2@gmail.com</v>
          </cell>
          <cell r="F170" t="str">
            <v>MOR881004MDFRZR02</v>
          </cell>
          <cell r="G170" t="str">
            <v/>
          </cell>
          <cell r="H170" t="str">
            <v/>
          </cell>
          <cell r="I170" t="str">
            <v/>
          </cell>
          <cell r="J170" t="str">
            <v>TIXCANDAL MZ 128LT.4, PEDREGAL DE SAN NICOLÁS, TLALPAN, CP 14100, CIUDAD DE MÉXICO</v>
          </cell>
          <cell r="K170">
            <v>0</v>
          </cell>
          <cell r="L170" t="str">
            <v>ACTIVO</v>
          </cell>
          <cell r="M170" t="str">
            <v>CASADO/A</v>
          </cell>
          <cell r="N170" t="str">
            <v/>
          </cell>
          <cell r="O170" t="str">
            <v/>
          </cell>
          <cell r="P170" t="str">
            <v/>
          </cell>
          <cell r="Q170" t="str">
            <v>2026-01-12 00:00:00.000Z</v>
          </cell>
          <cell r="R170" t="str">
            <v>2026-01-12 00:00:00.000Z</v>
          </cell>
          <cell r="S170" t="str">
            <v>1988-10-04 00:00:00.000Z</v>
          </cell>
          <cell r="T170" t="str">
            <v>1k6qcx1637dwu25</v>
          </cell>
          <cell r="U170" t="str">
            <v>MORALES RUIZ PERLA KARINA</v>
          </cell>
          <cell r="V170" t="str">
            <v>39098804592</v>
          </cell>
          <cell r="W170" t="str">
            <v>DESCONOCIDO</v>
          </cell>
          <cell r="X170" t="str">
            <v/>
          </cell>
          <cell r="Y170" t="str">
            <v/>
          </cell>
          <cell r="Z170" t="str">
            <v>MOR881004M</v>
          </cell>
          <cell r="AA170" t="str">
            <v>DERMOCONSEJO</v>
          </cell>
          <cell r="AB170" t="str">
            <v>HOMBRE</v>
          </cell>
          <cell r="AC170">
            <v>330.576219178082</v>
          </cell>
          <cell r="AD170" t="str">
            <v/>
          </cell>
          <cell r="AE170" t="str">
            <v/>
          </cell>
          <cell r="AF170" t="str">
            <v>5631992306</v>
          </cell>
          <cell r="AG170" t="str">
            <v>CDMX</v>
          </cell>
          <cell r="AH170">
            <v>0</v>
          </cell>
        </row>
        <row r="171">
          <cell r="A171">
            <v>153</v>
          </cell>
          <cell r="B171" t="str">
            <v>w9dqy2wz4o5mxe8</v>
          </cell>
          <cell r="C171" t="str">
            <v>BTL-DC-153</v>
          </cell>
          <cell r="D171" t="str">
            <v>45412</v>
          </cell>
          <cell r="E171" t="str">
            <v>mramidiaz84@gmail.com</v>
          </cell>
          <cell r="F171" t="str">
            <v>RADM841007MJCMZN05</v>
          </cell>
          <cell r="G171" t="str">
            <v/>
          </cell>
          <cell r="H171" t="str">
            <v/>
          </cell>
          <cell r="I171" t="str">
            <v/>
          </cell>
          <cell r="J171" t="str">
            <v>TEPATITLAN 91 JALISCO 1 SECCION TONALA CP 45412 JALISCO</v>
          </cell>
          <cell r="K171">
            <v>0</v>
          </cell>
          <cell r="L171" t="str">
            <v>ACTIVO</v>
          </cell>
          <cell r="M171" t="str">
            <v>SOLTERO/A</v>
          </cell>
          <cell r="N171" t="str">
            <v/>
          </cell>
          <cell r="O171" t="str">
            <v/>
          </cell>
          <cell r="P171" t="str">
            <v/>
          </cell>
          <cell r="Q171" t="str">
            <v>2023-03-10 00:00:00.000Z</v>
          </cell>
          <cell r="R171" t="str">
            <v>2023-03-10 00:00:00.000Z</v>
          </cell>
          <cell r="S171" t="str">
            <v>1984-10-07 00:00:00.000Z</v>
          </cell>
          <cell r="T171" t="str">
            <v>rga08nk7q3p8uzo</v>
          </cell>
          <cell r="U171" t="str">
            <v xml:space="preserve">RAMIREZ DIAZ MONICA ROCIO </v>
          </cell>
          <cell r="V171" t="str">
            <v>04068442385</v>
          </cell>
          <cell r="W171" t="str">
            <v>JALISCO</v>
          </cell>
          <cell r="X171" t="str">
            <v/>
          </cell>
          <cell r="Y171" t="str">
            <v/>
          </cell>
          <cell r="Z171" t="str">
            <v>RADM841007PV5</v>
          </cell>
          <cell r="AA171" t="str">
            <v>DERMOCONSEJO</v>
          </cell>
          <cell r="AB171" t="str">
            <v>MUJER</v>
          </cell>
          <cell r="AC171">
            <v>623.69592679092705</v>
          </cell>
          <cell r="AD171" t="str">
            <v/>
          </cell>
          <cell r="AE171" t="str">
            <v/>
          </cell>
          <cell r="AF171" t="str">
            <v>3334512840</v>
          </cell>
          <cell r="AG171" t="str">
            <v>GDL</v>
          </cell>
          <cell r="AH171">
            <v>0</v>
          </cell>
        </row>
        <row r="172">
          <cell r="A172">
            <v>365</v>
          </cell>
          <cell r="B172" t="str">
            <v>w9dqy2wz4o5mxe8</v>
          </cell>
          <cell r="C172" t="str">
            <v>BTL-DC-365</v>
          </cell>
          <cell r="D172" t="str">
            <v>57150</v>
          </cell>
          <cell r="E172" t="str">
            <v>yazminyazminramirez@hotmail.com</v>
          </cell>
          <cell r="F172" t="str">
            <v>RAFY810816MMSMRS01</v>
          </cell>
          <cell r="G172" t="str">
            <v/>
          </cell>
          <cell r="H172" t="str">
            <v/>
          </cell>
          <cell r="I172" t="str">
            <v/>
          </cell>
          <cell r="J172" t="str">
            <v>CUERNAVACA 46  VERGEL DE GUADALUPE  NEZAHUALCOYOTL  CP 57150 CIUDAD DE MÉXICO</v>
          </cell>
          <cell r="K172">
            <v>0</v>
          </cell>
          <cell r="L172" t="str">
            <v>ACTIVO</v>
          </cell>
          <cell r="M172" t="str">
            <v>SOLTERO/A</v>
          </cell>
          <cell r="N172" t="str">
            <v/>
          </cell>
          <cell r="O172" t="str">
            <v/>
          </cell>
          <cell r="P172" t="str">
            <v/>
          </cell>
          <cell r="Q172" t="str">
            <v>2024-09-13 00:00:00.000Z</v>
          </cell>
          <cell r="R172" t="str">
            <v>2024-09-13 00:00:00.000Z</v>
          </cell>
          <cell r="S172" t="str">
            <v>1981-08-16 00:00:00.000Z</v>
          </cell>
          <cell r="T172" t="str">
            <v>u7xx2d73g6q343u</v>
          </cell>
          <cell r="U172" t="str">
            <v xml:space="preserve">RAMIREZ FERNANDEZ YASMIN </v>
          </cell>
          <cell r="V172" t="str">
            <v>30008137033</v>
          </cell>
          <cell r="W172" t="str">
            <v>MORELOS</v>
          </cell>
          <cell r="X172" t="str">
            <v/>
          </cell>
          <cell r="Y172" t="str">
            <v/>
          </cell>
          <cell r="Z172" t="str">
            <v>RAFY810816QQ7</v>
          </cell>
          <cell r="AA172" t="str">
            <v>DERMOCONSEJO</v>
          </cell>
          <cell r="AB172" t="str">
            <v>MUJER</v>
          </cell>
          <cell r="AC172">
            <v>580.79115046036304</v>
          </cell>
          <cell r="AD172" t="str">
            <v/>
          </cell>
          <cell r="AE172" t="str">
            <v/>
          </cell>
          <cell r="AF172" t="str">
            <v>5516243960</v>
          </cell>
          <cell r="AG172" t="str">
            <v>CDMX</v>
          </cell>
          <cell r="AH172">
            <v>0</v>
          </cell>
        </row>
        <row r="173">
          <cell r="A173">
            <v>166</v>
          </cell>
          <cell r="B173" t="str">
            <v>w9dqy2wz4o5mxe8</v>
          </cell>
          <cell r="C173" t="str">
            <v>BTL-DC-166</v>
          </cell>
          <cell r="D173" t="str">
            <v>07240</v>
          </cell>
          <cell r="E173" t="str">
            <v>taegguk0504@gmail.com</v>
          </cell>
          <cell r="F173" t="str">
            <v>RAFI030426MDFMLRA4</v>
          </cell>
          <cell r="G173" t="str">
            <v/>
          </cell>
          <cell r="H173" t="str">
            <v/>
          </cell>
          <cell r="I173" t="str">
            <v/>
          </cell>
          <cell r="J173" t="str">
            <v>CUAUTEPEC 224 EL ARBOLILLO GUSTAVO A MADERO CP 07240 CIUDAD DE MÉXICO</v>
          </cell>
          <cell r="K173">
            <v>0</v>
          </cell>
          <cell r="L173" t="str">
            <v>ACTIVO</v>
          </cell>
          <cell r="M173" t="str">
            <v>SOLTERO/A</v>
          </cell>
          <cell r="N173" t="str">
            <v/>
          </cell>
          <cell r="O173" t="str">
            <v/>
          </cell>
          <cell r="P173" t="str">
            <v/>
          </cell>
          <cell r="Q173" t="str">
            <v>2023-03-31 00:00:00.000Z</v>
          </cell>
          <cell r="R173" t="str">
            <v>2023-03-31 00:00:00.000Z</v>
          </cell>
          <cell r="S173" t="str">
            <v>2003-04-26 00:00:00.000Z</v>
          </cell>
          <cell r="T173" t="str">
            <v>rl4218oxc0qkzcc</v>
          </cell>
          <cell r="U173" t="str">
            <v xml:space="preserve">RAMIREZ FLORES IRIDIAN JANAI </v>
          </cell>
          <cell r="V173" t="str">
            <v>46210383744</v>
          </cell>
          <cell r="W173" t="str">
            <v>CIUDAD DE MEXICO</v>
          </cell>
          <cell r="X173" t="str">
            <v/>
          </cell>
          <cell r="Y173" t="str">
            <v/>
          </cell>
          <cell r="Z173" t="str">
            <v>RAFI0304261Z4</v>
          </cell>
          <cell r="AA173" t="str">
            <v>DERMOCONSEJO</v>
          </cell>
          <cell r="AB173" t="str">
            <v>MUJER</v>
          </cell>
          <cell r="AC173">
            <v>559.61576285650096</v>
          </cell>
          <cell r="AD173" t="str">
            <v/>
          </cell>
          <cell r="AE173" t="str">
            <v/>
          </cell>
          <cell r="AF173" t="str">
            <v>5610335242</v>
          </cell>
          <cell r="AG173" t="str">
            <v>CDMX</v>
          </cell>
          <cell r="AH173">
            <v>0</v>
          </cell>
        </row>
        <row r="174">
          <cell r="A174">
            <v>73</v>
          </cell>
          <cell r="B174" t="str">
            <v>w9dqy2wz4o5mxe8</v>
          </cell>
          <cell r="C174" t="str">
            <v>BTL-DC-73</v>
          </cell>
          <cell r="D174" t="str">
            <v>03660</v>
          </cell>
          <cell r="E174" t="str">
            <v>auri.lara06@outlook.com</v>
          </cell>
          <cell r="F174" t="str">
            <v>RALC980106MDFMRT06</v>
          </cell>
          <cell r="G174" t="str">
            <v/>
          </cell>
          <cell r="H174" t="str">
            <v/>
          </cell>
          <cell r="I174" t="str">
            <v/>
          </cell>
          <cell r="J174" t="str">
            <v>LUIS BRAILE 111, SAN SIMÓN TICUMAC, BENITO JUÁREZ, CP 3660, CIUDAD DE MÉXICO</v>
          </cell>
          <cell r="K174">
            <v>0</v>
          </cell>
          <cell r="L174" t="str">
            <v>ACTIVO</v>
          </cell>
          <cell r="M174" t="str">
            <v>SOLTERO/A</v>
          </cell>
          <cell r="N174" t="str">
            <v/>
          </cell>
          <cell r="O174" t="str">
            <v/>
          </cell>
          <cell r="P174" t="str">
            <v/>
          </cell>
          <cell r="Q174" t="str">
            <v>2026-01-12 00:00:00.000Z</v>
          </cell>
          <cell r="R174" t="str">
            <v>2022-07-01 00:00:00.000Z</v>
          </cell>
          <cell r="S174" t="str">
            <v>1998-01-06 00:00:00.000Z</v>
          </cell>
          <cell r="T174" t="str">
            <v>3i7vz2cb3l3anw3</v>
          </cell>
          <cell r="U174" t="str">
            <v>RAMIREZ LARA CATHERINE VIVIANA</v>
          </cell>
          <cell r="V174" t="str">
            <v>18169837749</v>
          </cell>
          <cell r="W174" t="str">
            <v>CIUDAD DE MEXICO</v>
          </cell>
          <cell r="X174" t="str">
            <v/>
          </cell>
          <cell r="Y174" t="str">
            <v/>
          </cell>
          <cell r="Z174" t="str">
            <v>RALC980106AQ6</v>
          </cell>
          <cell r="AA174" t="str">
            <v>DERMOCONSEJO</v>
          </cell>
          <cell r="AB174" t="str">
            <v>MUJER</v>
          </cell>
          <cell r="AC174">
            <v>330.576219178082</v>
          </cell>
          <cell r="AD174" t="str">
            <v/>
          </cell>
          <cell r="AE174" t="str">
            <v/>
          </cell>
          <cell r="AF174" t="str">
            <v>5583271204</v>
          </cell>
          <cell r="AG174" t="str">
            <v>CDMX</v>
          </cell>
          <cell r="AH174">
            <v>0</v>
          </cell>
        </row>
        <row r="175">
          <cell r="A175">
            <v>195</v>
          </cell>
          <cell r="B175" t="str">
            <v>w9dqy2wz4o5mxe8</v>
          </cell>
          <cell r="C175" t="str">
            <v>BTL-DC-195</v>
          </cell>
          <cell r="D175" t="str">
            <v>09640</v>
          </cell>
          <cell r="E175" t="str">
            <v>dr9067457@gmail.com</v>
          </cell>
          <cell r="F175" t="str">
            <v>RARD940824MDFMSN09</v>
          </cell>
          <cell r="G175" t="str">
            <v/>
          </cell>
          <cell r="H175" t="str">
            <v/>
          </cell>
          <cell r="I175" t="str">
            <v/>
          </cell>
          <cell r="J175" t="str">
            <v>43 LOMAS DE LA ESTANCIA  IZTAPALAPA  CP 09640 CIUDAD DE MÉXICO</v>
          </cell>
          <cell r="K175">
            <v>0</v>
          </cell>
          <cell r="L175" t="str">
            <v>ACTIVO</v>
          </cell>
          <cell r="M175" t="str">
            <v>SOLTERO/A</v>
          </cell>
          <cell r="N175" t="str">
            <v/>
          </cell>
          <cell r="O175" t="str">
            <v/>
          </cell>
          <cell r="P175" t="str">
            <v/>
          </cell>
          <cell r="Q175" t="str">
            <v>2023-08-02 00:00:00.000Z</v>
          </cell>
          <cell r="R175" t="str">
            <v>2023-08-02 00:00:00.000Z</v>
          </cell>
          <cell r="S175" t="str">
            <v>1994-08-24 00:00:00.000Z</v>
          </cell>
          <cell r="T175" t="str">
            <v>x2y4m6x9t192829</v>
          </cell>
          <cell r="U175" t="str">
            <v>RAMIREZ RIOS DIANA</v>
          </cell>
          <cell r="V175" t="str">
            <v>62169446093</v>
          </cell>
          <cell r="W175" t="str">
            <v>CIUDAD DE MEXICO</v>
          </cell>
          <cell r="X175" t="str">
            <v/>
          </cell>
          <cell r="Y175" t="str">
            <v/>
          </cell>
          <cell r="Z175" t="str">
            <v>RARD940824GD5</v>
          </cell>
          <cell r="AA175" t="str">
            <v>DERMOCONSEJO</v>
          </cell>
          <cell r="AB175" t="str">
            <v>MUJER</v>
          </cell>
          <cell r="AC175">
            <v>486.42494318437002</v>
          </cell>
          <cell r="AD175" t="str">
            <v/>
          </cell>
          <cell r="AE175" t="str">
            <v/>
          </cell>
          <cell r="AF175" t="str">
            <v>5573235533</v>
          </cell>
          <cell r="AG175" t="str">
            <v>CDMX</v>
          </cell>
          <cell r="AH175">
            <v>0</v>
          </cell>
        </row>
        <row r="176">
          <cell r="A176">
            <v>237</v>
          </cell>
          <cell r="B176" t="str">
            <v>w9dqy2wz4o5mxe8</v>
          </cell>
          <cell r="C176" t="str">
            <v>BTL-DC-237</v>
          </cell>
          <cell r="D176" t="str">
            <v>66646</v>
          </cell>
          <cell r="E176" t="str">
            <v>adriana.rangel.p70@gmail.com</v>
          </cell>
          <cell r="F176" t="str">
            <v>RAPA700823MNLNCD02</v>
          </cell>
          <cell r="G176" t="str">
            <v/>
          </cell>
          <cell r="H176" t="str">
            <v/>
          </cell>
          <cell r="I176" t="str">
            <v/>
          </cell>
          <cell r="J176" t="str">
            <v>DEL COLECTOR 1002, MISIÓN DE SAN JAVIER, APODACA, CP 66646, NUEVO LEÓN</v>
          </cell>
          <cell r="K176">
            <v>0</v>
          </cell>
          <cell r="L176" t="str">
            <v>ACTIVO</v>
          </cell>
          <cell r="M176" t="str">
            <v>CASADO/A</v>
          </cell>
          <cell r="N176" t="str">
            <v/>
          </cell>
          <cell r="O176" t="str">
            <v/>
          </cell>
          <cell r="P176" t="str">
            <v/>
          </cell>
          <cell r="Q176" t="str">
            <v>2026-01-08 00:00:00.000Z</v>
          </cell>
          <cell r="R176" t="str">
            <v>2024-01-03 00:00:00.000Z</v>
          </cell>
          <cell r="S176" t="str">
            <v>1970-08-23 00:00:00.000Z</v>
          </cell>
          <cell r="T176" t="str">
            <v>8d7if5uh96y6753</v>
          </cell>
          <cell r="U176" t="str">
            <v>RANGEL PICON ADRIANA</v>
          </cell>
          <cell r="V176" t="str">
            <v>03856851468</v>
          </cell>
          <cell r="W176" t="str">
            <v>NUEVO LEON</v>
          </cell>
          <cell r="X176" t="str">
            <v/>
          </cell>
          <cell r="Y176" t="str">
            <v/>
          </cell>
          <cell r="Z176" t="str">
            <v>RAPA700823254</v>
          </cell>
          <cell r="AA176" t="str">
            <v>DERMOCONSEJO</v>
          </cell>
          <cell r="AB176" t="str">
            <v>MUJER</v>
          </cell>
          <cell r="AC176">
            <v>330.576219178082</v>
          </cell>
          <cell r="AD176" t="str">
            <v/>
          </cell>
          <cell r="AE176" t="str">
            <v/>
          </cell>
          <cell r="AF176" t="str">
            <v>8135814136</v>
          </cell>
          <cell r="AG176" t="str">
            <v>MTY</v>
          </cell>
          <cell r="AH176">
            <v>0</v>
          </cell>
        </row>
        <row r="177">
          <cell r="A177">
            <v>99</v>
          </cell>
          <cell r="B177" t="str">
            <v>w9dqy2wz4o5mxe8</v>
          </cell>
          <cell r="C177" t="str">
            <v>BTL-DC-99</v>
          </cell>
          <cell r="D177" t="str">
            <v>54910</v>
          </cell>
          <cell r="E177" t="str">
            <v>rangelvargasbarbara@gmail.com</v>
          </cell>
          <cell r="F177" t="str">
            <v>RAVB711204MDFNRR00</v>
          </cell>
          <cell r="G177" t="str">
            <v/>
          </cell>
          <cell r="H177" t="str">
            <v/>
          </cell>
          <cell r="I177" t="str">
            <v/>
          </cell>
          <cell r="J177" t="str">
            <v>FUENTE DE VULCANO. N.163A FUENTES DEL VALLE TULTITLAN  CP 54910 MÉXICO</v>
          </cell>
          <cell r="K177">
            <v>0</v>
          </cell>
          <cell r="L177" t="str">
            <v>ACTIVO</v>
          </cell>
          <cell r="M177" t="str">
            <v>SOLTERO/A</v>
          </cell>
          <cell r="N177" t="str">
            <v/>
          </cell>
          <cell r="O177" t="str">
            <v/>
          </cell>
          <cell r="P177" t="str">
            <v/>
          </cell>
          <cell r="Q177" t="str">
            <v>2022-10-01 00:00:00.000Z</v>
          </cell>
          <cell r="R177" t="str">
            <v>2022-10-01 00:00:00.000Z</v>
          </cell>
          <cell r="S177" t="str">
            <v>1971-12-04 00:00:00.000Z</v>
          </cell>
          <cell r="T177" t="str">
            <v>8kbw2b26ixv28ip</v>
          </cell>
          <cell r="U177" t="str">
            <v>RANGEL VARGAS BARBARA</v>
          </cell>
          <cell r="V177" t="str">
            <v>07917100740</v>
          </cell>
          <cell r="W177" t="str">
            <v>CIUDAD DE MEXICO</v>
          </cell>
          <cell r="X177" t="str">
            <v/>
          </cell>
          <cell r="Y177" t="str">
            <v/>
          </cell>
          <cell r="Z177" t="str">
            <v>RAVB711204QE5</v>
          </cell>
          <cell r="AA177" t="str">
            <v>DERMOCONSEJO</v>
          </cell>
          <cell r="AB177" t="str">
            <v>MUJER</v>
          </cell>
          <cell r="AC177">
            <v>563.41644082640903</v>
          </cell>
          <cell r="AD177" t="str">
            <v/>
          </cell>
          <cell r="AE177" t="str">
            <v/>
          </cell>
          <cell r="AF177" t="str">
            <v>5572181802</v>
          </cell>
          <cell r="AG177" t="str">
            <v>CDMX</v>
          </cell>
          <cell r="AH177">
            <v>0</v>
          </cell>
        </row>
        <row r="178">
          <cell r="A178">
            <v>413</v>
          </cell>
          <cell r="B178" t="str">
            <v>w9dqy2wz4o5mxe8</v>
          </cell>
          <cell r="C178" t="str">
            <v>BTL-DC-413</v>
          </cell>
          <cell r="D178" t="str">
            <v>45412</v>
          </cell>
          <cell r="E178" t="str">
            <v>sallyrangel.66@gmail.com</v>
          </cell>
          <cell r="F178" t="str">
            <v>RAVS810830MMNNLL06</v>
          </cell>
          <cell r="G178" t="str">
            <v/>
          </cell>
          <cell r="H178" t="str">
            <v/>
          </cell>
          <cell r="I178" t="str">
            <v/>
          </cell>
          <cell r="J178" t="str">
            <v>AND ACATLÁN DE JUÁREZ 134 JALISCO 1 SECCIONE  TONALA  CP 45412 JALISCO</v>
          </cell>
          <cell r="K178">
            <v>0</v>
          </cell>
          <cell r="L178" t="str">
            <v>ACTIVO</v>
          </cell>
          <cell r="M178" t="str">
            <v>CASADO/A</v>
          </cell>
          <cell r="N178" t="str">
            <v/>
          </cell>
          <cell r="O178" t="str">
            <v/>
          </cell>
          <cell r="P178" t="str">
            <v/>
          </cell>
          <cell r="Q178" t="str">
            <v>2025-01-15 00:00:00.000Z</v>
          </cell>
          <cell r="R178" t="str">
            <v>2025-01-15 00:00:00.000Z</v>
          </cell>
          <cell r="S178" t="str">
            <v>1981-08-30 00:00:00.000Z</v>
          </cell>
          <cell r="T178" t="str">
            <v>47r0ha3070p7aqo</v>
          </cell>
          <cell r="U178" t="str">
            <v xml:space="preserve">RANGEL VILLALOBOS SALLY INDIRA </v>
          </cell>
          <cell r="V178" t="str">
            <v>21998192187</v>
          </cell>
          <cell r="W178" t="str">
            <v>MICHOACAN</v>
          </cell>
          <cell r="X178" t="str">
            <v/>
          </cell>
          <cell r="Y178" t="str">
            <v/>
          </cell>
          <cell r="Z178" t="str">
            <v>RAVS810830NP7</v>
          </cell>
          <cell r="AA178" t="str">
            <v>DERMOCONSEJO</v>
          </cell>
          <cell r="AB178" t="str">
            <v>MUJER</v>
          </cell>
          <cell r="AC178">
            <v>598.62574062429803</v>
          </cell>
          <cell r="AD178" t="str">
            <v/>
          </cell>
          <cell r="AE178" t="str">
            <v/>
          </cell>
          <cell r="AF178" t="str">
            <v>3331180879</v>
          </cell>
          <cell r="AG178" t="str">
            <v>GDL</v>
          </cell>
          <cell r="AH178">
            <v>0</v>
          </cell>
        </row>
        <row r="179">
          <cell r="A179">
            <v>126</v>
          </cell>
          <cell r="B179" t="str">
            <v>w9dqy2wz4o5mxe8</v>
          </cell>
          <cell r="C179" t="str">
            <v>BTL-DC-126</v>
          </cell>
          <cell r="D179" t="str">
            <v>9780</v>
          </cell>
          <cell r="E179" t="str">
            <v>eve_osiris24@outlook.com</v>
          </cell>
          <cell r="F179" t="str">
            <v>REME940901MDFBTV02</v>
          </cell>
          <cell r="G179" t="str">
            <v/>
          </cell>
          <cell r="H179" t="str">
            <v/>
          </cell>
          <cell r="I179" t="str">
            <v/>
          </cell>
          <cell r="J179" t="str">
            <v>HORTENSIA 7, LOMAS DE SAN LORENZO, IZTAPALAPA, CP 9780, CIUDAD DE MÉXICO</v>
          </cell>
          <cell r="K179">
            <v>0</v>
          </cell>
          <cell r="L179" t="str">
            <v>ACTIVO</v>
          </cell>
          <cell r="M179" t="str">
            <v>CASADO/A</v>
          </cell>
          <cell r="N179" t="str">
            <v/>
          </cell>
          <cell r="O179" t="str">
            <v/>
          </cell>
          <cell r="P179" t="str">
            <v/>
          </cell>
          <cell r="Q179" t="str">
            <v>2026-01-12 00:00:00.000Z</v>
          </cell>
          <cell r="R179" t="str">
            <v>2026-01-12 00:00:00.000Z</v>
          </cell>
          <cell r="S179" t="str">
            <v>1994-09-01 00:00:00.000Z</v>
          </cell>
          <cell r="T179" t="str">
            <v>7gv0cg7il326jdn</v>
          </cell>
          <cell r="U179" t="str">
            <v>REBOLLO MOTA EVELIN JACQUELINE</v>
          </cell>
          <cell r="V179" t="str">
            <v>44149423830</v>
          </cell>
          <cell r="W179" t="str">
            <v>CIUDAD DE MEXICO</v>
          </cell>
          <cell r="X179" t="str">
            <v/>
          </cell>
          <cell r="Y179" t="str">
            <v/>
          </cell>
          <cell r="Z179" t="str">
            <v>REME940901QN9</v>
          </cell>
          <cell r="AA179" t="str">
            <v>DERMOCONSEJO</v>
          </cell>
          <cell r="AB179" t="str">
            <v>MUJER</v>
          </cell>
          <cell r="AC179">
            <v>330.576219178082</v>
          </cell>
          <cell r="AD179" t="str">
            <v/>
          </cell>
          <cell r="AE179" t="str">
            <v/>
          </cell>
          <cell r="AF179" t="str">
            <v>5541285404</v>
          </cell>
          <cell r="AG179" t="str">
            <v>CDMX</v>
          </cell>
          <cell r="AH179">
            <v>0</v>
          </cell>
        </row>
        <row r="180">
          <cell r="A180">
            <v>173</v>
          </cell>
          <cell r="B180" t="str">
            <v>w9dqy2wz4o5mxe8</v>
          </cell>
          <cell r="C180" t="str">
            <v>BTL-DC-173</v>
          </cell>
          <cell r="D180" t="str">
            <v>11200</v>
          </cell>
          <cell r="E180" t="str">
            <v>buhoblue7214@gmail.com</v>
          </cell>
          <cell r="F180" t="str">
            <v>REHD720114MDFSRL03</v>
          </cell>
          <cell r="G180" t="str">
            <v/>
          </cell>
          <cell r="H180" t="str">
            <v/>
          </cell>
          <cell r="I180" t="str">
            <v/>
          </cell>
          <cell r="J180" t="str">
            <v>3ER.ANILLO DE CIRCUNVALACIÓN EDIFICIO 35 A INT.301 LOMAS DE SOTELO  MIGUEL HIDALGO  CP 11200 CIUDAD DE MÉXICO</v>
          </cell>
          <cell r="K180">
            <v>0</v>
          </cell>
          <cell r="L180" t="str">
            <v>ACTIVO</v>
          </cell>
          <cell r="M180" t="str">
            <v>SOLTERO/A</v>
          </cell>
          <cell r="N180" t="str">
            <v/>
          </cell>
          <cell r="O180" t="str">
            <v/>
          </cell>
          <cell r="P180" t="str">
            <v/>
          </cell>
          <cell r="Q180" t="str">
            <v>2023-04-18 00:00:00.000Z</v>
          </cell>
          <cell r="R180" t="str">
            <v>2023-04-16 00:00:00.000Z</v>
          </cell>
          <cell r="S180" t="str">
            <v>1972-01-14 00:00:00.000Z</v>
          </cell>
          <cell r="T180" t="str">
            <v>4uiau41bugtv7va</v>
          </cell>
          <cell r="U180" t="str">
            <v>RESENDIZ HERRERA DOLORES</v>
          </cell>
          <cell r="V180" t="str">
            <v>30907282104</v>
          </cell>
          <cell r="W180" t="str">
            <v>CIUDAD DE MEXICO</v>
          </cell>
          <cell r="X180" t="str">
            <v/>
          </cell>
          <cell r="Y180" t="str">
            <v/>
          </cell>
          <cell r="Z180" t="str">
            <v>REHD720114SL0</v>
          </cell>
          <cell r="AA180" t="str">
            <v>DERMOCONSEJO</v>
          </cell>
          <cell r="AB180" t="str">
            <v>MUJER</v>
          </cell>
          <cell r="AC180">
            <v>625.56952806009701</v>
          </cell>
          <cell r="AD180" t="str">
            <v/>
          </cell>
          <cell r="AE180" t="str">
            <v/>
          </cell>
          <cell r="AF180" t="str">
            <v>5554522041</v>
          </cell>
          <cell r="AG180" t="str">
            <v>CDMX</v>
          </cell>
          <cell r="AH180">
            <v>0</v>
          </cell>
        </row>
        <row r="181">
          <cell r="A181">
            <v>394</v>
          </cell>
          <cell r="B181" t="str">
            <v>w9dqy2wz4o5mxe8</v>
          </cell>
          <cell r="C181" t="str">
            <v>BTL-DC-394</v>
          </cell>
          <cell r="D181" t="str">
            <v>72590</v>
          </cell>
          <cell r="E181" t="str">
            <v>angelesreyes7904@gmail.com</v>
          </cell>
          <cell r="F181" t="str">
            <v>RECA790704MPLYRN08</v>
          </cell>
          <cell r="G181" t="str">
            <v/>
          </cell>
          <cell r="H181" t="str">
            <v/>
          </cell>
          <cell r="I181" t="str">
            <v/>
          </cell>
          <cell r="J181" t="str">
            <v>PRIVADA TALLERES 20 MISIÓN SAN JOSÉ  PUEBLA  CP 72590 PUEBLA</v>
          </cell>
          <cell r="K181">
            <v>0</v>
          </cell>
          <cell r="L181" t="str">
            <v>ACTIVO</v>
          </cell>
          <cell r="M181" t="str">
            <v>SOLTERO/A</v>
          </cell>
          <cell r="N181" t="str">
            <v/>
          </cell>
          <cell r="O181" t="str">
            <v/>
          </cell>
          <cell r="P181" t="str">
            <v/>
          </cell>
          <cell r="Q181" t="str">
            <v>2024-12-17 00:00:00.000Z</v>
          </cell>
          <cell r="R181" t="str">
            <v>2024-12-17 00:00:00.000Z</v>
          </cell>
          <cell r="S181" t="str">
            <v>1979-07-04 00:00:00.000Z</v>
          </cell>
          <cell r="T181" t="str">
            <v>mlw3zlzgskr12hw</v>
          </cell>
          <cell r="U181" t="str">
            <v xml:space="preserve">REYES CARVENTE MARIA DE LOS ANGELES </v>
          </cell>
          <cell r="V181" t="str">
            <v>48997916548</v>
          </cell>
          <cell r="W181" t="str">
            <v>PUEBLA</v>
          </cell>
          <cell r="X181" t="str">
            <v/>
          </cell>
          <cell r="Y181" t="str">
            <v/>
          </cell>
          <cell r="Z181" t="str">
            <v>RECA790704A70</v>
          </cell>
          <cell r="AA181" t="str">
            <v>DERMOCONSEJO</v>
          </cell>
          <cell r="AB181" t="str">
            <v>MUJER</v>
          </cell>
          <cell r="AC181">
            <v>692.41983898495403</v>
          </cell>
          <cell r="AD181" t="str">
            <v/>
          </cell>
          <cell r="AE181" t="str">
            <v/>
          </cell>
          <cell r="AF181" t="str">
            <v>2223131732</v>
          </cell>
          <cell r="AG181" t="str">
            <v>PUEBLA</v>
          </cell>
          <cell r="AH181">
            <v>0</v>
          </cell>
        </row>
        <row r="182">
          <cell r="A182">
            <v>307</v>
          </cell>
          <cell r="B182" t="str">
            <v>w9dqy2wz4o5mxe8</v>
          </cell>
          <cell r="C182" t="str">
            <v>BTL-DC-307</v>
          </cell>
          <cell r="D182" t="str">
            <v>52920</v>
          </cell>
          <cell r="E182" t="str">
            <v>yaja1368@gmail.com</v>
          </cell>
          <cell r="F182" t="str">
            <v>REGY800929MCHYRJ09</v>
          </cell>
          <cell r="G182" t="str">
            <v/>
          </cell>
          <cell r="H182" t="str">
            <v/>
          </cell>
          <cell r="I182" t="str">
            <v/>
          </cell>
          <cell r="J182" t="str">
            <v>BUGAMBILIAS #82 LAS PEÑITAS ATIZAPÁN DE ZARAGOZA  CP 52920 MÉXICO</v>
          </cell>
          <cell r="K182">
            <v>0</v>
          </cell>
          <cell r="L182" t="str">
            <v>ACTIVO</v>
          </cell>
          <cell r="M182" t="str">
            <v>SOLTERO/A</v>
          </cell>
          <cell r="N182" t="str">
            <v/>
          </cell>
          <cell r="O182" t="str">
            <v/>
          </cell>
          <cell r="P182" t="str">
            <v/>
          </cell>
          <cell r="Q182" t="str">
            <v>2024-04-19 00:00:00.000Z</v>
          </cell>
          <cell r="R182" t="str">
            <v>2024-04-19 00:00:00.000Z</v>
          </cell>
          <cell r="S182" t="str">
            <v>1980-09-29 00:00:00.000Z</v>
          </cell>
          <cell r="T182" t="str">
            <v>owkl5tvx0n80gow</v>
          </cell>
          <cell r="U182" t="str">
            <v xml:space="preserve">REYES GURRUSQUIETA YAJAIRA </v>
          </cell>
          <cell r="V182" t="str">
            <v>92988027329</v>
          </cell>
          <cell r="W182" t="str">
            <v>CHIHUAHUA</v>
          </cell>
          <cell r="X182" t="str">
            <v/>
          </cell>
          <cell r="Y182" t="str">
            <v/>
          </cell>
          <cell r="Z182" t="str">
            <v>REGY800929KY4</v>
          </cell>
          <cell r="AA182" t="str">
            <v>DERMOCONSEJO</v>
          </cell>
          <cell r="AB182" t="str">
            <v>MUJER</v>
          </cell>
          <cell r="AC182">
            <v>512.53016685380601</v>
          </cell>
          <cell r="AD182" t="str">
            <v/>
          </cell>
          <cell r="AE182" t="str">
            <v/>
          </cell>
          <cell r="AF182" t="str">
            <v>5533526292</v>
          </cell>
          <cell r="AG182" t="str">
            <v>CDMX</v>
          </cell>
          <cell r="AH182">
            <v>0</v>
          </cell>
        </row>
        <row r="183">
          <cell r="A183">
            <v>470</v>
          </cell>
          <cell r="B183" t="str">
            <v>w9dqy2wz4o5mxe8</v>
          </cell>
          <cell r="C183" t="str">
            <v>BTL-DC-470</v>
          </cell>
          <cell r="D183" t="str">
            <v>44770</v>
          </cell>
          <cell r="E183" t="str">
            <v>letyrh1975@gmail.com</v>
          </cell>
          <cell r="F183" t="str">
            <v>REHL751109MJCYRT06</v>
          </cell>
          <cell r="G183" t="str">
            <v/>
          </cell>
          <cell r="H183" t="str">
            <v/>
          </cell>
          <cell r="I183" t="str">
            <v/>
          </cell>
          <cell r="J183" t="str">
            <v>C. JARDINES JAPONESES # 3434 COL. LAGOS DE ORIENTE C.P. 44770 GUADALAJARA, JAL.</v>
          </cell>
          <cell r="K183">
            <v>0</v>
          </cell>
          <cell r="L183" t="str">
            <v>ACTIVO</v>
          </cell>
          <cell r="M183" t="str">
            <v>CASADO/A</v>
          </cell>
          <cell r="N183" t="str">
            <v/>
          </cell>
          <cell r="O183" t="str">
            <v/>
          </cell>
          <cell r="P183" t="str">
            <v/>
          </cell>
          <cell r="Q183" t="str">
            <v>2026-01-15 00:00:00.000Z</v>
          </cell>
          <cell r="R183" t="str">
            <v>2025-06-02 00:00:00.000Z</v>
          </cell>
          <cell r="S183" t="str">
            <v>1975-11-09 00:00:00.000Z</v>
          </cell>
          <cell r="T183" t="str">
            <v>k77nhhky0chkyh2</v>
          </cell>
          <cell r="U183" t="str">
            <v>REYES HERNANDEZ LETICIA</v>
          </cell>
          <cell r="V183" t="str">
            <v>56927506669</v>
          </cell>
          <cell r="W183" t="str">
            <v>JALISCO</v>
          </cell>
          <cell r="X183" t="str">
            <v/>
          </cell>
          <cell r="Y183" t="str">
            <v/>
          </cell>
          <cell r="Z183" t="str">
            <v>REHL7511098T1</v>
          </cell>
          <cell r="AA183" t="str">
            <v>DERMOCONSEJO</v>
          </cell>
          <cell r="AB183" t="str">
            <v>MUJER</v>
          </cell>
          <cell r="AC183">
            <v>330.576219178082</v>
          </cell>
          <cell r="AD183" t="str">
            <v/>
          </cell>
          <cell r="AE183" t="str">
            <v/>
          </cell>
          <cell r="AF183" t="str">
            <v>3326550240</v>
          </cell>
          <cell r="AG183" t="str">
            <v>GDL</v>
          </cell>
          <cell r="AH183">
            <v>0</v>
          </cell>
        </row>
        <row r="184">
          <cell r="A184">
            <v>135</v>
          </cell>
          <cell r="B184" t="str">
            <v>w9dqy2wz4o5mxe8</v>
          </cell>
          <cell r="C184" t="str">
            <v>BTL-DC-135</v>
          </cell>
          <cell r="D184" t="str">
            <v>64117</v>
          </cell>
          <cell r="E184" t="str">
            <v>elizabethreynamoreno3@gmail.com</v>
          </cell>
          <cell r="F184" t="str">
            <v>REME750603MNLYRL07</v>
          </cell>
          <cell r="G184" t="str">
            <v/>
          </cell>
          <cell r="H184" t="str">
            <v/>
          </cell>
          <cell r="I184" t="str">
            <v/>
          </cell>
          <cell r="J184" t="str">
            <v>CANAL DEL AGUILA 5621 A VALLE VERDE 2 SECTOR MONTERREY CP 64117 NUEVO LEÓN</v>
          </cell>
          <cell r="K184">
            <v>0</v>
          </cell>
          <cell r="L184" t="str">
            <v>ACTIVO</v>
          </cell>
          <cell r="M184" t="str">
            <v>SOLTERO/A</v>
          </cell>
          <cell r="N184" t="str">
            <v/>
          </cell>
          <cell r="O184" t="str">
            <v/>
          </cell>
          <cell r="P184" t="str">
            <v/>
          </cell>
          <cell r="Q184" t="str">
            <v>2023-02-22 00:00:00.000Z</v>
          </cell>
          <cell r="R184" t="str">
            <v>2023-02-22 00:00:00.000Z</v>
          </cell>
          <cell r="S184" t="str">
            <v>1975-06-03 00:00:00.000Z</v>
          </cell>
          <cell r="T184" t="str">
            <v>ma28u1ga4cquw67</v>
          </cell>
          <cell r="U184" t="str">
            <v xml:space="preserve">REYNA MORENO ELIZABETH </v>
          </cell>
          <cell r="V184" t="str">
            <v>03977568520</v>
          </cell>
          <cell r="W184" t="str">
            <v>NUEVO LEON</v>
          </cell>
          <cell r="X184" t="str">
            <v/>
          </cell>
          <cell r="Y184" t="str">
            <v/>
          </cell>
          <cell r="Z184" t="str">
            <v>REME750603BY9</v>
          </cell>
          <cell r="AA184" t="str">
            <v>DERMOCONSEJO</v>
          </cell>
          <cell r="AB184" t="str">
            <v>MUJER</v>
          </cell>
          <cell r="AC184">
            <v>635.48133662699297</v>
          </cell>
          <cell r="AD184" t="str">
            <v/>
          </cell>
          <cell r="AE184" t="str">
            <v/>
          </cell>
          <cell r="AF184" t="str">
            <v>8123124187</v>
          </cell>
          <cell r="AG184" t="str">
            <v>MTY</v>
          </cell>
          <cell r="AH184">
            <v>0</v>
          </cell>
        </row>
        <row r="185">
          <cell r="A185">
            <v>48</v>
          </cell>
          <cell r="B185" t="str">
            <v>w9dqy2wz4o5mxe8</v>
          </cell>
          <cell r="C185" t="str">
            <v>BTL-DC-48</v>
          </cell>
          <cell r="D185" t="str">
            <v>44810</v>
          </cell>
          <cell r="E185" t="str">
            <v>estrella_castillo195@hotmail.com</v>
          </cell>
          <cell r="F185" t="str">
            <v>RIRM731017MJCVMR07</v>
          </cell>
          <cell r="G185" t="str">
            <v/>
          </cell>
          <cell r="H185" t="str">
            <v/>
          </cell>
          <cell r="I185" t="str">
            <v/>
          </cell>
          <cell r="J185" t="str">
            <v>MANUEL DE FALLA #3267 SAN ANDRÉS  GUADALAJARA  CP 44810 JALISCO</v>
          </cell>
          <cell r="K185">
            <v>0</v>
          </cell>
          <cell r="L185" t="str">
            <v>ACTIVO</v>
          </cell>
          <cell r="M185" t="str">
            <v>CASADO/A</v>
          </cell>
          <cell r="N185" t="str">
            <v/>
          </cell>
          <cell r="O185" t="str">
            <v/>
          </cell>
          <cell r="P185" t="str">
            <v/>
          </cell>
          <cell r="Q185" t="str">
            <v>2021-08-05 00:00:00.000Z</v>
          </cell>
          <cell r="R185" t="str">
            <v>2021-08-05 00:00:00.000Z</v>
          </cell>
          <cell r="S185" t="str">
            <v>1973-10-17 00:00:00.000Z</v>
          </cell>
          <cell r="T185" t="str">
            <v>55fbe477m5hr942</v>
          </cell>
          <cell r="U185" t="str">
            <v xml:space="preserve">RIVAS RAMIREZ MARGARITA </v>
          </cell>
          <cell r="V185" t="str">
            <v>04917484034</v>
          </cell>
          <cell r="W185" t="str">
            <v>JALISCO</v>
          </cell>
          <cell r="X185" t="str">
            <v/>
          </cell>
          <cell r="Y185" t="str">
            <v/>
          </cell>
          <cell r="Z185" t="str">
            <v>RIRM731017KH2</v>
          </cell>
          <cell r="AA185" t="str">
            <v>DERMOCONSEJO</v>
          </cell>
          <cell r="AB185" t="str">
            <v>MUJER</v>
          </cell>
          <cell r="AC185">
            <v>603.69187289467698</v>
          </cell>
          <cell r="AD185" t="str">
            <v/>
          </cell>
          <cell r="AE185" t="str">
            <v/>
          </cell>
          <cell r="AF185" t="str">
            <v>3328214635</v>
          </cell>
          <cell r="AG185" t="str">
            <v>GDL</v>
          </cell>
          <cell r="AH185">
            <v>0</v>
          </cell>
        </row>
        <row r="186">
          <cell r="A186">
            <v>482</v>
          </cell>
          <cell r="B186" t="str">
            <v>w9dqy2wz4o5mxe8</v>
          </cell>
          <cell r="C186" t="str">
            <v>BTL-DC-482</v>
          </cell>
          <cell r="D186" t="str">
            <v>55764</v>
          </cell>
          <cell r="E186" t="str">
            <v>olgaolverah@gmail.com</v>
          </cell>
          <cell r="F186" t="str">
            <v>OEHO800419MDFLRL01</v>
          </cell>
          <cell r="G186" t="str">
            <v/>
          </cell>
          <cell r="H186" t="str">
            <v/>
          </cell>
          <cell r="I186" t="str">
            <v/>
          </cell>
          <cell r="J186" t="str">
            <v>SEGUNDA CERRADA DE BOSQUES DE PORTUGAL MZ 131 LOTE 28-3 HÉROES TECAMAC TECAMAC CP 55764 MÉXICO</v>
          </cell>
          <cell r="K186">
            <v>0</v>
          </cell>
          <cell r="L186" t="str">
            <v>ACTIVO</v>
          </cell>
          <cell r="M186" t="str">
            <v>SOLTERO/A</v>
          </cell>
          <cell r="N186" t="str">
            <v/>
          </cell>
          <cell r="O186" t="str">
            <v/>
          </cell>
          <cell r="P186" t="str">
            <v/>
          </cell>
          <cell r="Q186" t="str">
            <v>2025-04-29 00:00:00.000Z</v>
          </cell>
          <cell r="R186" t="str">
            <v>2025-04-29 00:00:00.000Z</v>
          </cell>
          <cell r="S186" t="str">
            <v>1980-04-19 00:00:00.000Z</v>
          </cell>
          <cell r="T186" t="str">
            <v>63o8pxz0g7hf0kj</v>
          </cell>
          <cell r="U186" t="str">
            <v>OLVERA HERNANDEZ OLGA PATRICIA</v>
          </cell>
          <cell r="V186" t="str">
            <v>94978007014</v>
          </cell>
          <cell r="W186" t="str">
            <v>CIUDAD DE MEXICO</v>
          </cell>
          <cell r="X186" t="str">
            <v/>
          </cell>
          <cell r="Y186" t="str">
            <v/>
          </cell>
          <cell r="Z186" t="str">
            <v>OEHO8004195N5</v>
          </cell>
          <cell r="AA186" t="str">
            <v>DERMOCONSEJO</v>
          </cell>
          <cell r="AB186" t="str">
            <v>MUJER</v>
          </cell>
          <cell r="AC186">
            <v>512.82425196496695</v>
          </cell>
          <cell r="AD186" t="str">
            <v/>
          </cell>
          <cell r="AE186" t="str">
            <v/>
          </cell>
          <cell r="AF186" t="str">
            <v>5634633563</v>
          </cell>
          <cell r="AG186" t="str">
            <v>CDMX</v>
          </cell>
          <cell r="AH186">
            <v>0</v>
          </cell>
        </row>
        <row r="187">
          <cell r="A187">
            <v>280</v>
          </cell>
          <cell r="B187" t="str">
            <v>w9dqy2wz4o5mxe8</v>
          </cell>
          <cell r="C187" t="str">
            <v>BTL-DC-280</v>
          </cell>
          <cell r="D187" t="str">
            <v>97370</v>
          </cell>
          <cell r="E187" t="str">
            <v>time_pau1@hotmail.com</v>
          </cell>
          <cell r="F187" t="str">
            <v>QUMS810606MYNNNL06</v>
          </cell>
          <cell r="G187" t="str">
            <v/>
          </cell>
          <cell r="H187" t="str">
            <v/>
          </cell>
          <cell r="I187" t="str">
            <v/>
          </cell>
          <cell r="J187" t="str">
            <v>C 40 A POR 59 Y 61 560 FRACC REPARTO GRANJAS 97370 KANASIN, YUC</v>
          </cell>
          <cell r="K187">
            <v>0</v>
          </cell>
          <cell r="L187" t="str">
            <v>ACTIVO</v>
          </cell>
          <cell r="M187" t="str">
            <v>CASADO/A</v>
          </cell>
          <cell r="N187" t="str">
            <v/>
          </cell>
          <cell r="O187" t="str">
            <v/>
          </cell>
          <cell r="P187" t="str">
            <v/>
          </cell>
          <cell r="Q187" t="str">
            <v>2026-01-12 00:00:00.000Z</v>
          </cell>
          <cell r="R187" t="str">
            <v>2024-03-08 00:00:00.000Z</v>
          </cell>
          <cell r="S187" t="str">
            <v>1981-06-06 00:00:00.000Z</v>
          </cell>
          <cell r="T187" t="str">
            <v>248uo4bv6m74uwo</v>
          </cell>
          <cell r="U187" t="str">
            <v>QUINTAL MANZANILLA SILVIA PAULINA</v>
          </cell>
          <cell r="V187" t="str">
            <v>84988112318</v>
          </cell>
          <cell r="W187" t="str">
            <v>YUCATAN</v>
          </cell>
          <cell r="X187" t="str">
            <v/>
          </cell>
          <cell r="Y187" t="str">
            <v/>
          </cell>
          <cell r="Z187" t="str">
            <v>QUMS810606GM9</v>
          </cell>
          <cell r="AA187" t="str">
            <v>DERMOCONSEJO</v>
          </cell>
          <cell r="AB187" t="str">
            <v>MUJER</v>
          </cell>
          <cell r="AC187">
            <v>340.49224657534199</v>
          </cell>
          <cell r="AD187" t="str">
            <v/>
          </cell>
          <cell r="AE187" t="str">
            <v/>
          </cell>
          <cell r="AF187" t="str">
            <v>9999024040</v>
          </cell>
          <cell r="AG187" t="str">
            <v>YUCATAN</v>
          </cell>
          <cell r="AH187">
            <v>0</v>
          </cell>
        </row>
        <row r="188">
          <cell r="A188">
            <v>494</v>
          </cell>
          <cell r="B188" t="str">
            <v>w9dqy2wz4o5mxe8</v>
          </cell>
          <cell r="C188" t="str">
            <v>BTL-DC-494</v>
          </cell>
          <cell r="D188" t="str">
            <v>07510</v>
          </cell>
          <cell r="E188" t="str">
            <v>maribelram1769@gmail.con</v>
          </cell>
          <cell r="F188" t="str">
            <v>RACM691117MDFMNR04</v>
          </cell>
          <cell r="G188" t="str">
            <v/>
          </cell>
          <cell r="H188" t="str">
            <v/>
          </cell>
          <cell r="I188" t="str">
            <v/>
          </cell>
          <cell r="J188" t="str">
            <v>AV LEON DE LOS ALDAMA 3270 SAN FELIPE DE JESÚS  GUSTAVO A MADERO CP 07510 CIUDAD DE MÉXICO</v>
          </cell>
          <cell r="K188">
            <v>0</v>
          </cell>
          <cell r="L188" t="str">
            <v>ACTIVO</v>
          </cell>
          <cell r="M188" t="str">
            <v>SOLTERO/A</v>
          </cell>
          <cell r="N188" t="str">
            <v/>
          </cell>
          <cell r="O188" t="str">
            <v/>
          </cell>
          <cell r="P188" t="str">
            <v/>
          </cell>
          <cell r="Q188" t="str">
            <v>2025-07-23 00:00:00.000Z</v>
          </cell>
          <cell r="R188" t="str">
            <v>2025-07-23 00:00:00.000Z</v>
          </cell>
          <cell r="S188" t="str">
            <v>1969-11-17 00:00:00.000Z</v>
          </cell>
          <cell r="T188" t="str">
            <v>xp77q3ww9pm4gft</v>
          </cell>
          <cell r="U188" t="str">
            <v xml:space="preserve">RAMIREZ CONTRERAS MARIBEL </v>
          </cell>
          <cell r="V188" t="str">
            <v>90916701023</v>
          </cell>
          <cell r="W188" t="str">
            <v>CIUDAD DE MEXICO</v>
          </cell>
          <cell r="X188" t="str">
            <v/>
          </cell>
          <cell r="Y188" t="str">
            <v/>
          </cell>
          <cell r="Z188" t="str">
            <v>RACM691117MI1</v>
          </cell>
          <cell r="AA188" t="str">
            <v>DERMOCONSEJO</v>
          </cell>
          <cell r="AB188" t="str">
            <v>MUJER</v>
          </cell>
          <cell r="AC188">
            <v>668.02272849764199</v>
          </cell>
          <cell r="AD188" t="str">
            <v/>
          </cell>
          <cell r="AE188" t="str">
            <v/>
          </cell>
          <cell r="AF188" t="str">
            <v>5541277956</v>
          </cell>
          <cell r="AG188" t="str">
            <v>CDMX</v>
          </cell>
          <cell r="AH188">
            <v>0</v>
          </cell>
        </row>
        <row r="189">
          <cell r="A189">
            <v>65</v>
          </cell>
          <cell r="B189" t="str">
            <v>w9dqy2wz4o5mxe8</v>
          </cell>
          <cell r="C189" t="str">
            <v>BTL-DC-65</v>
          </cell>
          <cell r="D189" t="str">
            <v>43816</v>
          </cell>
          <cell r="E189" t="str">
            <v>teresarood19@gmail.com</v>
          </cell>
          <cell r="F189" t="str">
            <v>ROMT761206MDFDRR07</v>
          </cell>
          <cell r="G189" t="str">
            <v/>
          </cell>
          <cell r="H189" t="str">
            <v/>
          </cell>
          <cell r="I189" t="str">
            <v/>
          </cell>
          <cell r="J189" t="str">
            <v>CANARIAS 17 FRACCIONAMIENTO HÉROES  TIZAYUCA  TIZAYUCA HIDALGO  CP 43816 HIDALGO</v>
          </cell>
          <cell r="K189">
            <v>0</v>
          </cell>
          <cell r="L189" t="str">
            <v>ACTIVO</v>
          </cell>
          <cell r="M189" t="str">
            <v>CASADO/A</v>
          </cell>
          <cell r="N189" t="str">
            <v/>
          </cell>
          <cell r="O189" t="str">
            <v/>
          </cell>
          <cell r="P189" t="str">
            <v/>
          </cell>
          <cell r="Q189" t="str">
            <v>2022-04-01 00:00:00.000Z</v>
          </cell>
          <cell r="R189" t="str">
            <v>2021-03-18 00:00:00.000Z</v>
          </cell>
          <cell r="S189" t="str">
            <v>1976-12-06 00:00:00.000Z</v>
          </cell>
          <cell r="T189" t="str">
            <v>3uk5q38eot5396y</v>
          </cell>
          <cell r="U189" t="str">
            <v xml:space="preserve">RODRIGUEZ MIRANDA TERESA </v>
          </cell>
          <cell r="V189" t="str">
            <v>39957605353</v>
          </cell>
          <cell r="W189" t="str">
            <v>CIUDAD DE MEXICO</v>
          </cell>
          <cell r="X189" t="str">
            <v/>
          </cell>
          <cell r="Y189" t="str">
            <v/>
          </cell>
          <cell r="Z189" t="str">
            <v>ROMT761206L82</v>
          </cell>
          <cell r="AA189" t="str">
            <v>DERMOCONSEJO</v>
          </cell>
          <cell r="AB189" t="str">
            <v>MUJER</v>
          </cell>
          <cell r="AC189">
            <v>614.19742443296605</v>
          </cell>
          <cell r="AD189" t="str">
            <v/>
          </cell>
          <cell r="AE189" t="str">
            <v/>
          </cell>
          <cell r="AF189" t="str">
            <v>5540118014</v>
          </cell>
          <cell r="AG189" t="str">
            <v>CDMX</v>
          </cell>
          <cell r="AH189">
            <v>0</v>
          </cell>
        </row>
        <row r="190">
          <cell r="A190">
            <v>241</v>
          </cell>
          <cell r="B190" t="str">
            <v>w9dqy2wz4o5mxe8</v>
          </cell>
          <cell r="C190" t="str">
            <v>BTL-DC-241</v>
          </cell>
          <cell r="D190" t="str">
            <v>50900</v>
          </cell>
          <cell r="E190" t="str">
            <v>dermolisa70@gmail.com</v>
          </cell>
          <cell r="F190" t="str">
            <v>ROSF700107MDFDLL01</v>
          </cell>
          <cell r="G190" t="str">
            <v/>
          </cell>
          <cell r="H190" t="str">
            <v/>
          </cell>
          <cell r="I190" t="str">
            <v/>
          </cell>
          <cell r="J190" t="str">
            <v>ESPERANZA S/N BARRIO SAN PEDRO  ALMOLOYA DE JUÁREZ  CP 50900 MÉXICO</v>
          </cell>
          <cell r="K190">
            <v>0</v>
          </cell>
          <cell r="L190" t="str">
            <v>ACTIVO</v>
          </cell>
          <cell r="M190" t="str">
            <v>CASADO/A</v>
          </cell>
          <cell r="N190" t="str">
            <v/>
          </cell>
          <cell r="O190" t="str">
            <v/>
          </cell>
          <cell r="P190" t="str">
            <v/>
          </cell>
          <cell r="Q190" t="str">
            <v>2024-01-04 00:00:00.000Z</v>
          </cell>
          <cell r="R190" t="str">
            <v>2024-01-04 00:00:00.000Z</v>
          </cell>
          <cell r="S190" t="str">
            <v>1970-01-07 00:00:00.000Z</v>
          </cell>
          <cell r="T190" t="str">
            <v>clz8px9q644xt92</v>
          </cell>
          <cell r="U190" t="str">
            <v xml:space="preserve">RODRIGUEZ SALINAS FELISA JUDITH </v>
          </cell>
          <cell r="V190" t="str">
            <v>16927003869</v>
          </cell>
          <cell r="W190" t="str">
            <v>CIUDAD DE MEXICO</v>
          </cell>
          <cell r="X190" t="str">
            <v/>
          </cell>
          <cell r="Y190" t="str">
            <v/>
          </cell>
          <cell r="Z190" t="str">
            <v>ROSF700107DX5</v>
          </cell>
          <cell r="AA190" t="str">
            <v>DERMOCONSEJO</v>
          </cell>
          <cell r="AB190" t="str">
            <v>MUJER</v>
          </cell>
          <cell r="AC190">
            <v>661.67017322138702</v>
          </cell>
          <cell r="AD190" t="str">
            <v/>
          </cell>
          <cell r="AE190" t="str">
            <v/>
          </cell>
          <cell r="AF190" t="str">
            <v>7291207252</v>
          </cell>
          <cell r="AG190" t="str">
            <v>TOLUCA</v>
          </cell>
          <cell r="AH190">
            <v>0</v>
          </cell>
        </row>
        <row r="191">
          <cell r="A191">
            <v>455</v>
          </cell>
          <cell r="B191" t="str">
            <v>w9dqy2wz4o5mxe8</v>
          </cell>
          <cell r="C191" t="str">
            <v>BTL-DC-455</v>
          </cell>
          <cell r="D191" t="str">
            <v>25016</v>
          </cell>
          <cell r="E191" t="str">
            <v>berenicerdzs.25@gmail.com</v>
          </cell>
          <cell r="F191" t="str">
            <v>ROSB880225MCLDNR02</v>
          </cell>
          <cell r="G191" t="str">
            <v/>
          </cell>
          <cell r="H191" t="str">
            <v/>
          </cell>
          <cell r="I191" t="str">
            <v/>
          </cell>
          <cell r="J191" t="str">
            <v>SAUCE #2116 ZARAGOZA  COAHUILA  CP 25016 COAHUILA</v>
          </cell>
          <cell r="K191">
            <v>0</v>
          </cell>
          <cell r="L191" t="str">
            <v>ACTIVO</v>
          </cell>
          <cell r="M191" t="str">
            <v>SOLTERO/A</v>
          </cell>
          <cell r="N191" t="str">
            <v/>
          </cell>
          <cell r="O191" t="str">
            <v/>
          </cell>
          <cell r="P191" t="str">
            <v/>
          </cell>
          <cell r="Q191" t="str">
            <v>2025-04-23 00:00:00.000Z</v>
          </cell>
          <cell r="R191" t="str">
            <v>2025-04-23 00:00:00.000Z</v>
          </cell>
          <cell r="S191" t="str">
            <v>1988-02-25 00:00:00.000Z</v>
          </cell>
          <cell r="T191" t="str">
            <v>k0w4y82x441giq8</v>
          </cell>
          <cell r="U191" t="str">
            <v>RODRIGUEZ SANCHEZ BRENDA BERENICE</v>
          </cell>
          <cell r="V191" t="str">
            <v>32068806572</v>
          </cell>
          <cell r="W191" t="str">
            <v>COAHUILA</v>
          </cell>
          <cell r="X191" t="str">
            <v/>
          </cell>
          <cell r="Y191" t="str">
            <v/>
          </cell>
          <cell r="Z191" t="str">
            <v>ROSB880225TB3</v>
          </cell>
          <cell r="AA191" t="str">
            <v>DERMOCONSEJO</v>
          </cell>
          <cell r="AB191" t="str">
            <v>MUJER</v>
          </cell>
          <cell r="AC191">
            <v>632.79087850887004</v>
          </cell>
          <cell r="AD191" t="str">
            <v/>
          </cell>
          <cell r="AE191" t="str">
            <v/>
          </cell>
          <cell r="AF191" t="str">
            <v>8443001030</v>
          </cell>
          <cell r="AG191" t="str">
            <v>COAH</v>
          </cell>
          <cell r="AH191">
            <v>0</v>
          </cell>
        </row>
        <row r="192">
          <cell r="A192">
            <v>500</v>
          </cell>
          <cell r="B192" t="str">
            <v>w9dqy2wz4o5mxe8</v>
          </cell>
          <cell r="C192" t="str">
            <v>BTL-DC-500</v>
          </cell>
          <cell r="D192" t="str">
            <v>45402</v>
          </cell>
          <cell r="E192" t="str">
            <v>fernanditasolorzano1990@gmail.com</v>
          </cell>
          <cell r="F192" t="str">
            <v>ROSF901203MJCDLR01</v>
          </cell>
          <cell r="G192" t="str">
            <v/>
          </cell>
          <cell r="H192" t="str">
            <v/>
          </cell>
          <cell r="I192" t="str">
            <v/>
          </cell>
          <cell r="J192" t="str">
            <v>ARAUCARIA  LOMA DORADA TONALÁ CP 45402 JALISCO</v>
          </cell>
          <cell r="K192">
            <v>0</v>
          </cell>
          <cell r="L192" t="str">
            <v>ACTIVO</v>
          </cell>
          <cell r="M192" t="str">
            <v>SOLTERO/A</v>
          </cell>
          <cell r="N192" t="str">
            <v/>
          </cell>
          <cell r="O192" t="str">
            <v/>
          </cell>
          <cell r="P192" t="str">
            <v/>
          </cell>
          <cell r="Q192" t="str">
            <v>2025-08-01 00:00:00.000Z</v>
          </cell>
          <cell r="R192" t="str">
            <v>2025-08-01 00:00:00.000Z</v>
          </cell>
          <cell r="S192" t="str">
            <v>1990-10-03 00:00:00.000Z</v>
          </cell>
          <cell r="T192" t="str">
            <v>h50k5q75025v4lg</v>
          </cell>
          <cell r="U192" t="str">
            <v xml:space="preserve">RODRIGUEZ SOLORZANO MARIA FERNANDA </v>
          </cell>
          <cell r="V192" t="str">
            <v>04109020828</v>
          </cell>
          <cell r="W192" t="str">
            <v>JALISCO</v>
          </cell>
          <cell r="X192" t="str">
            <v/>
          </cell>
          <cell r="Y192" t="str">
            <v/>
          </cell>
          <cell r="Z192" t="str">
            <v>ROSF901203PU1</v>
          </cell>
          <cell r="AA192" t="str">
            <v>DERMOCONSEJO</v>
          </cell>
          <cell r="AB192" t="str">
            <v>MUJER</v>
          </cell>
          <cell r="AC192">
            <v>595.81654704693403</v>
          </cell>
          <cell r="AD192" t="str">
            <v/>
          </cell>
          <cell r="AE192" t="str">
            <v/>
          </cell>
          <cell r="AF192" t="str">
            <v>3314152157</v>
          </cell>
          <cell r="AG192" t="str">
            <v>GDL</v>
          </cell>
          <cell r="AH192">
            <v>0</v>
          </cell>
        </row>
        <row r="193">
          <cell r="A193">
            <v>545</v>
          </cell>
          <cell r="B193" t="str">
            <v>w9dqy2wz4o5mxe8</v>
          </cell>
          <cell r="C193" t="str">
            <v>BTL-DC-545</v>
          </cell>
          <cell r="D193" t="str">
            <v>57741</v>
          </cell>
          <cell r="E193" t="str">
            <v>lucio.rojas.calderon.2401@gmail.com</v>
          </cell>
          <cell r="F193" t="str">
            <v>ROCO960124HDFJLS00</v>
          </cell>
          <cell r="G193" t="str">
            <v/>
          </cell>
          <cell r="H193" t="str">
            <v/>
          </cell>
          <cell r="I193" t="str">
            <v/>
          </cell>
          <cell r="J193" t="str">
            <v>CALLE AVIACIÓN CIVIL, GENERAL VICENTE VILLADA, 57710, MÉXICO</v>
          </cell>
          <cell r="K193">
            <v>0</v>
          </cell>
          <cell r="L193" t="str">
            <v>ACTIVO</v>
          </cell>
          <cell r="M193" t="str">
            <v>CASADO/A</v>
          </cell>
          <cell r="N193" t="str">
            <v/>
          </cell>
          <cell r="O193" t="str">
            <v/>
          </cell>
          <cell r="P193" t="str">
            <v/>
          </cell>
          <cell r="Q193" t="str">
            <v>2026-01-12 00:00:00.000Z</v>
          </cell>
          <cell r="R193" t="str">
            <v>2026-01-12 00:00:00.000Z</v>
          </cell>
          <cell r="S193" t="str">
            <v>1996-01-24 00:00:00.000Z</v>
          </cell>
          <cell r="T193" t="str">
            <v>7h6ngxojoa93t12</v>
          </cell>
          <cell r="U193" t="str">
            <v>ROJAS CALDERON OSWALDO LUCIO</v>
          </cell>
          <cell r="V193" t="str">
            <v>39159608411</v>
          </cell>
          <cell r="W193" t="str">
            <v>CIUDAD DE MEXICO</v>
          </cell>
          <cell r="X193" t="str">
            <v/>
          </cell>
          <cell r="Y193" t="str">
            <v/>
          </cell>
          <cell r="Z193" t="str">
            <v>ROCO960124AM6</v>
          </cell>
          <cell r="AA193" t="str">
            <v>DERMOCONSEJO</v>
          </cell>
          <cell r="AB193" t="str">
            <v>HOMBRE</v>
          </cell>
          <cell r="AC193">
            <v>330.576219178082</v>
          </cell>
          <cell r="AD193" t="str">
            <v/>
          </cell>
          <cell r="AE193" t="str">
            <v/>
          </cell>
          <cell r="AF193" t="str">
            <v>5515768640</v>
          </cell>
          <cell r="AG193" t="str">
            <v>CDMX</v>
          </cell>
          <cell r="AH193">
            <v>0</v>
          </cell>
        </row>
        <row r="194">
          <cell r="A194">
            <v>85</v>
          </cell>
          <cell r="B194" t="str">
            <v>w9dqy2wz4o5mxe8</v>
          </cell>
          <cell r="C194" t="str">
            <v>BTL-DC-85</v>
          </cell>
          <cell r="D194" t="str">
            <v>76116</v>
          </cell>
          <cell r="E194" t="str">
            <v>deyron.010@gmail.com</v>
          </cell>
          <cell r="F194" t="str">
            <v>ROGN750803MVZMNR00</v>
          </cell>
          <cell r="G194" t="str">
            <v/>
          </cell>
          <cell r="H194" t="str">
            <v/>
          </cell>
          <cell r="I194" t="str">
            <v/>
          </cell>
          <cell r="J194" t="str">
            <v>MATLAZINCAS 208, INTERIOR 28 CERRITO COLORADO SANTIAGO DE QUERÉTARO  CP 76116 QUERÉTARO</v>
          </cell>
          <cell r="K194">
            <v>0</v>
          </cell>
          <cell r="L194" t="str">
            <v>ACTIVO</v>
          </cell>
          <cell r="M194" t="str">
            <v>SOLTERO/A</v>
          </cell>
          <cell r="N194" t="str">
            <v/>
          </cell>
          <cell r="O194" t="str">
            <v/>
          </cell>
          <cell r="P194" t="str">
            <v/>
          </cell>
          <cell r="Q194" t="str">
            <v>2022-08-25 00:00:00.000Z</v>
          </cell>
          <cell r="R194" t="str">
            <v>2022-08-25 00:00:00.000Z</v>
          </cell>
          <cell r="S194" t="str">
            <v>1975-08-03 00:00:00.000Z</v>
          </cell>
          <cell r="T194" t="str">
            <v>j1i0335481p9k7d</v>
          </cell>
          <cell r="U194" t="str">
            <v xml:space="preserve">ROMERO GONZALEZ NORMA LIDIA </v>
          </cell>
          <cell r="V194" t="str">
            <v>65957545711</v>
          </cell>
          <cell r="W194" t="str">
            <v>VERACRUZ</v>
          </cell>
          <cell r="X194" t="str">
            <v/>
          </cell>
          <cell r="Y194" t="str">
            <v/>
          </cell>
          <cell r="Z194" t="str">
            <v>ROGN750803F33</v>
          </cell>
          <cell r="AA194" t="str">
            <v>DERMOCONSEJO</v>
          </cell>
          <cell r="AB194" t="str">
            <v>MUJER</v>
          </cell>
          <cell r="AC194">
            <v>720.17070312149099</v>
          </cell>
          <cell r="AD194" t="str">
            <v/>
          </cell>
          <cell r="AE194" t="str">
            <v/>
          </cell>
          <cell r="AF194" t="str">
            <v>7207351296</v>
          </cell>
          <cell r="AG194" t="str">
            <v>QUERETARO</v>
          </cell>
          <cell r="AH194">
            <v>0</v>
          </cell>
        </row>
        <row r="195">
          <cell r="A195">
            <v>109</v>
          </cell>
          <cell r="B195" t="str">
            <v>w9dqy2wz4o5mxe8</v>
          </cell>
          <cell r="C195" t="str">
            <v>BTL-DC-109</v>
          </cell>
          <cell r="D195" t="str">
            <v>56535</v>
          </cell>
          <cell r="E195" t="str">
            <v>monicarosales829@gmail.com</v>
          </cell>
          <cell r="F195" t="str">
            <v>ROLM770618MMCSPN08</v>
          </cell>
          <cell r="G195" t="str">
            <v/>
          </cell>
          <cell r="H195" t="str">
            <v/>
          </cell>
          <cell r="I195" t="str">
            <v/>
          </cell>
          <cell r="J195" t="str">
            <v>CERRADA DE GUADALUPE #67 HACIENDA LAS PALMAS IXTAPALUCA ESTADO DE MÉXICO.  IXTAPALUCA  CP 56535 MÉXICO</v>
          </cell>
          <cell r="K195">
            <v>0</v>
          </cell>
          <cell r="L195" t="str">
            <v>ACTIVO</v>
          </cell>
          <cell r="M195" t="str">
            <v>CASADO/A</v>
          </cell>
          <cell r="N195" t="str">
            <v/>
          </cell>
          <cell r="O195" t="str">
            <v/>
          </cell>
          <cell r="P195" t="str">
            <v/>
          </cell>
          <cell r="Q195" t="str">
            <v>2022-11-01 00:00:00.000Z</v>
          </cell>
          <cell r="R195" t="str">
            <v>2022-11-01 00:00:00.000Z</v>
          </cell>
          <cell r="S195" t="str">
            <v>1977-06-18 00:00:00.000Z</v>
          </cell>
          <cell r="T195" t="str">
            <v>7zjv06hf4299jq3</v>
          </cell>
          <cell r="U195" t="str">
            <v xml:space="preserve">ROSALES LOPEZ MONICA </v>
          </cell>
          <cell r="V195" t="str">
            <v>96947740492</v>
          </cell>
          <cell r="W195" t="str">
            <v>ESTADO DE MEXICO</v>
          </cell>
          <cell r="X195" t="str">
            <v/>
          </cell>
          <cell r="Y195" t="str">
            <v/>
          </cell>
          <cell r="Z195" t="str">
            <v>ROLM770618HEO</v>
          </cell>
          <cell r="AA195" t="str">
            <v>DERMOCONSEJO</v>
          </cell>
          <cell r="AB195" t="str">
            <v>MUJER</v>
          </cell>
          <cell r="AC195">
            <v>619.19857197395004</v>
          </cell>
          <cell r="AD195" t="str">
            <v/>
          </cell>
          <cell r="AE195" t="str">
            <v/>
          </cell>
          <cell r="AF195" t="str">
            <v>5615409354</v>
          </cell>
          <cell r="AG195" t="str">
            <v>CDMX</v>
          </cell>
          <cell r="AH195">
            <v>0</v>
          </cell>
        </row>
        <row r="196">
          <cell r="A196">
            <v>502</v>
          </cell>
          <cell r="B196" t="str">
            <v>w9dqy2wz4o5mxe8</v>
          </cell>
          <cell r="C196" t="str">
            <v>BTL-DC-502</v>
          </cell>
          <cell r="D196" t="str">
            <v>8700</v>
          </cell>
          <cell r="E196" t="str">
            <v>erina@live.com.mx</v>
          </cell>
          <cell r="F196" t="str">
            <v>ROLN751116MDFSPD05</v>
          </cell>
          <cell r="G196" t="str">
            <v/>
          </cell>
          <cell r="H196" t="str">
            <v/>
          </cell>
          <cell r="I196" t="str">
            <v/>
          </cell>
          <cell r="J196" t="str">
            <v>SUR 115 A JUVENTINO ROSAS IZTACALCO CP 8700 CIUDAD DE MÉXICO</v>
          </cell>
          <cell r="K196">
            <v>0</v>
          </cell>
          <cell r="L196" t="str">
            <v>ACTIVO</v>
          </cell>
          <cell r="M196" t="str">
            <v>SOLTERO/A</v>
          </cell>
          <cell r="N196" t="str">
            <v/>
          </cell>
          <cell r="O196" t="str">
            <v/>
          </cell>
          <cell r="P196" t="str">
            <v/>
          </cell>
          <cell r="Q196" t="str">
            <v>2025-08-07 00:00:00.000Z</v>
          </cell>
          <cell r="R196" t="str">
            <v>2025-08-07 00:00:00.000Z</v>
          </cell>
          <cell r="S196" t="str">
            <v>1975-11-16 00:00:00.000Z</v>
          </cell>
          <cell r="T196" t="str">
            <v>8u1j958j3755628</v>
          </cell>
          <cell r="U196" t="str">
            <v xml:space="preserve">ROSALES LOPEZ NIDIA ERENDIRA </v>
          </cell>
          <cell r="V196" t="str">
            <v>68927509270</v>
          </cell>
          <cell r="W196" t="str">
            <v>CIUDAD DE MEXICO</v>
          </cell>
          <cell r="X196" t="str">
            <v/>
          </cell>
          <cell r="Y196" t="str">
            <v/>
          </cell>
          <cell r="Z196" t="str">
            <v>ROLN7511163LA</v>
          </cell>
          <cell r="AA196" t="str">
            <v>DERMOCONSEJO</v>
          </cell>
          <cell r="AB196" t="str">
            <v>MUJER</v>
          </cell>
          <cell r="AC196">
            <v>564.66884212890102</v>
          </cell>
          <cell r="AD196" t="str">
            <v/>
          </cell>
          <cell r="AE196" t="str">
            <v/>
          </cell>
          <cell r="AF196" t="str">
            <v>5613806479</v>
          </cell>
          <cell r="AG196" t="str">
            <v>CDMX</v>
          </cell>
          <cell r="AH196">
            <v>0</v>
          </cell>
        </row>
        <row r="197">
          <cell r="A197">
            <v>306</v>
          </cell>
          <cell r="B197" t="str">
            <v>w9dqy2wz4o5mxe8</v>
          </cell>
          <cell r="C197" t="str">
            <v>BTL-DC-306</v>
          </cell>
          <cell r="D197" t="str">
            <v>07940</v>
          </cell>
          <cell r="E197" t="str">
            <v>angelicarual1973@gmail.com</v>
          </cell>
          <cell r="F197" t="str">
            <v>RULR730912MDFZGS01</v>
          </cell>
          <cell r="G197" t="str">
            <v/>
          </cell>
          <cell r="H197" t="str">
            <v/>
          </cell>
          <cell r="I197" t="str">
            <v/>
          </cell>
          <cell r="J197" t="str">
            <v>PUERTO HONG KONG MZ. 5 LT.15,, EJIDO DE SAN JUAN DE ARAGON, GUSTAVO A. MADERO, CP 7940, CIUDAD DE MÉXICO</v>
          </cell>
          <cell r="K197">
            <v>0</v>
          </cell>
          <cell r="L197" t="str">
            <v>ACTIVO</v>
          </cell>
          <cell r="M197" t="str">
            <v>SOLTERO/A</v>
          </cell>
          <cell r="N197" t="str">
            <v/>
          </cell>
          <cell r="O197" t="str">
            <v/>
          </cell>
          <cell r="P197" t="str">
            <v/>
          </cell>
          <cell r="Q197" t="str">
            <v>2026-01-12 00:00:00.000Z</v>
          </cell>
          <cell r="R197" t="str">
            <v>2024-04-18 00:00:00.000Z</v>
          </cell>
          <cell r="S197" t="str">
            <v>1973-09-12 00:00:00.000Z</v>
          </cell>
          <cell r="T197" t="str">
            <v>q0bh8hxz7k0r29m</v>
          </cell>
          <cell r="U197" t="str">
            <v>RUIZ LAGUNA ROSARIO ANGELICA</v>
          </cell>
          <cell r="V197" t="str">
            <v>68907419342</v>
          </cell>
          <cell r="W197" t="str">
            <v>CIUDAD DE MEXICO</v>
          </cell>
          <cell r="X197" t="str">
            <v/>
          </cell>
          <cell r="Y197" t="str">
            <v/>
          </cell>
          <cell r="Z197" t="str">
            <v>RULR7309126Q1</v>
          </cell>
          <cell r="AA197" t="str">
            <v>DERMOCONSEJO</v>
          </cell>
          <cell r="AB197" t="str">
            <v>MUJER</v>
          </cell>
          <cell r="AC197">
            <v>330.576219178082</v>
          </cell>
          <cell r="AD197" t="str">
            <v/>
          </cell>
          <cell r="AE197" t="str">
            <v/>
          </cell>
          <cell r="AF197" t="str">
            <v>5618541933</v>
          </cell>
          <cell r="AG197" t="str">
            <v>CDMX</v>
          </cell>
          <cell r="AH197">
            <v>0</v>
          </cell>
        </row>
        <row r="198">
          <cell r="A198">
            <v>31</v>
          </cell>
          <cell r="B198" t="str">
            <v>w9dqy2wz4o5mxe8</v>
          </cell>
          <cell r="C198" t="str">
            <v>BTL-DC-31</v>
          </cell>
          <cell r="D198" t="str">
            <v>50010</v>
          </cell>
          <cell r="E198" t="str">
            <v>estelasaid.72@gmail.com</v>
          </cell>
          <cell r="F198" t="str">
            <v>SACE720218MDFDRS07</v>
          </cell>
          <cell r="G198" t="str">
            <v/>
          </cell>
          <cell r="H198" t="str">
            <v/>
          </cell>
          <cell r="I198" t="str">
            <v/>
          </cell>
          <cell r="J198" t="str">
            <v>FUENTE MARIANA 888 GEO VILLAS DE LA INDEPENDENCIA  SAN MATEO OTZACATIPAN CP 50010 MÉXICO</v>
          </cell>
          <cell r="K198">
            <v>0</v>
          </cell>
          <cell r="L198" t="str">
            <v>ACTIVO</v>
          </cell>
          <cell r="M198" t="str">
            <v>CASADO/A</v>
          </cell>
          <cell r="N198" t="str">
            <v/>
          </cell>
          <cell r="O198" t="str">
            <v/>
          </cell>
          <cell r="P198" t="str">
            <v/>
          </cell>
          <cell r="Q198" t="str">
            <v>2021-01-01 00:00:00.000Z</v>
          </cell>
          <cell r="R198" t="str">
            <v>2020-07-01 00:00:00.000Z</v>
          </cell>
          <cell r="S198" t="str">
            <v>1972-02-18 00:00:00.000Z</v>
          </cell>
          <cell r="T198" t="str">
            <v>2k50555h7vvpc89</v>
          </cell>
          <cell r="U198" t="str">
            <v xml:space="preserve">SAID CRUZ ESTELA </v>
          </cell>
          <cell r="V198" t="str">
            <v>45897235680</v>
          </cell>
          <cell r="W198" t="str">
            <v>CIUDAD DE MEXICO</v>
          </cell>
          <cell r="X198" t="str">
            <v/>
          </cell>
          <cell r="Y198" t="str">
            <v/>
          </cell>
          <cell r="Z198" t="str">
            <v>SACE720218F71</v>
          </cell>
          <cell r="AA198" t="str">
            <v>DERMOCONSEJO</v>
          </cell>
          <cell r="AB198" t="str">
            <v>MUJER</v>
          </cell>
          <cell r="AC198">
            <v>587.85041971704402</v>
          </cell>
          <cell r="AD198" t="str">
            <v/>
          </cell>
          <cell r="AE198" t="str">
            <v/>
          </cell>
          <cell r="AF198" t="str">
            <v>7224760405</v>
          </cell>
          <cell r="AG198" t="str">
            <v>TOLUCA</v>
          </cell>
          <cell r="AH198">
            <v>0</v>
          </cell>
        </row>
        <row r="199">
          <cell r="A199">
            <v>457</v>
          </cell>
          <cell r="B199" t="str">
            <v>w9dqy2wz4o5mxe8</v>
          </cell>
          <cell r="C199" t="str">
            <v>BTL-DC-457</v>
          </cell>
          <cell r="D199" t="str">
            <v>45140</v>
          </cell>
          <cell r="E199" t="str">
            <v>jazmin28macias7@gmail.com</v>
          </cell>
          <cell r="F199" t="str">
            <v>SAMT070328MJCLCRA2</v>
          </cell>
          <cell r="G199" t="str">
            <v/>
          </cell>
          <cell r="H199" t="str">
            <v/>
          </cell>
          <cell r="I199" t="str">
            <v/>
          </cell>
          <cell r="J199" t="str">
            <v>SANTA CATALINA 438 SANTA MARGARITA  ZAPOPAN  CP 45140 JALISCO</v>
          </cell>
          <cell r="K199">
            <v>0</v>
          </cell>
          <cell r="L199" t="str">
            <v>ACTIVO</v>
          </cell>
          <cell r="M199" t="str">
            <v>SOLTERO/A</v>
          </cell>
          <cell r="N199" t="str">
            <v/>
          </cell>
          <cell r="O199" t="str">
            <v/>
          </cell>
          <cell r="P199" t="str">
            <v/>
          </cell>
          <cell r="Q199" t="str">
            <v>2025-05-05 00:00:00.000Z</v>
          </cell>
          <cell r="R199" t="str">
            <v>2025-05-05 00:00:00.000Z</v>
          </cell>
          <cell r="S199" t="str">
            <v>2007-03-28 00:00:00.000Z</v>
          </cell>
          <cell r="T199" t="str">
            <v>uvah4hhx08c0y68</v>
          </cell>
          <cell r="U199" t="str">
            <v xml:space="preserve">SALAMANCA MACIAS TERESA JAZMIN </v>
          </cell>
          <cell r="V199" t="str">
            <v>08250772020</v>
          </cell>
          <cell r="W199" t="str">
            <v>JALISCO</v>
          </cell>
          <cell r="X199" t="str">
            <v/>
          </cell>
          <cell r="Y199" t="str">
            <v/>
          </cell>
          <cell r="Z199" t="str">
            <v>SAMT070328GW7</v>
          </cell>
          <cell r="AA199" t="str">
            <v>DERMOCONSEJO</v>
          </cell>
          <cell r="AB199" t="str">
            <v>MUJER</v>
          </cell>
          <cell r="AC199">
            <v>571.68671098135997</v>
          </cell>
          <cell r="AD199" t="str">
            <v/>
          </cell>
          <cell r="AE199" t="str">
            <v/>
          </cell>
          <cell r="AF199" t="str">
            <v>3327926081</v>
          </cell>
          <cell r="AG199" t="str">
            <v>GDL</v>
          </cell>
          <cell r="AH199">
            <v>0</v>
          </cell>
        </row>
        <row r="200">
          <cell r="A200">
            <v>264</v>
          </cell>
          <cell r="B200" t="str">
            <v>w9dqy2wz4o5mxe8</v>
          </cell>
          <cell r="C200" t="str">
            <v>BTL-DC-264</v>
          </cell>
          <cell r="D200" t="str">
            <v>66418</v>
          </cell>
          <cell r="E200" t="str">
            <v>aurosalazar19@gmail.com</v>
          </cell>
          <cell r="F200" t="str">
            <v>SAZA660512MNLLVR07</v>
          </cell>
          <cell r="G200" t="str">
            <v/>
          </cell>
          <cell r="H200" t="str">
            <v/>
          </cell>
          <cell r="I200" t="str">
            <v/>
          </cell>
          <cell r="J200" t="str">
            <v>EFRAIN ORDÓÑEZ 137, VIEJO ROBLE, SAN NICOLÁS DE LOS GARZA, CP 66418, NUEVO LEÓN</v>
          </cell>
          <cell r="K200">
            <v>0</v>
          </cell>
          <cell r="L200" t="str">
            <v>ACTIVO</v>
          </cell>
          <cell r="M200" t="str">
            <v>CASADO/A</v>
          </cell>
          <cell r="N200" t="str">
            <v/>
          </cell>
          <cell r="O200" t="str">
            <v/>
          </cell>
          <cell r="P200" t="str">
            <v/>
          </cell>
          <cell r="Q200" t="str">
            <v>2026-01-15 00:00:00.000Z</v>
          </cell>
          <cell r="R200" t="str">
            <v>2026-01-15 00:00:00.000Z</v>
          </cell>
          <cell r="S200" t="str">
            <v>1966-05-12 00:00:00.000Z</v>
          </cell>
          <cell r="T200" t="str">
            <v>8858148rc9j8j25</v>
          </cell>
          <cell r="U200" t="str">
            <v>SALAZAR ZAVALA AURORA</v>
          </cell>
          <cell r="V200" t="str">
            <v>43866611791</v>
          </cell>
          <cell r="W200" t="str">
            <v>NUEVO LEON</v>
          </cell>
          <cell r="X200" t="str">
            <v/>
          </cell>
          <cell r="Y200" t="str">
            <v/>
          </cell>
          <cell r="Z200" t="str">
            <v>SAZA6605128C2</v>
          </cell>
          <cell r="AA200" t="str">
            <v>DERMOCONSEJO</v>
          </cell>
          <cell r="AB200" t="str">
            <v>MUJER</v>
          </cell>
          <cell r="AC200">
            <v>330.576219178082</v>
          </cell>
          <cell r="AD200" t="str">
            <v/>
          </cell>
          <cell r="AE200" t="str">
            <v/>
          </cell>
          <cell r="AF200" t="str">
            <v>8117021310</v>
          </cell>
          <cell r="AG200" t="str">
            <v>MTY</v>
          </cell>
          <cell r="AH200">
            <v>0</v>
          </cell>
        </row>
        <row r="201">
          <cell r="A201">
            <v>440</v>
          </cell>
          <cell r="B201" t="str">
            <v>w9dqy2wz4o5mxe8</v>
          </cell>
          <cell r="C201" t="str">
            <v>BTL-DC-440</v>
          </cell>
          <cell r="D201" t="str">
            <v>64210</v>
          </cell>
          <cell r="E201" t="str">
            <v>fabiolamagallanes330@gmail.com</v>
          </cell>
          <cell r="F201" t="str">
            <v>SAMK901018MNLNGR00</v>
          </cell>
          <cell r="G201" t="str">
            <v/>
          </cell>
          <cell r="H201" t="str">
            <v/>
          </cell>
          <cell r="I201" t="str">
            <v/>
          </cell>
          <cell r="J201" t="str">
            <v>ESPIGA 4204, FOMERREY 1, MONTERREY, CP 64210, NUEVO LEÓN</v>
          </cell>
          <cell r="K201">
            <v>0</v>
          </cell>
          <cell r="L201" t="str">
            <v>ACTIVO</v>
          </cell>
          <cell r="M201" t="str">
            <v>SOLTERO/A</v>
          </cell>
          <cell r="N201" t="str">
            <v/>
          </cell>
          <cell r="O201" t="str">
            <v/>
          </cell>
          <cell r="P201" t="str">
            <v/>
          </cell>
          <cell r="Q201" t="str">
            <v>2026-01-13 00:00:00.000Z</v>
          </cell>
          <cell r="R201" t="str">
            <v>2025-07-15 00:00:00.000Z</v>
          </cell>
          <cell r="S201" t="str">
            <v>1990-10-18 00:00:00.000Z</v>
          </cell>
          <cell r="T201" t="str">
            <v>7m5618m8298l8r8</v>
          </cell>
          <cell r="U201" t="str">
            <v>SANCHEZ MAGALLANES KAREN FABIOLA</v>
          </cell>
          <cell r="V201" t="str">
            <v>43079052981</v>
          </cell>
          <cell r="W201" t="str">
            <v>NUEVO LEON</v>
          </cell>
          <cell r="X201" t="str">
            <v/>
          </cell>
          <cell r="Y201" t="str">
            <v/>
          </cell>
          <cell r="Z201" t="str">
            <v>SAMK9010182D4</v>
          </cell>
          <cell r="AA201" t="str">
            <v>DERMOCONSEJO</v>
          </cell>
          <cell r="AB201" t="str">
            <v>MUJER</v>
          </cell>
          <cell r="AC201">
            <v>330.576219178082</v>
          </cell>
          <cell r="AD201" t="str">
            <v/>
          </cell>
          <cell r="AE201" t="str">
            <v/>
          </cell>
          <cell r="AF201" t="str">
            <v>8131400123</v>
          </cell>
          <cell r="AG201" t="str">
            <v>MTY</v>
          </cell>
          <cell r="AH201">
            <v>0</v>
          </cell>
        </row>
        <row r="202">
          <cell r="A202">
            <v>542</v>
          </cell>
          <cell r="B202" t="str">
            <v>w9dqy2wz4o5mxe8</v>
          </cell>
          <cell r="C202" t="str">
            <v>BTL-DC-542</v>
          </cell>
          <cell r="D202" t="str">
            <v>01110</v>
          </cell>
          <cell r="E202" t="str">
            <v>carmelitasanchezmarquez@gmail.com</v>
          </cell>
          <cell r="F202" t="str">
            <v>SAMC821221MDFNRR07</v>
          </cell>
          <cell r="G202" t="str">
            <v/>
          </cell>
          <cell r="H202" t="str">
            <v/>
          </cell>
          <cell r="I202" t="str">
            <v/>
          </cell>
          <cell r="J202" t="str">
            <v xml:space="preserve">AV PRESIDENTE JUAREZ MZ. 20 LT 2 COL LIBERALES DE 1857 CP 01110 </v>
          </cell>
          <cell r="K202">
            <v>0</v>
          </cell>
          <cell r="L202" t="str">
            <v>ACTIVO</v>
          </cell>
          <cell r="M202" t="str">
            <v>SOLTERO/A</v>
          </cell>
          <cell r="N202" t="str">
            <v/>
          </cell>
          <cell r="O202" t="str">
            <v/>
          </cell>
          <cell r="P202" t="str">
            <v/>
          </cell>
          <cell r="Q202" t="str">
            <v>2026-01-12 00:00:00.000Z</v>
          </cell>
          <cell r="R202" t="str">
            <v>2026-01-12 00:00:00.000Z</v>
          </cell>
          <cell r="S202" t="str">
            <v>1982-12-21 00:00:00.000Z</v>
          </cell>
          <cell r="T202" t="str">
            <v>xh81631552475tt</v>
          </cell>
          <cell r="U202" t="str">
            <v>SANCHEZ MARQUEZ CARMELITA</v>
          </cell>
          <cell r="V202" t="str">
            <v>11068212981</v>
          </cell>
          <cell r="W202" t="str">
            <v>CIUDAD DE MEXICO</v>
          </cell>
          <cell r="X202" t="str">
            <v/>
          </cell>
          <cell r="Y202" t="str">
            <v/>
          </cell>
          <cell r="Z202" t="str">
            <v>SAMC821221IM0</v>
          </cell>
          <cell r="AA202" t="str">
            <v>DERMOCONSEJO</v>
          </cell>
          <cell r="AB202" t="str">
            <v>MUJER</v>
          </cell>
          <cell r="AC202">
            <v>330.576219178082</v>
          </cell>
          <cell r="AD202" t="str">
            <v/>
          </cell>
          <cell r="AE202" t="str">
            <v/>
          </cell>
          <cell r="AF202" t="str">
            <v>5636508959</v>
          </cell>
          <cell r="AG202" t="str">
            <v>CDMX</v>
          </cell>
          <cell r="AH202">
            <v>0</v>
          </cell>
        </row>
        <row r="203">
          <cell r="A203">
            <v>549</v>
          </cell>
          <cell r="B203" t="str">
            <v>w9dqy2wz4o5mxe8</v>
          </cell>
          <cell r="C203" t="str">
            <v>BTL-DC-549</v>
          </cell>
          <cell r="D203" t="str">
            <v>6060</v>
          </cell>
          <cell r="E203" t="str">
            <v>nancysanchezwilli@gmail.com</v>
          </cell>
          <cell r="F203" t="str">
            <v>SAON870903MDFNSN07</v>
          </cell>
          <cell r="G203" t="str">
            <v/>
          </cell>
          <cell r="H203" t="str">
            <v/>
          </cell>
          <cell r="I203" t="str">
            <v/>
          </cell>
          <cell r="J203" t="str">
            <v>AV.SAN JUAN DE ARAGÓN 530, DM NACIONAL, GUSTAVO A. MADERO, CP 7450, CIUDAD DE MÉXICO</v>
          </cell>
          <cell r="K203">
            <v>0</v>
          </cell>
          <cell r="L203" t="str">
            <v>ACTIVO</v>
          </cell>
          <cell r="M203" t="str">
            <v>CASADO/A</v>
          </cell>
          <cell r="N203" t="str">
            <v/>
          </cell>
          <cell r="O203" t="str">
            <v/>
          </cell>
          <cell r="P203" t="str">
            <v/>
          </cell>
          <cell r="Q203" t="str">
            <v>2026-01-12 00:00:00.000Z</v>
          </cell>
          <cell r="R203" t="str">
            <v>2026-01-12 00:00:00.000Z</v>
          </cell>
          <cell r="S203" t="str">
            <v>1987-09-03 00:00:00.000Z</v>
          </cell>
          <cell r="T203" t="str">
            <v>r118780be96j3k0</v>
          </cell>
          <cell r="U203" t="str">
            <v>SANCHEZ OSORIO NANCY SUSANA</v>
          </cell>
          <cell r="V203" t="str">
            <v>90058732885</v>
          </cell>
          <cell r="W203" t="str">
            <v>CIUDAD DE MEXICO</v>
          </cell>
          <cell r="X203" t="str">
            <v/>
          </cell>
          <cell r="Y203" t="str">
            <v/>
          </cell>
          <cell r="Z203" t="str">
            <v>SAON870903AS3</v>
          </cell>
          <cell r="AA203" t="str">
            <v>DERMOCONSEJO</v>
          </cell>
          <cell r="AB203" t="str">
            <v>MUJER</v>
          </cell>
          <cell r="AC203">
            <v>330.576219178082</v>
          </cell>
          <cell r="AD203" t="str">
            <v/>
          </cell>
          <cell r="AE203" t="str">
            <v/>
          </cell>
          <cell r="AF203" t="str">
            <v>5513113191</v>
          </cell>
          <cell r="AG203" t="str">
            <v>CDMX</v>
          </cell>
          <cell r="AH203">
            <v>0</v>
          </cell>
        </row>
        <row r="204">
          <cell r="A204">
            <v>215</v>
          </cell>
          <cell r="B204" t="str">
            <v>w9dqy2wz4o5mxe8</v>
          </cell>
          <cell r="C204" t="str">
            <v>BTL-DC-215</v>
          </cell>
          <cell r="D204" t="str">
            <v>07509</v>
          </cell>
          <cell r="E204" t="str">
            <v>zstau16@gmail.com</v>
          </cell>
          <cell r="F204" t="str">
            <v>SARZ690512MDFNMD07</v>
          </cell>
          <cell r="G204" t="str">
            <v/>
          </cell>
          <cell r="H204" t="str">
            <v/>
          </cell>
          <cell r="I204" t="str">
            <v/>
          </cell>
          <cell r="J204" t="str">
            <v>CERRO DEL CUBILETE #14 LA PRADERA  GUSTAVO A. MADERO  CP 07509 CIUDAD DE MÉXICO</v>
          </cell>
          <cell r="K204">
            <v>0</v>
          </cell>
          <cell r="L204" t="str">
            <v>ACTIVO</v>
          </cell>
          <cell r="M204" t="str">
            <v>SOLTERO/A</v>
          </cell>
          <cell r="N204" t="str">
            <v/>
          </cell>
          <cell r="O204" t="str">
            <v/>
          </cell>
          <cell r="P204" t="str">
            <v/>
          </cell>
          <cell r="Q204" t="str">
            <v>2023-11-03 00:00:00.000Z</v>
          </cell>
          <cell r="R204" t="str">
            <v>2023-11-03 00:00:00.000Z</v>
          </cell>
          <cell r="S204" t="str">
            <v>1969-05-12 00:00:00.000Z</v>
          </cell>
          <cell r="T204" t="str">
            <v>44u102i1359e90k</v>
          </cell>
          <cell r="U204" t="str">
            <v xml:space="preserve">SANCHEZ RAMIREZ ZAIDA </v>
          </cell>
          <cell r="V204" t="str">
            <v>30896921589</v>
          </cell>
          <cell r="W204" t="str">
            <v>CIUDAD DE MEXICO</v>
          </cell>
          <cell r="X204" t="str">
            <v/>
          </cell>
          <cell r="Y204" t="str">
            <v/>
          </cell>
          <cell r="Z204" t="str">
            <v>SARZ690512QY0</v>
          </cell>
          <cell r="AA204" t="str">
            <v>DERMOCONSEJO</v>
          </cell>
          <cell r="AB204" t="str">
            <v>MUJER</v>
          </cell>
          <cell r="AC204">
            <v>581.05756613518895</v>
          </cell>
          <cell r="AD204" t="str">
            <v/>
          </cell>
          <cell r="AE204" t="str">
            <v/>
          </cell>
          <cell r="AF204" t="str">
            <v>5635969892</v>
          </cell>
          <cell r="AG204" t="str">
            <v>CDMX</v>
          </cell>
          <cell r="AH204">
            <v>0</v>
          </cell>
        </row>
        <row r="205">
          <cell r="A205">
            <v>77</v>
          </cell>
          <cell r="B205" t="str">
            <v>w9dqy2wz4o5mxe8</v>
          </cell>
          <cell r="C205" t="str">
            <v>BTL-DC-77</v>
          </cell>
          <cell r="D205" t="str">
            <v>16450</v>
          </cell>
          <cell r="E205" t="str">
            <v>karinasandoval991@gmail.com</v>
          </cell>
          <cell r="F205" t="str">
            <v>SAEA890805MSFNSL01</v>
          </cell>
          <cell r="G205" t="str">
            <v/>
          </cell>
          <cell r="H205" t="str">
            <v/>
          </cell>
          <cell r="I205" t="str">
            <v/>
          </cell>
          <cell r="J205" t="str">
            <v>HERMENEGILDO GALEANA #11.B SANTA MARÍA NATIVITAS  XOCHIMILCO  CP 16450 CIUDAD DE MÉXICO</v>
          </cell>
          <cell r="K205">
            <v>0</v>
          </cell>
          <cell r="L205" t="str">
            <v>ACTIVO</v>
          </cell>
          <cell r="M205" t="str">
            <v>SOLTERO/A</v>
          </cell>
          <cell r="N205" t="str">
            <v/>
          </cell>
          <cell r="O205" t="str">
            <v/>
          </cell>
          <cell r="P205" t="str">
            <v/>
          </cell>
          <cell r="Q205" t="str">
            <v>2022-08-04 00:00:00.000Z</v>
          </cell>
          <cell r="R205" t="str">
            <v>2022-08-02 00:00:00.000Z</v>
          </cell>
          <cell r="S205" t="str">
            <v>1989-08-05 00:00:00.000Z</v>
          </cell>
          <cell r="T205" t="str">
            <v>62nao7kdc949iyx</v>
          </cell>
          <cell r="U205" t="str">
            <v>SANDOVAL ESLAVA ALEJANDRA KARINA</v>
          </cell>
          <cell r="V205" t="str">
            <v>42128908201</v>
          </cell>
          <cell r="W205" t="str">
            <v>DESCONOCIDO</v>
          </cell>
          <cell r="X205" t="str">
            <v/>
          </cell>
          <cell r="Y205" t="str">
            <v/>
          </cell>
          <cell r="Z205" t="str">
            <v>SAEA890805SR5</v>
          </cell>
          <cell r="AA205" t="str">
            <v>DERMOCONSEJO</v>
          </cell>
          <cell r="AB205" t="str">
            <v>MUJER</v>
          </cell>
          <cell r="AC205">
            <v>549.98168672804798</v>
          </cell>
          <cell r="AD205" t="str">
            <v/>
          </cell>
          <cell r="AE205" t="str">
            <v/>
          </cell>
          <cell r="AF205" t="str">
            <v>5521575692</v>
          </cell>
          <cell r="AG205" t="str">
            <v>CDMX</v>
          </cell>
          <cell r="AH205">
            <v>0</v>
          </cell>
        </row>
        <row r="206">
          <cell r="A206">
            <v>335</v>
          </cell>
          <cell r="B206" t="str">
            <v>w9dqy2wz4o5mxe8</v>
          </cell>
          <cell r="C206" t="str">
            <v>BTL-DC-335</v>
          </cell>
          <cell r="D206" t="str">
            <v>07510</v>
          </cell>
          <cell r="E206" t="str">
            <v>gabysh832019@gmail.com</v>
          </cell>
          <cell r="F206" t="str">
            <v>SAGR830202MDFNNS00</v>
          </cell>
          <cell r="G206" t="str">
            <v/>
          </cell>
          <cell r="H206" t="str">
            <v/>
          </cell>
          <cell r="I206" t="str">
            <v/>
          </cell>
          <cell r="J206" t="str">
            <v>SIERRA DE PINOS # 78 SAN FELIPE DE JESÚS GUSTAVO A MADERO CP 07510 CIUDAD DE MÉXICO</v>
          </cell>
          <cell r="K206">
            <v>0</v>
          </cell>
          <cell r="L206" t="str">
            <v>ACTIVO</v>
          </cell>
          <cell r="M206" t="str">
            <v>CASADO/A</v>
          </cell>
          <cell r="N206" t="str">
            <v/>
          </cell>
          <cell r="O206" t="str">
            <v/>
          </cell>
          <cell r="P206" t="str">
            <v/>
          </cell>
          <cell r="Q206" t="str">
            <v>2026-01-07 00:00:00.000Z</v>
          </cell>
          <cell r="R206" t="str">
            <v>2024-07-09 00:00:00.000Z</v>
          </cell>
          <cell r="S206" t="str">
            <v>1983-02-02 00:00:00.000Z</v>
          </cell>
          <cell r="T206" t="str">
            <v>1p681cc430c226g</v>
          </cell>
          <cell r="U206" t="str">
            <v xml:space="preserve">SANTIAGO GONZALEZ ROSA GABRIELA </v>
          </cell>
          <cell r="V206" t="str">
            <v>11018312428</v>
          </cell>
          <cell r="W206" t="str">
            <v>CIUDAD DE MEXICO</v>
          </cell>
          <cell r="X206" t="str">
            <v/>
          </cell>
          <cell r="Y206" t="str">
            <v/>
          </cell>
          <cell r="Z206" t="str">
            <v>SAGR830202A60</v>
          </cell>
          <cell r="AA206" t="str">
            <v>DERMOCONSEJO</v>
          </cell>
          <cell r="AB206" t="str">
            <v>MUJER</v>
          </cell>
          <cell r="AC206">
            <v>330.576219178082</v>
          </cell>
          <cell r="AD206" t="str">
            <v/>
          </cell>
          <cell r="AE206" t="str">
            <v/>
          </cell>
          <cell r="AF206" t="str">
            <v>6565654827</v>
          </cell>
          <cell r="AG206" t="str">
            <v>CDMX</v>
          </cell>
          <cell r="AH206">
            <v>0</v>
          </cell>
        </row>
        <row r="207">
          <cell r="A207">
            <v>557</v>
          </cell>
          <cell r="B207" t="str">
            <v>w9dqy2wz4o5mxe8</v>
          </cell>
          <cell r="C207" t="str">
            <v>BTL-DC-557</v>
          </cell>
          <cell r="D207" t="str">
            <v>57200</v>
          </cell>
          <cell r="E207" t="str">
            <v>dsantiagohernandez326@gmail.com</v>
          </cell>
          <cell r="F207" t="str">
            <v>SAHD040813MMCNRNA6</v>
          </cell>
          <cell r="G207" t="str">
            <v/>
          </cell>
          <cell r="H207" t="str">
            <v/>
          </cell>
          <cell r="I207" t="str">
            <v/>
          </cell>
          <cell r="J207" t="str">
            <v>CALLE 39 143 2 1A 2A AVENIDA EL SOLC.P.57200 NEZAHUALCOYOTL MEX.</v>
          </cell>
          <cell r="K207">
            <v>0</v>
          </cell>
          <cell r="L207" t="str">
            <v>ACTIVO</v>
          </cell>
          <cell r="M207" t="str">
            <v>SOLTERO/A</v>
          </cell>
          <cell r="N207" t="str">
            <v/>
          </cell>
          <cell r="O207" t="str">
            <v/>
          </cell>
          <cell r="P207" t="str">
            <v/>
          </cell>
          <cell r="Q207" t="str">
            <v>2026-01-15 00:00:00.000Z</v>
          </cell>
          <cell r="R207" t="str">
            <v>2026-01-15 00:00:00.000Z</v>
          </cell>
          <cell r="S207" t="str">
            <v>2004-08-13 00:00:00.000Z</v>
          </cell>
          <cell r="T207" t="str">
            <v>5422fnot63oa027</v>
          </cell>
          <cell r="U207" t="str">
            <v>SANTIAGO HERNANDEZ DANNA PAOLA</v>
          </cell>
          <cell r="V207" t="str">
            <v>55190468458</v>
          </cell>
          <cell r="W207" t="str">
            <v>ESTADO DE MEXICO</v>
          </cell>
          <cell r="X207" t="str">
            <v/>
          </cell>
          <cell r="Y207" t="str">
            <v/>
          </cell>
          <cell r="Z207" t="str">
            <v>SAHD040813CWA</v>
          </cell>
          <cell r="AA207" t="str">
            <v>DERMOCONSEJO</v>
          </cell>
          <cell r="AB207" t="str">
            <v>MUJER</v>
          </cell>
          <cell r="AC207">
            <v>330.576219178082</v>
          </cell>
          <cell r="AD207" t="str">
            <v/>
          </cell>
          <cell r="AE207" t="str">
            <v/>
          </cell>
          <cell r="AF207" t="str">
            <v>5516480262</v>
          </cell>
          <cell r="AG207" t="str">
            <v>CDMX</v>
          </cell>
          <cell r="AH207">
            <v>0</v>
          </cell>
        </row>
        <row r="208">
          <cell r="A208">
            <v>560</v>
          </cell>
          <cell r="B208" t="str">
            <v>w9dqy2wz4o5mxe8</v>
          </cell>
          <cell r="C208" t="str">
            <v>BTL-DC-560</v>
          </cell>
          <cell r="D208" t="str">
            <v>66475</v>
          </cell>
          <cell r="E208" t="str">
            <v>gpe.serna.diaz@gmail.com</v>
          </cell>
          <cell r="F208" t="str">
            <v>SEDG701001MNLRZD07</v>
          </cell>
          <cell r="G208" t="str">
            <v/>
          </cell>
          <cell r="H208" t="str">
            <v/>
          </cell>
          <cell r="I208" t="str">
            <v/>
          </cell>
          <cell r="J208" t="str">
            <v>CHE CHEN 621, JARDINES DE CASA BLANCA, SAN NICOLÁS DE LOS GARZA NL, CP 66475, NUEVO LEÓN</v>
          </cell>
          <cell r="K208">
            <v>0</v>
          </cell>
          <cell r="L208" t="str">
            <v>ACTIVO</v>
          </cell>
          <cell r="M208" t="str">
            <v>CASADO/A</v>
          </cell>
          <cell r="N208" t="str">
            <v/>
          </cell>
          <cell r="O208" t="str">
            <v/>
          </cell>
          <cell r="P208" t="str">
            <v/>
          </cell>
          <cell r="Q208" t="str">
            <v>2026-01-15 00:00:00.000Z</v>
          </cell>
          <cell r="R208" t="str">
            <v>2026-01-15 00:00:00.000Z</v>
          </cell>
          <cell r="S208" t="str">
            <v>1970-10-01 00:00:00.000Z</v>
          </cell>
          <cell r="T208" t="str">
            <v>ww449kz6f3070v5</v>
          </cell>
          <cell r="U208" t="str">
            <v>SERNA DIAZ GUADALUPE</v>
          </cell>
          <cell r="V208" t="str">
            <v>43887018463</v>
          </cell>
          <cell r="W208" t="str">
            <v>NUEVO LEON</v>
          </cell>
          <cell r="X208" t="str">
            <v/>
          </cell>
          <cell r="Y208" t="str">
            <v/>
          </cell>
          <cell r="Z208" t="str">
            <v>SEDG701001</v>
          </cell>
          <cell r="AA208" t="str">
            <v>DERMOCONSEJO</v>
          </cell>
          <cell r="AB208" t="str">
            <v>MUJER</v>
          </cell>
          <cell r="AC208">
            <v>330.576219178082</v>
          </cell>
          <cell r="AD208" t="str">
            <v/>
          </cell>
          <cell r="AE208" t="str">
            <v/>
          </cell>
          <cell r="AF208" t="str">
            <v>8124478788</v>
          </cell>
          <cell r="AG208" t="str">
            <v>MTY</v>
          </cell>
          <cell r="AH208">
            <v>0</v>
          </cell>
        </row>
        <row r="209">
          <cell r="A209">
            <v>303</v>
          </cell>
          <cell r="B209" t="str">
            <v>w9dqy2wz4o5mxe8</v>
          </cell>
          <cell r="C209" t="str">
            <v>BTL-DC-303</v>
          </cell>
          <cell r="D209" t="str">
            <v>13270</v>
          </cell>
          <cell r="E209" t="str">
            <v>marlenesosagarces22@gmail.com</v>
          </cell>
          <cell r="F209" t="str">
            <v>SOGM780801MDFSRR00</v>
          </cell>
          <cell r="G209" t="str">
            <v/>
          </cell>
          <cell r="H209" t="str">
            <v/>
          </cell>
          <cell r="I209" t="str">
            <v/>
          </cell>
          <cell r="J209" t="str">
            <v>CANGREJO 29 COLONIA DEL MAR  TLÁHUAC  CP 13270 CIUDAD DE MÉXICO</v>
          </cell>
          <cell r="K209">
            <v>0</v>
          </cell>
          <cell r="L209" t="str">
            <v>ACTIVO</v>
          </cell>
          <cell r="M209" t="str">
            <v>SOLTERO/A</v>
          </cell>
          <cell r="N209" t="str">
            <v/>
          </cell>
          <cell r="O209" t="str">
            <v/>
          </cell>
          <cell r="P209" t="str">
            <v/>
          </cell>
          <cell r="Q209" t="str">
            <v>2024-04-12 00:00:00.000Z</v>
          </cell>
          <cell r="R209" t="str">
            <v>2024-04-12 00:00:00.000Z</v>
          </cell>
          <cell r="S209" t="str">
            <v>1978-08-01 00:00:00.000Z</v>
          </cell>
          <cell r="T209" t="str">
            <v>d8r0vjhqd3v1gt1</v>
          </cell>
          <cell r="U209" t="str">
            <v xml:space="preserve">SOSA GARCES MARLENE </v>
          </cell>
          <cell r="V209" t="str">
            <v>39957857814</v>
          </cell>
          <cell r="W209" t="str">
            <v>CIUDAD DE MEXICO</v>
          </cell>
          <cell r="X209" t="str">
            <v/>
          </cell>
          <cell r="Y209" t="str">
            <v/>
          </cell>
          <cell r="Z209" t="str">
            <v>SOGM780801KAA</v>
          </cell>
          <cell r="AA209" t="str">
            <v>DERMOCONSEJO</v>
          </cell>
          <cell r="AB209" t="str">
            <v>MUJER</v>
          </cell>
          <cell r="AC209">
            <v>523.85557668987201</v>
          </cell>
          <cell r="AD209" t="str">
            <v/>
          </cell>
          <cell r="AE209" t="str">
            <v/>
          </cell>
          <cell r="AF209" t="str">
            <v>5626264675</v>
          </cell>
          <cell r="AG209" t="str">
            <v>CDMX</v>
          </cell>
          <cell r="AH209">
            <v>0</v>
          </cell>
        </row>
        <row r="210">
          <cell r="A210">
            <v>137</v>
          </cell>
          <cell r="B210" t="str">
            <v>w9dqy2wz4o5mxe8</v>
          </cell>
          <cell r="C210" t="str">
            <v>BTL-DC-137</v>
          </cell>
          <cell r="D210" t="str">
            <v>14420</v>
          </cell>
          <cell r="E210" t="str">
            <v>angelica_jjr@hotmail.com</v>
          </cell>
          <cell r="F210" t="str">
            <v>TESA730122MDFCNN04</v>
          </cell>
          <cell r="G210" t="str">
            <v/>
          </cell>
          <cell r="H210" t="str">
            <v/>
          </cell>
          <cell r="I210" t="str">
            <v/>
          </cell>
          <cell r="J210" t="str">
            <v>TEPETZINGO MZ 3 LT 16 CUMBRES DE TEPETONGO  TLALPAN  CP 14420 CIUDAD DE MÉXICO</v>
          </cell>
          <cell r="K210">
            <v>0</v>
          </cell>
          <cell r="L210" t="str">
            <v>ACTIVO</v>
          </cell>
          <cell r="M210" t="str">
            <v>CASADO/A</v>
          </cell>
          <cell r="N210" t="str">
            <v/>
          </cell>
          <cell r="O210" t="str">
            <v/>
          </cell>
          <cell r="P210" t="str">
            <v/>
          </cell>
          <cell r="Q210" t="str">
            <v>2023-02-27 00:00:00.000Z</v>
          </cell>
          <cell r="R210" t="str">
            <v>2023-02-27 00:00:00.000Z</v>
          </cell>
          <cell r="S210" t="str">
            <v>1973-01-22 00:00:00.000Z</v>
          </cell>
          <cell r="T210" t="str">
            <v>176l17kvf24yken</v>
          </cell>
          <cell r="U210" t="str">
            <v xml:space="preserve">TECPA SANCHEZ ANGELICA </v>
          </cell>
          <cell r="V210" t="str">
            <v>45907376540</v>
          </cell>
          <cell r="W210" t="str">
            <v>CIUDAD DE MEXICO</v>
          </cell>
          <cell r="X210" t="str">
            <v/>
          </cell>
          <cell r="Y210" t="str">
            <v/>
          </cell>
          <cell r="Z210" t="str">
            <v>TESA730122QY4</v>
          </cell>
          <cell r="AA210" t="str">
            <v>DERMOCONSEJO</v>
          </cell>
          <cell r="AB210" t="str">
            <v>MUJER</v>
          </cell>
          <cell r="AC210">
            <v>569.96215629912399</v>
          </cell>
          <cell r="AD210" t="str">
            <v/>
          </cell>
          <cell r="AE210" t="str">
            <v/>
          </cell>
          <cell r="AF210" t="str">
            <v>5510170360</v>
          </cell>
          <cell r="AG210" t="str">
            <v>CDMX</v>
          </cell>
          <cell r="AH210">
            <v>0</v>
          </cell>
        </row>
        <row r="211">
          <cell r="A211">
            <v>117</v>
          </cell>
          <cell r="B211" t="str">
            <v>w9dqy2wz4o5mxe8</v>
          </cell>
          <cell r="C211" t="str">
            <v>BTL-DC-117</v>
          </cell>
          <cell r="D211" t="str">
            <v>09829</v>
          </cell>
          <cell r="E211" t="str">
            <v>torresmariaguadalupe_18@yahoo.com</v>
          </cell>
          <cell r="F211" t="str">
            <v>TOCG811108MDFRRD05</v>
          </cell>
          <cell r="G211" t="str">
            <v/>
          </cell>
          <cell r="H211" t="str">
            <v/>
          </cell>
          <cell r="I211" t="str">
            <v/>
          </cell>
          <cell r="J211" t="str">
            <v>LOMA ALEGRE #6 AMPLIACIÓN EL SANTUARIO  IZTAPALAPA  CP 09829 CIUDAD DE MÉXICO</v>
          </cell>
          <cell r="K211">
            <v>0</v>
          </cell>
          <cell r="L211" t="str">
            <v>ACTIVO</v>
          </cell>
          <cell r="M211" t="str">
            <v>SOLTERO/A</v>
          </cell>
          <cell r="N211" t="str">
            <v/>
          </cell>
          <cell r="O211" t="str">
            <v/>
          </cell>
          <cell r="P211" t="str">
            <v/>
          </cell>
          <cell r="Q211" t="str">
            <v>2023-01-01 00:00:00.000Z</v>
          </cell>
          <cell r="R211" t="str">
            <v>2023-01-02 00:00:00.000Z</v>
          </cell>
          <cell r="S211" t="str">
            <v>1981-11-08 00:00:00.000Z</v>
          </cell>
          <cell r="T211" t="str">
            <v>837y8gnv3bc60hi</v>
          </cell>
          <cell r="U211" t="str">
            <v xml:space="preserve">TORRES CRUZ MARIA GUADALUPE </v>
          </cell>
          <cell r="V211" t="str">
            <v>42978111989</v>
          </cell>
          <cell r="W211" t="str">
            <v>CIUDAD DE MEXICO</v>
          </cell>
          <cell r="X211" t="str">
            <v/>
          </cell>
          <cell r="Y211" t="str">
            <v/>
          </cell>
          <cell r="Z211" t="str">
            <v>TOCG811108128</v>
          </cell>
          <cell r="AA211" t="str">
            <v>DERMOCONSEJO</v>
          </cell>
          <cell r="AB211" t="str">
            <v>MUJER</v>
          </cell>
          <cell r="AC211">
            <v>580.36283426903196</v>
          </cell>
          <cell r="AD211" t="str">
            <v/>
          </cell>
          <cell r="AE211" t="str">
            <v/>
          </cell>
          <cell r="AF211" t="str">
            <v>5548850887</v>
          </cell>
          <cell r="AG211" t="str">
            <v>CDMX</v>
          </cell>
          <cell r="AH211">
            <v>0</v>
          </cell>
        </row>
        <row r="212">
          <cell r="A212">
            <v>375</v>
          </cell>
          <cell r="B212" t="str">
            <v>w9dqy2wz4o5mxe8</v>
          </cell>
          <cell r="C212" t="str">
            <v>BTL-DC-375</v>
          </cell>
          <cell r="D212" t="str">
            <v>72595</v>
          </cell>
          <cell r="E212" t="str">
            <v>yjtorreamaceda@gmail.com</v>
          </cell>
          <cell r="F212" t="str">
            <v>TOMY900615MPLRCR05</v>
          </cell>
          <cell r="G212" t="str">
            <v/>
          </cell>
          <cell r="H212" t="str">
            <v/>
          </cell>
          <cell r="I212" t="str">
            <v/>
          </cell>
          <cell r="J212" t="str">
            <v>FRAY JUAN DE CEPEDA 2609 TRES CRUCES  PUEBLA CP 72595 PUEBLA</v>
          </cell>
          <cell r="K212">
            <v>0</v>
          </cell>
          <cell r="L212" t="str">
            <v>ACTIVO</v>
          </cell>
          <cell r="M212" t="str">
            <v>SOLTERO/A</v>
          </cell>
          <cell r="N212" t="str">
            <v/>
          </cell>
          <cell r="O212" t="str">
            <v/>
          </cell>
          <cell r="P212" t="str">
            <v/>
          </cell>
          <cell r="Q212" t="str">
            <v>2024-10-16 00:00:00.000Z</v>
          </cell>
          <cell r="R212" t="str">
            <v>2024-10-16 00:00:00.000Z</v>
          </cell>
          <cell r="S212" t="str">
            <v>1990-06-15 00:00:00.000Z</v>
          </cell>
          <cell r="T212" t="str">
            <v>28ds5q902981796</v>
          </cell>
          <cell r="U212" t="str">
            <v xml:space="preserve">TORRES MACEDA YIREH JANAI </v>
          </cell>
          <cell r="V212" t="str">
            <v>48129017322</v>
          </cell>
          <cell r="W212" t="str">
            <v>PUEBLA</v>
          </cell>
          <cell r="X212" t="str">
            <v/>
          </cell>
          <cell r="Y212" t="str">
            <v/>
          </cell>
          <cell r="Z212" t="str">
            <v>TOMY900615QA4</v>
          </cell>
          <cell r="AA212" t="str">
            <v>DERMOCONSEJO</v>
          </cell>
          <cell r="AB212" t="str">
            <v>MUJER</v>
          </cell>
          <cell r="AC212">
            <v>672.90803570626497</v>
          </cell>
          <cell r="AD212" t="str">
            <v/>
          </cell>
          <cell r="AE212" t="str">
            <v/>
          </cell>
          <cell r="AF212" t="str">
            <v>2212209808</v>
          </cell>
          <cell r="AG212" t="str">
            <v>PUEBLA</v>
          </cell>
          <cell r="AH212">
            <v>0</v>
          </cell>
        </row>
        <row r="213">
          <cell r="A213">
            <v>26</v>
          </cell>
          <cell r="B213" t="str">
            <v>w9dqy2wz4o5mxe8</v>
          </cell>
          <cell r="C213" t="str">
            <v>BTL-DC-26</v>
          </cell>
          <cell r="D213" t="str">
            <v>66359</v>
          </cell>
          <cell r="E213" t="str">
            <v>chapistovar1672@gmail.com</v>
          </cell>
          <cell r="F213" t="str">
            <v>TORE720816MNLVZROO</v>
          </cell>
          <cell r="G213" t="str">
            <v/>
          </cell>
          <cell r="H213" t="str">
            <v/>
          </cell>
          <cell r="I213" t="str">
            <v/>
          </cell>
          <cell r="J213" t="str">
            <v>CÓRDOBA #3111  PUERTA DE LAS MITRAS  SANTA CATARINA  CP 66359 NUEVO LEÓN</v>
          </cell>
          <cell r="K213">
            <v>0</v>
          </cell>
          <cell r="L213" t="str">
            <v>ACTIVO</v>
          </cell>
          <cell r="M213" t="str">
            <v>CASADO/A</v>
          </cell>
          <cell r="N213" t="str">
            <v/>
          </cell>
          <cell r="O213" t="str">
            <v/>
          </cell>
          <cell r="P213" t="str">
            <v/>
          </cell>
          <cell r="Q213" t="str">
            <v>2020-10-01 00:00:00.000Z</v>
          </cell>
          <cell r="R213" t="str">
            <v>2020-07-01 00:00:00.000Z</v>
          </cell>
          <cell r="S213" t="str">
            <v>1972-08-16 00:00:00.000Z</v>
          </cell>
          <cell r="T213" t="str">
            <v>p9qyx57n08f2069</v>
          </cell>
          <cell r="U213" t="str">
            <v xml:space="preserve">TOVAR RUIZ ERIKA </v>
          </cell>
          <cell r="V213" t="str">
            <v>47907245097</v>
          </cell>
          <cell r="W213" t="str">
            <v>NUEVO LEON</v>
          </cell>
          <cell r="X213" t="str">
            <v/>
          </cell>
          <cell r="Y213" t="str">
            <v/>
          </cell>
          <cell r="Z213" t="str">
            <v>TORE720816GF3</v>
          </cell>
          <cell r="AA213" t="str">
            <v>DERMOCONSEJO</v>
          </cell>
          <cell r="AB213" t="str">
            <v>MUJER</v>
          </cell>
          <cell r="AC213">
            <v>558.04140332360203</v>
          </cell>
          <cell r="AD213" t="str">
            <v/>
          </cell>
          <cell r="AE213" t="str">
            <v/>
          </cell>
          <cell r="AF213" t="str">
            <v>8132733919</v>
          </cell>
          <cell r="AG213" t="str">
            <v>MTY</v>
          </cell>
          <cell r="AH213">
            <v>0</v>
          </cell>
        </row>
        <row r="214">
          <cell r="A214">
            <v>505</v>
          </cell>
          <cell r="B214" t="str">
            <v>w9dqy2wz4o5mxe8</v>
          </cell>
          <cell r="C214" t="str">
            <v>BTL-DC-505</v>
          </cell>
          <cell r="D214" t="str">
            <v>09690</v>
          </cell>
          <cell r="E214" t="str">
            <v>susanuri78@gmail.com</v>
          </cell>
          <cell r="F214" t="str">
            <v>UIMS780811MDFRRS04</v>
          </cell>
          <cell r="G214" t="str">
            <v/>
          </cell>
          <cell r="H214" t="str">
            <v/>
          </cell>
          <cell r="I214" t="str">
            <v/>
          </cell>
          <cell r="J214" t="str">
            <v>C. FRONTERA  COL. MIGUEL DE LA MADRID C.P. 09690 IZTAPALAPA, CDMX.</v>
          </cell>
          <cell r="K214">
            <v>0</v>
          </cell>
          <cell r="L214" t="str">
            <v>ACTIVO</v>
          </cell>
          <cell r="M214" t="str">
            <v>SOLTERO/A</v>
          </cell>
          <cell r="N214" t="str">
            <v/>
          </cell>
          <cell r="O214" t="str">
            <v/>
          </cell>
          <cell r="P214" t="str">
            <v/>
          </cell>
          <cell r="Q214" t="str">
            <v>2025-08-08 00:00:00.000Z</v>
          </cell>
          <cell r="R214" t="str">
            <v>2025-08-08 00:00:00.000Z</v>
          </cell>
          <cell r="S214" t="str">
            <v>1978-08-11 00:00:00.000Z</v>
          </cell>
          <cell r="T214" t="str">
            <v>11a774g4tao4hy5</v>
          </cell>
          <cell r="U214" t="str">
            <v>URIZAR MARTINEZ SUSANA</v>
          </cell>
          <cell r="V214" t="str">
            <v>45117800883</v>
          </cell>
          <cell r="W214" t="str">
            <v>CIUDAD DE MEXICO</v>
          </cell>
          <cell r="X214" t="str">
            <v/>
          </cell>
          <cell r="Y214" t="str">
            <v/>
          </cell>
          <cell r="Z214" t="str">
            <v>UIMS780811E41</v>
          </cell>
          <cell r="AA214" t="str">
            <v>DERMOCONSEJO</v>
          </cell>
          <cell r="AB214" t="str">
            <v>MUJER</v>
          </cell>
          <cell r="AC214">
            <v>586.76064540759</v>
          </cell>
          <cell r="AD214" t="str">
            <v/>
          </cell>
          <cell r="AE214" t="str">
            <v/>
          </cell>
          <cell r="AF214" t="str">
            <v>5634440841</v>
          </cell>
          <cell r="AG214" t="str">
            <v>CDMX</v>
          </cell>
          <cell r="AH214">
            <v>0</v>
          </cell>
        </row>
        <row r="215">
          <cell r="A215">
            <v>243</v>
          </cell>
          <cell r="B215" t="str">
            <v>w9dqy2wz4o5mxe8</v>
          </cell>
          <cell r="C215" t="str">
            <v>BTL-DC-243</v>
          </cell>
          <cell r="D215" t="str">
            <v>01700</v>
          </cell>
          <cell r="E215" t="str">
            <v>susanavalverde172824@gmail.com</v>
          </cell>
          <cell r="F215" t="str">
            <v>VANS831124MDFLXS06</v>
          </cell>
          <cell r="G215" t="str">
            <v/>
          </cell>
          <cell r="H215" t="str">
            <v/>
          </cell>
          <cell r="I215" t="str">
            <v/>
          </cell>
          <cell r="J215" t="str">
            <v>ANDADOR FRESNOTITLA 27 B TETELPAN  ÁLVARO OBREGÓN  CP 01700 CIUDAD DE MÉXICO</v>
          </cell>
          <cell r="K215">
            <v>0</v>
          </cell>
          <cell r="L215" t="str">
            <v>ACTIVO</v>
          </cell>
          <cell r="M215" t="str">
            <v>SOLTERO/A</v>
          </cell>
          <cell r="N215" t="str">
            <v/>
          </cell>
          <cell r="O215" t="str">
            <v/>
          </cell>
          <cell r="P215" t="str">
            <v/>
          </cell>
          <cell r="Q215" t="str">
            <v>2024-01-05 00:00:00.000Z</v>
          </cell>
          <cell r="R215" t="str">
            <v>2024-01-05 00:00:00.000Z</v>
          </cell>
          <cell r="S215" t="str">
            <v>1983-11-24 00:00:00.000Z</v>
          </cell>
          <cell r="T215" t="str">
            <v>5fo1i06bw9jz2xs</v>
          </cell>
          <cell r="U215" t="str">
            <v xml:space="preserve">VALVERDE NUÑEZ SUSANA </v>
          </cell>
          <cell r="V215" t="str">
            <v>39028326336</v>
          </cell>
          <cell r="W215" t="str">
            <v>CIUDAD DE MEXICO</v>
          </cell>
          <cell r="X215" t="str">
            <v/>
          </cell>
          <cell r="Y215" t="str">
            <v/>
          </cell>
          <cell r="Z215" t="str">
            <v>VANS8311248V7</v>
          </cell>
          <cell r="AA215" t="str">
            <v>DERMOCONSEJO</v>
          </cell>
          <cell r="AB215" t="str">
            <v>MUJER</v>
          </cell>
          <cell r="AC215">
            <v>646.59759257622602</v>
          </cell>
          <cell r="AD215" t="str">
            <v/>
          </cell>
          <cell r="AE215" t="str">
            <v/>
          </cell>
          <cell r="AF215" t="str">
            <v>5612693879</v>
          </cell>
          <cell r="AG215" t="str">
            <v>CDMX</v>
          </cell>
          <cell r="AH215">
            <v>0</v>
          </cell>
        </row>
        <row r="216">
          <cell r="A216">
            <v>374</v>
          </cell>
          <cell r="B216" t="str">
            <v>w9dqy2wz4o5mxe8</v>
          </cell>
          <cell r="C216" t="str">
            <v>BTL-DC-374</v>
          </cell>
          <cell r="D216" t="str">
            <v>62010</v>
          </cell>
          <cell r="E216" t="str">
            <v>varnay05@hotmail.com</v>
          </cell>
          <cell r="F216" t="str">
            <v>VAVC790505MMSRRR07</v>
          </cell>
          <cell r="G216" t="str">
            <v/>
          </cell>
          <cell r="H216" t="str">
            <v/>
          </cell>
          <cell r="I216" t="str">
            <v/>
          </cell>
          <cell r="J216" t="str">
            <v>PRIMERA PRIVADA DE LERDO DE TEJADA #13 ALTAVISTA  CUERNAVACA  CP 62010 MORELOS</v>
          </cell>
          <cell r="K216">
            <v>0</v>
          </cell>
          <cell r="L216" t="str">
            <v>ACTIVO</v>
          </cell>
          <cell r="M216" t="str">
            <v>CASADO/A</v>
          </cell>
          <cell r="N216" t="str">
            <v/>
          </cell>
          <cell r="O216" t="str">
            <v/>
          </cell>
          <cell r="P216" t="str">
            <v/>
          </cell>
          <cell r="Q216" t="str">
            <v>2024-10-09 00:00:00.000Z</v>
          </cell>
          <cell r="R216" t="str">
            <v>2024-10-09 00:00:00.000Z</v>
          </cell>
          <cell r="S216" t="str">
            <v>1979-05-05 00:00:00.000Z</v>
          </cell>
          <cell r="T216" t="str">
            <v>29a8e302brxk597</v>
          </cell>
          <cell r="U216" t="str">
            <v xml:space="preserve">VARGAS VARGAS CARMEN NAYELLI </v>
          </cell>
          <cell r="V216" t="str">
            <v>15027906989</v>
          </cell>
          <cell r="W216" t="str">
            <v>MORELOS</v>
          </cell>
          <cell r="X216" t="str">
            <v/>
          </cell>
          <cell r="Y216" t="str">
            <v/>
          </cell>
          <cell r="Z216" t="str">
            <v>VAVC790505294</v>
          </cell>
          <cell r="AA216" t="str">
            <v>DERMOCONSEJO</v>
          </cell>
          <cell r="AB216" t="str">
            <v>MUJER</v>
          </cell>
          <cell r="AC216">
            <v>694.93787940714105</v>
          </cell>
          <cell r="AD216" t="str">
            <v/>
          </cell>
          <cell r="AE216" t="str">
            <v/>
          </cell>
          <cell r="AF216" t="str">
            <v>5653058482</v>
          </cell>
          <cell r="AG216" t="str">
            <v>CUERNAVACA</v>
          </cell>
          <cell r="AH216">
            <v>0</v>
          </cell>
        </row>
        <row r="217">
          <cell r="A217">
            <v>146</v>
          </cell>
          <cell r="B217" t="str">
            <v>w9dqy2wz4o5mxe8</v>
          </cell>
          <cell r="C217" t="str">
            <v>BTL-DC-146</v>
          </cell>
          <cell r="D217" t="str">
            <v>20263</v>
          </cell>
          <cell r="E217" t="str">
            <v>arletvazquez54@gmail.com</v>
          </cell>
          <cell r="F217" t="str">
            <v>VXCA970128MASZML03</v>
          </cell>
          <cell r="G217" t="str">
            <v/>
          </cell>
          <cell r="H217" t="str">
            <v/>
          </cell>
          <cell r="I217" t="str">
            <v/>
          </cell>
          <cell r="J217" t="str">
            <v>JOSÉ JOAQUÍN HERRERA 136 SOLIDARIDAD 3 AGUASCALIENTES CP 20263 AGUASCALIENTES</v>
          </cell>
          <cell r="K217">
            <v>0</v>
          </cell>
          <cell r="L217" t="str">
            <v>ACTIVO</v>
          </cell>
          <cell r="M217" t="str">
            <v>SOLTERO/A</v>
          </cell>
          <cell r="N217" t="str">
            <v/>
          </cell>
          <cell r="O217" t="str">
            <v/>
          </cell>
          <cell r="P217" t="str">
            <v/>
          </cell>
          <cell r="Q217" t="str">
            <v>2023-02-28 00:00:00.000Z</v>
          </cell>
          <cell r="R217" t="str">
            <v>2023-02-20 00:00:00.000Z</v>
          </cell>
          <cell r="S217" t="str">
            <v>1997-01-28 00:00:00.000Z</v>
          </cell>
          <cell r="T217" t="str">
            <v>b2gv81466dks537</v>
          </cell>
          <cell r="U217" t="str">
            <v xml:space="preserve">VAZQUEZ CAMPOS ALONDRA ARLETTE </v>
          </cell>
          <cell r="V217" t="str">
            <v>44169752928</v>
          </cell>
          <cell r="W217" t="str">
            <v>AGUASCALIENTES</v>
          </cell>
          <cell r="X217" t="str">
            <v/>
          </cell>
          <cell r="Y217" t="str">
            <v/>
          </cell>
          <cell r="Z217" t="str">
            <v>VACA970128DM9</v>
          </cell>
          <cell r="AA217" t="str">
            <v>DERMOCONSEJO</v>
          </cell>
          <cell r="AB217" t="str">
            <v>MUJER</v>
          </cell>
          <cell r="AC217">
            <v>562.42527105322199</v>
          </cell>
          <cell r="AD217" t="str">
            <v/>
          </cell>
          <cell r="AE217" t="str">
            <v/>
          </cell>
          <cell r="AF217" t="str">
            <v>4494051676</v>
          </cell>
          <cell r="AG217" t="str">
            <v>AGS</v>
          </cell>
          <cell r="AH217">
            <v>0</v>
          </cell>
        </row>
        <row r="218">
          <cell r="A218">
            <v>74</v>
          </cell>
          <cell r="B218" t="str">
            <v>w9dqy2wz4o5mxe8</v>
          </cell>
          <cell r="C218" t="str">
            <v>BTL-DC-74</v>
          </cell>
          <cell r="D218" t="str">
            <v>64330</v>
          </cell>
          <cell r="E218" t="str">
            <v>mayelavegaramirez74@gmail.com</v>
          </cell>
          <cell r="F218" t="str">
            <v>VERM740104MNLGMY05</v>
          </cell>
          <cell r="G218" t="str">
            <v/>
          </cell>
          <cell r="H218" t="str">
            <v/>
          </cell>
          <cell r="I218" t="str">
            <v/>
          </cell>
          <cell r="J218" t="str">
            <v>CHOPOS NTE # 56 INDECO MONTERREY CP 64330 NUEVO LEÓN</v>
          </cell>
          <cell r="K218">
            <v>0</v>
          </cell>
          <cell r="L218" t="str">
            <v>ACTIVO</v>
          </cell>
          <cell r="M218" t="str">
            <v>CASADO/A</v>
          </cell>
          <cell r="N218" t="str">
            <v/>
          </cell>
          <cell r="O218" t="str">
            <v/>
          </cell>
          <cell r="P218" t="str">
            <v/>
          </cell>
          <cell r="Q218" t="str">
            <v>2022-07-05 00:00:00.000Z</v>
          </cell>
          <cell r="R218" t="str">
            <v>2022-07-04 00:00:00.000Z</v>
          </cell>
          <cell r="S218" t="str">
            <v>1974-01-04 00:00:00.000Z</v>
          </cell>
          <cell r="T218" t="str">
            <v>31019qo4zun67q6</v>
          </cell>
          <cell r="U218" t="str">
            <v xml:space="preserve">VEGA RAMIREZ MAYELA </v>
          </cell>
          <cell r="V218" t="str">
            <v>43047402730</v>
          </cell>
          <cell r="W218" t="str">
            <v>NUEVO LEON</v>
          </cell>
          <cell r="X218" t="str">
            <v/>
          </cell>
          <cell r="Y218" t="str">
            <v/>
          </cell>
          <cell r="Z218" t="str">
            <v>VERM7401048B1</v>
          </cell>
          <cell r="AA218" t="str">
            <v>DERMOCONSEJO</v>
          </cell>
          <cell r="AB218" t="str">
            <v>MUJER</v>
          </cell>
          <cell r="AC218">
            <v>547.41217853132696</v>
          </cell>
          <cell r="AD218" t="str">
            <v/>
          </cell>
          <cell r="AE218" t="str">
            <v/>
          </cell>
          <cell r="AF218" t="str">
            <v>8127616363</v>
          </cell>
          <cell r="AG218" t="str">
            <v>MTY</v>
          </cell>
          <cell r="AH218">
            <v>0</v>
          </cell>
        </row>
        <row r="219">
          <cell r="A219">
            <v>371</v>
          </cell>
          <cell r="B219" t="str">
            <v>w9dqy2wz4o5mxe8</v>
          </cell>
          <cell r="C219" t="str">
            <v>BTL-DC-371</v>
          </cell>
          <cell r="D219" t="str">
            <v>22564</v>
          </cell>
          <cell r="E219" t="str">
            <v>anayelivelasco2703@gmail.com</v>
          </cell>
          <cell r="F219" t="str">
            <v>VEFA850327MVZLRN01</v>
          </cell>
          <cell r="G219" t="str">
            <v/>
          </cell>
          <cell r="H219" t="str">
            <v/>
          </cell>
          <cell r="I219" t="str">
            <v/>
          </cell>
          <cell r="J219" t="str">
            <v>BLVD.DON ALBERTO #4739 PRIVADA LILYS #3  URBI QUINTA DEL CEDRO SEGUNDA SECCIÓN  TIJUANA BAJA CALIFORNIA  CP 22564 BAJA CALIFORNIA</v>
          </cell>
          <cell r="K219">
            <v>0</v>
          </cell>
          <cell r="L219" t="str">
            <v>ACTIVO</v>
          </cell>
          <cell r="M219" t="str">
            <v>CASADO/A</v>
          </cell>
          <cell r="N219" t="str">
            <v/>
          </cell>
          <cell r="O219" t="str">
            <v/>
          </cell>
          <cell r="P219" t="str">
            <v/>
          </cell>
          <cell r="Q219" t="str">
            <v>2024-10-07 00:00:00.000Z</v>
          </cell>
          <cell r="R219" t="str">
            <v>2024-10-07 00:00:00.000Z</v>
          </cell>
          <cell r="S219" t="str">
            <v>2026-03-27 00:00:00.000Z</v>
          </cell>
          <cell r="T219" t="str">
            <v>5cw2owm7dlqbw3p</v>
          </cell>
          <cell r="U219" t="str">
            <v xml:space="preserve">VELASCO FERNANDEZ ANAYELI </v>
          </cell>
          <cell r="V219" t="str">
            <v>65008502711</v>
          </cell>
          <cell r="W219" t="str">
            <v>VERACRUZ</v>
          </cell>
          <cell r="X219" t="str">
            <v/>
          </cell>
          <cell r="Y219" t="str">
            <v/>
          </cell>
          <cell r="Z219" t="str">
            <v>VEFA850327R77</v>
          </cell>
          <cell r="AA219" t="str">
            <v>DERMOCONSEJO</v>
          </cell>
          <cell r="AB219" t="str">
            <v>MUJER</v>
          </cell>
          <cell r="AC219">
            <v>827.41190590612996</v>
          </cell>
          <cell r="AD219" t="str">
            <v/>
          </cell>
          <cell r="AE219" t="str">
            <v/>
          </cell>
          <cell r="AF219" t="str">
            <v>6631099531</v>
          </cell>
          <cell r="AG219" t="str">
            <v>TIJUANA</v>
          </cell>
          <cell r="AH219">
            <v>0</v>
          </cell>
        </row>
        <row r="220">
          <cell r="A220">
            <v>558</v>
          </cell>
          <cell r="B220" t="str">
            <v>w9dqy2wz4o5mxe8</v>
          </cell>
          <cell r="C220" t="str">
            <v>BTL-DC-558</v>
          </cell>
          <cell r="D220" t="str">
            <v>01830</v>
          </cell>
          <cell r="E220" t="str">
            <v>arikso3vera@gmail.com</v>
          </cell>
          <cell r="F220" t="str">
            <v>VEDS920718MDFRRR09</v>
          </cell>
          <cell r="G220" t="str">
            <v/>
          </cell>
          <cell r="H220" t="str">
            <v/>
          </cell>
          <cell r="I220" t="str">
            <v/>
          </cell>
          <cell r="J220" t="str">
            <v>CALZADA DESIERTO DE LOS LEONES #50, SANTA ROSA XOCHIAC, ÁLVARO OBREGÓN, CP 1830, CIUDAD DE MÉXICO</v>
          </cell>
          <cell r="K220">
            <v>0</v>
          </cell>
          <cell r="L220" t="str">
            <v>ACTIVO</v>
          </cell>
          <cell r="M220" t="str">
            <v>CASADO/A</v>
          </cell>
          <cell r="N220" t="str">
            <v/>
          </cell>
          <cell r="O220" t="str">
            <v/>
          </cell>
          <cell r="P220" t="str">
            <v/>
          </cell>
          <cell r="Q220" t="str">
            <v>2026-01-15 00:00:00.000Z</v>
          </cell>
          <cell r="R220" t="str">
            <v>2026-01-15 00:00:00.000Z</v>
          </cell>
          <cell r="S220" t="str">
            <v>1992-07-18 00:00:00.000Z</v>
          </cell>
          <cell r="T220" t="str">
            <v>jbtnc35w8jv76ee</v>
          </cell>
          <cell r="U220" t="str">
            <v>VERA DORADO SARAHI</v>
          </cell>
          <cell r="V220" t="str">
            <v>39089205098</v>
          </cell>
          <cell r="W220" t="str">
            <v>CIUDAD DE MEXICO</v>
          </cell>
          <cell r="X220" t="str">
            <v/>
          </cell>
          <cell r="Y220" t="str">
            <v/>
          </cell>
          <cell r="Z220" t="str">
            <v>VEDS920718NK7</v>
          </cell>
          <cell r="AA220" t="str">
            <v>DERMOCONSEJO</v>
          </cell>
          <cell r="AB220" t="str">
            <v>MUJER</v>
          </cell>
          <cell r="AC220">
            <v>330.576219178082</v>
          </cell>
          <cell r="AD220" t="str">
            <v/>
          </cell>
          <cell r="AE220" t="str">
            <v/>
          </cell>
          <cell r="AF220" t="str">
            <v>5626765342</v>
          </cell>
          <cell r="AG220" t="str">
            <v>CDMX</v>
          </cell>
          <cell r="AH220">
            <v>0</v>
          </cell>
        </row>
        <row r="221">
          <cell r="A221">
            <v>327</v>
          </cell>
          <cell r="B221" t="str">
            <v>w9dqy2wz4o5mxe8</v>
          </cell>
          <cell r="C221" t="str">
            <v>BTL-DC-327</v>
          </cell>
          <cell r="D221" t="str">
            <v>09890</v>
          </cell>
          <cell r="E221" t="str">
            <v>angie.v.a1408@gmail</v>
          </cell>
          <cell r="F221" t="str">
            <v>VIAA740814MDFLNN01</v>
          </cell>
          <cell r="G221" t="str">
            <v/>
          </cell>
          <cell r="H221" t="str">
            <v/>
          </cell>
          <cell r="I221" t="str">
            <v/>
          </cell>
          <cell r="J221" t="str">
            <v>PROL. MORELOS 530  LOMAS ESTRELLA IZTAPALAPA CP 09890 CIUDAD DE MÉXICO</v>
          </cell>
          <cell r="K221">
            <v>0</v>
          </cell>
          <cell r="L221" t="str">
            <v>ACTIVO</v>
          </cell>
          <cell r="M221" t="str">
            <v>CASADO/A</v>
          </cell>
          <cell r="N221" t="str">
            <v/>
          </cell>
          <cell r="O221" t="str">
            <v/>
          </cell>
          <cell r="P221" t="str">
            <v/>
          </cell>
          <cell r="Q221" t="str">
            <v>2024-06-18 00:00:00.000Z</v>
          </cell>
          <cell r="R221" t="str">
            <v>2024-06-18 00:00:00.000Z</v>
          </cell>
          <cell r="S221" t="str">
            <v>1974-08-14 00:00:00.000Z</v>
          </cell>
          <cell r="T221" t="str">
            <v>7el02099hs8d8c1</v>
          </cell>
          <cell r="U221" t="str">
            <v xml:space="preserve">VILLANUEVA ANGELES ANGELICA </v>
          </cell>
          <cell r="V221" t="str">
            <v>90997406245</v>
          </cell>
          <cell r="W221" t="str">
            <v>CIUDAD DE MEXICO</v>
          </cell>
          <cell r="X221" t="str">
            <v/>
          </cell>
          <cell r="Y221" t="str">
            <v/>
          </cell>
          <cell r="Z221" t="str">
            <v>VIAA740814PP8</v>
          </cell>
          <cell r="AA221" t="str">
            <v>DERMOCONSEJO</v>
          </cell>
          <cell r="AB221" t="str">
            <v>MUJER</v>
          </cell>
          <cell r="AC221">
            <v>613.29115046036304</v>
          </cell>
          <cell r="AD221" t="str">
            <v/>
          </cell>
          <cell r="AE221" t="str">
            <v/>
          </cell>
          <cell r="AF221" t="str">
            <v>5544623563</v>
          </cell>
          <cell r="AG221" t="str">
            <v>CDMX</v>
          </cell>
          <cell r="AH221">
            <v>0</v>
          </cell>
        </row>
        <row r="222">
          <cell r="A222">
            <v>208</v>
          </cell>
          <cell r="B222" t="str">
            <v>w9dqy2wz4o5mxe8</v>
          </cell>
          <cell r="C222" t="str">
            <v>BTL-DC-208</v>
          </cell>
          <cell r="D222" t="str">
            <v>72767</v>
          </cell>
          <cell r="E222" t="str">
            <v>sebaszacary25@gmail.com</v>
          </cell>
          <cell r="F222" t="str">
            <v>ZADS830225MPLCNB02</v>
          </cell>
          <cell r="G222" t="str">
            <v/>
          </cell>
          <cell r="H222" t="str">
            <v/>
          </cell>
          <cell r="I222" t="str">
            <v/>
          </cell>
          <cell r="J222" t="str">
            <v>CALLE 5 DICIEMBRE NÚMERO 208 SAN MATÍAS COCOYOTLA  SAN PEDRO CHOLULA  CP 72767 PUEBLA</v>
          </cell>
          <cell r="K222">
            <v>0</v>
          </cell>
          <cell r="L222" t="str">
            <v>ACTIVO</v>
          </cell>
          <cell r="M222" t="str">
            <v>SOLTERO/A</v>
          </cell>
          <cell r="N222" t="str">
            <v/>
          </cell>
          <cell r="O222" t="str">
            <v/>
          </cell>
          <cell r="P222" t="str">
            <v/>
          </cell>
          <cell r="Q222" t="str">
            <v>2023-09-20 00:00:00.000Z</v>
          </cell>
          <cell r="R222" t="str">
            <v>2023-09-20 00:00:00.000Z</v>
          </cell>
          <cell r="S222" t="str">
            <v>1983-02-25 00:00:00.000Z</v>
          </cell>
          <cell r="T222" t="str">
            <v>rkzo0w32ccr5370</v>
          </cell>
          <cell r="U222" t="str">
            <v xml:space="preserve">ZACARIAS DANIEL SEBASTIANA </v>
          </cell>
          <cell r="V222" t="str">
            <v>02228382855</v>
          </cell>
          <cell r="W222" t="str">
            <v>PUEBLA</v>
          </cell>
          <cell r="X222" t="str">
            <v/>
          </cell>
          <cell r="Y222" t="str">
            <v/>
          </cell>
          <cell r="Z222" t="str">
            <v>ZADS8302256I8</v>
          </cell>
          <cell r="AA222" t="str">
            <v>DERMOCONSEJO</v>
          </cell>
          <cell r="AB222" t="str">
            <v>MUJER</v>
          </cell>
          <cell r="AC222">
            <v>602.64232023354998</v>
          </cell>
          <cell r="AD222" t="str">
            <v/>
          </cell>
          <cell r="AE222" t="str">
            <v/>
          </cell>
          <cell r="AF222" t="str">
            <v>2212309104</v>
          </cell>
          <cell r="AG222" t="str">
            <v>PUEBLA</v>
          </cell>
          <cell r="AH222">
            <v>0</v>
          </cell>
        </row>
        <row r="223">
          <cell r="A223">
            <v>98</v>
          </cell>
          <cell r="B223" t="str">
            <v>w9dqy2wz4o5mxe8</v>
          </cell>
          <cell r="C223" t="str">
            <v>BTL-DC-98</v>
          </cell>
          <cell r="D223" t="str">
            <v>01859</v>
          </cell>
          <cell r="E223" t="str">
            <v>emmazarag@gmail.com</v>
          </cell>
          <cell r="F223" t="str">
            <v>ZARE760602MDFRMM03</v>
          </cell>
          <cell r="G223" t="str">
            <v/>
          </cell>
          <cell r="H223" t="str">
            <v/>
          </cell>
          <cell r="I223" t="str">
            <v/>
          </cell>
          <cell r="J223" t="str">
            <v>2 CERRADA DE MAGUEYES LT 10 A MZ 37 TLACOYAQUE ALVARO OBREGÓN  CP 01859 CIUDAD DE MÉXICO</v>
          </cell>
          <cell r="K223">
            <v>0</v>
          </cell>
          <cell r="L223" t="str">
            <v>ACTIVO</v>
          </cell>
          <cell r="M223" t="str">
            <v>SOLTERO/A</v>
          </cell>
          <cell r="N223" t="str">
            <v/>
          </cell>
          <cell r="O223" t="str">
            <v/>
          </cell>
          <cell r="P223" t="str">
            <v/>
          </cell>
          <cell r="Q223" t="str">
            <v>2022-09-22 00:00:00.000Z</v>
          </cell>
          <cell r="R223" t="str">
            <v>2022-09-21 00:00:00.000Z</v>
          </cell>
          <cell r="S223" t="str">
            <v>1976-06-02 00:00:00.000Z</v>
          </cell>
          <cell r="T223" t="str">
            <v>107cu9f86r15g0l</v>
          </cell>
          <cell r="U223" t="str">
            <v xml:space="preserve">ZARAGOZA RAMIREZ EMMA </v>
          </cell>
          <cell r="V223" t="str">
            <v>68937607304</v>
          </cell>
          <cell r="W223" t="str">
            <v>CIUDAD DE MEXICO</v>
          </cell>
          <cell r="X223" t="str">
            <v/>
          </cell>
          <cell r="Y223" t="str">
            <v/>
          </cell>
          <cell r="Z223" t="str">
            <v>ZARE7606028C4</v>
          </cell>
          <cell r="AA223" t="str">
            <v>DERMOCONSEJO</v>
          </cell>
          <cell r="AB223" t="str">
            <v>MUJER</v>
          </cell>
          <cell r="AC223">
            <v>494.70562115427799</v>
          </cell>
          <cell r="AD223" t="str">
            <v/>
          </cell>
          <cell r="AE223" t="str">
            <v/>
          </cell>
          <cell r="AF223" t="str">
            <v>5518615706</v>
          </cell>
          <cell r="AG223" t="str">
            <v>CDMX</v>
          </cell>
          <cell r="AH223">
            <v>0</v>
          </cell>
        </row>
        <row r="224">
          <cell r="A224">
            <v>414</v>
          </cell>
          <cell r="B224" t="str">
            <v>w9dqy2wz4o5mxe8</v>
          </cell>
          <cell r="C224" t="str">
            <v>BTL-DC-414</v>
          </cell>
          <cell r="D224" t="str">
            <v>07010</v>
          </cell>
          <cell r="E224" t="str">
            <v>chiquilucasbaby@hotmail.com</v>
          </cell>
          <cell r="F224" t="str">
            <v>ZARJ960810HDFVSL02</v>
          </cell>
          <cell r="G224" t="str">
            <v/>
          </cell>
          <cell r="H224" t="str">
            <v/>
          </cell>
          <cell r="I224" t="str">
            <v/>
          </cell>
          <cell r="J224" t="str">
            <v>AHUIZOTL , MZ 37 LT 20 SANTA ISABEL TOLA GUSTAVO A. MADERO CP 07010 CIUDAD DE MÉXICO</v>
          </cell>
          <cell r="K224">
            <v>0</v>
          </cell>
          <cell r="L224" t="str">
            <v>ACTIVO</v>
          </cell>
          <cell r="M224" t="str">
            <v>CASADO/A</v>
          </cell>
          <cell r="N224" t="str">
            <v/>
          </cell>
          <cell r="O224" t="str">
            <v/>
          </cell>
          <cell r="P224" t="str">
            <v/>
          </cell>
          <cell r="Q224" t="str">
            <v>2025-01-15 00:00:00.000Z</v>
          </cell>
          <cell r="R224" t="str">
            <v>2025-01-15 00:00:00.000Z</v>
          </cell>
          <cell r="S224" t="str">
            <v>1996-07-10 00:00:00.000Z</v>
          </cell>
          <cell r="T224" t="str">
            <v>k3rmuu4kg151j6p</v>
          </cell>
          <cell r="U224" t="str">
            <v xml:space="preserve">ZAVALA ROSALES JULIO CESAR </v>
          </cell>
          <cell r="V224" t="str">
            <v>35169648645</v>
          </cell>
          <cell r="W224" t="str">
            <v>CIUDAD DE MEXICO</v>
          </cell>
          <cell r="X224" t="str">
            <v/>
          </cell>
          <cell r="Y224" t="str">
            <v/>
          </cell>
          <cell r="Z224" t="str">
            <v>ZARJ960710NJ6</v>
          </cell>
          <cell r="AA224" t="str">
            <v>DERMOCONSEJO</v>
          </cell>
          <cell r="AB224" t="str">
            <v>HOMBRE</v>
          </cell>
          <cell r="AC224">
            <v>577.98967505052701</v>
          </cell>
          <cell r="AD224" t="str">
            <v/>
          </cell>
          <cell r="AE224" t="str">
            <v/>
          </cell>
          <cell r="AF224" t="str">
            <v>5586889865</v>
          </cell>
          <cell r="AG224" t="str">
            <v>CDMX</v>
          </cell>
          <cell r="AH224">
            <v>0</v>
          </cell>
        </row>
        <row r="225">
          <cell r="A225">
            <v>580</v>
          </cell>
          <cell r="B225" t="str">
            <v>w9dqy2wz4o5mxe8</v>
          </cell>
          <cell r="C225" t="str">
            <v>BTL-DC-580</v>
          </cell>
          <cell r="D225" t="str">
            <v>01830</v>
          </cell>
          <cell r="E225" t="str">
            <v>sulliqueyd.14@gmail.com</v>
          </cell>
          <cell r="F225" t="str">
            <v>DOGS730614MDFRTL01</v>
          </cell>
          <cell r="G225" t="str">
            <v/>
          </cell>
          <cell r="H225" t="str">
            <v/>
          </cell>
          <cell r="I225" t="str">
            <v/>
          </cell>
          <cell r="J225" t="str">
            <v>Carretera al desierto de los leones #50; colonia Santa Rosa Xochiac; Cuajimalpa de Morelos, Ciudad de México</v>
          </cell>
          <cell r="K225">
            <v>0</v>
          </cell>
          <cell r="L225" t="str">
            <v>ACTIVO</v>
          </cell>
          <cell r="M225" t="str">
            <v>SOLTERO/A</v>
          </cell>
          <cell r="N225" t="str">
            <v/>
          </cell>
          <cell r="O225" t="str">
            <v/>
          </cell>
          <cell r="P225" t="str">
            <v/>
          </cell>
          <cell r="Q225" t="str">
            <v>2026-02-03 00:00:00.000Z</v>
          </cell>
          <cell r="R225" t="str">
            <v>2026-02-03 00:00:00.000Z</v>
          </cell>
          <cell r="S225" t="str">
            <v>1973-06-14 00:00:00.000Z</v>
          </cell>
          <cell r="T225" t="str">
            <v>id791a3b8t820zv</v>
          </cell>
          <cell r="U225" t="str">
            <v>DORADO GUTIERREZ SULLIQUEY</v>
          </cell>
          <cell r="V225" t="str">
            <v>11967306165</v>
          </cell>
          <cell r="W225" t="str">
            <v>CIUDAD DE MEXICO</v>
          </cell>
          <cell r="X225" t="str">
            <v/>
          </cell>
          <cell r="Y225" t="str">
            <v/>
          </cell>
          <cell r="Z225" t="str">
            <v>DOGS730614P5A</v>
          </cell>
          <cell r="AA225" t="str">
            <v>DERMOCONSEJO</v>
          </cell>
          <cell r="AB225" t="str">
            <v>MUJER</v>
          </cell>
          <cell r="AC225">
            <v>0</v>
          </cell>
          <cell r="AD225" t="str">
            <v/>
          </cell>
          <cell r="AE225" t="str">
            <v/>
          </cell>
          <cell r="AF225" t="str">
            <v>5636047108</v>
          </cell>
          <cell r="AG225" t="str">
            <v/>
          </cell>
          <cell r="AH225">
            <v>0</v>
          </cell>
        </row>
        <row r="226">
          <cell r="A226">
            <v>579</v>
          </cell>
          <cell r="B226" t="str">
            <v>w9dqy2wz4o5mxe8</v>
          </cell>
          <cell r="C226" t="str">
            <v>BTL-DC-579</v>
          </cell>
          <cell r="D226" t="str">
            <v>64350</v>
          </cell>
          <cell r="E226" t="str">
            <v>krauzz87@gmail.com</v>
          </cell>
          <cell r="F226" t="str">
            <v>CILC821224MNLSZN03</v>
          </cell>
          <cell r="G226" t="str">
            <v/>
          </cell>
          <cell r="H226" t="str">
            <v/>
          </cell>
          <cell r="I226" t="str">
            <v/>
          </cell>
          <cell r="J226" t="str">
            <v>C. COMISION TRIPARTITA 210, COL. VALLE DE INFONAVIT 5TO SECTOR, MONTERREY, NUEVO LEÓN</v>
          </cell>
          <cell r="K226">
            <v>0</v>
          </cell>
          <cell r="L226" t="str">
            <v>ACTIVO</v>
          </cell>
          <cell r="M226" t="str">
            <v>CASADO/A</v>
          </cell>
          <cell r="N226" t="str">
            <v/>
          </cell>
          <cell r="O226" t="str">
            <v/>
          </cell>
          <cell r="P226" t="str">
            <v/>
          </cell>
          <cell r="Q226" t="str">
            <v>2026-02-03 00:00:00.000Z</v>
          </cell>
          <cell r="R226" t="str">
            <v>2026-02-03 00:00:00.000Z</v>
          </cell>
          <cell r="S226" t="str">
            <v>1982-12-24 00:00:00.000Z</v>
          </cell>
          <cell r="T226" t="str">
            <v>43oq8309r6fi51l</v>
          </cell>
          <cell r="U226" t="str">
            <v>CISNEROS LOZANO CINTYA BERENICE</v>
          </cell>
          <cell r="V226" t="str">
            <v>43108206723</v>
          </cell>
          <cell r="W226" t="str">
            <v>NUEVO LEON</v>
          </cell>
          <cell r="X226" t="str">
            <v/>
          </cell>
          <cell r="Y226" t="str">
            <v/>
          </cell>
          <cell r="Z226" t="str">
            <v>CILC821224QA0</v>
          </cell>
          <cell r="AA226" t="str">
            <v>DERMOCONSEJO</v>
          </cell>
          <cell r="AB226" t="str">
            <v>MUJER</v>
          </cell>
          <cell r="AC226">
            <v>0</v>
          </cell>
          <cell r="AD226" t="str">
            <v/>
          </cell>
          <cell r="AE226" t="str">
            <v/>
          </cell>
          <cell r="AF226" t="str">
            <v>8139680381</v>
          </cell>
          <cell r="AG226" t="str">
            <v/>
          </cell>
          <cell r="AH226">
            <v>0</v>
          </cell>
        </row>
        <row r="227">
          <cell r="A227">
            <v>581</v>
          </cell>
          <cell r="B227" t="str">
            <v>w9dqy2wz4o5mxe8</v>
          </cell>
          <cell r="C227" t="str">
            <v>BTL-DC-581</v>
          </cell>
          <cell r="D227" t="str">
            <v>44240</v>
          </cell>
          <cell r="E227" t="str">
            <v>danielamtzgdl@gmail.com</v>
          </cell>
          <cell r="F227" t="str">
            <v>MAAG050128MJCRNVA7</v>
          </cell>
          <cell r="G227" t="str">
            <v/>
          </cell>
          <cell r="H227" t="str">
            <v/>
          </cell>
          <cell r="I227" t="str">
            <v/>
          </cell>
          <cell r="J227" t="str">
            <v>SOSTENES ROCHA 3883, JUAN ESCOTO, COL. RANCHO NUEVO, GUADALAJARA, JALISCO</v>
          </cell>
          <cell r="K227">
            <v>0</v>
          </cell>
          <cell r="L227" t="str">
            <v>ACTIVO</v>
          </cell>
          <cell r="M227" t="str">
            <v>SOLTERO/A</v>
          </cell>
          <cell r="N227" t="str">
            <v/>
          </cell>
          <cell r="O227" t="str">
            <v/>
          </cell>
          <cell r="P227" t="str">
            <v/>
          </cell>
          <cell r="Q227" t="str">
            <v>2026-02-09 00:00:00.000Z</v>
          </cell>
          <cell r="R227" t="str">
            <v>2026-02-09 00:00:00.000Z</v>
          </cell>
          <cell r="S227" t="str">
            <v>2005-01-28 00:00:00.000Z</v>
          </cell>
          <cell r="T227" t="str">
            <v>36p0ra0w7302nvb</v>
          </cell>
          <cell r="U227" t="str">
            <v xml:space="preserve">MARTINEZ DE ANDA GIOVANNA DANIELA </v>
          </cell>
          <cell r="V227" t="str">
            <v>2200514301</v>
          </cell>
          <cell r="W227" t="str">
            <v>JALISCO</v>
          </cell>
          <cell r="X227" t="str">
            <v/>
          </cell>
          <cell r="Y227" t="str">
            <v/>
          </cell>
          <cell r="Z227" t="str">
            <v>MAAG050128KA3</v>
          </cell>
          <cell r="AA227" t="str">
            <v>DERMOCONSEJO</v>
          </cell>
          <cell r="AB227" t="str">
            <v>MUJER</v>
          </cell>
          <cell r="AC227">
            <v>0</v>
          </cell>
          <cell r="AD227" t="str">
            <v/>
          </cell>
          <cell r="AE227" t="str">
            <v/>
          </cell>
          <cell r="AF227" t="str">
            <v>3329720348</v>
          </cell>
          <cell r="AG227" t="str">
            <v/>
          </cell>
          <cell r="AH227">
            <v>0</v>
          </cell>
        </row>
        <row r="228">
          <cell r="A228">
            <v>583</v>
          </cell>
          <cell r="B228" t="str">
            <v>w9dqy2wz4o5mxe8</v>
          </cell>
          <cell r="C228" t="str">
            <v>BTL-DC-583</v>
          </cell>
          <cell r="D228" t="str">
            <v>37205</v>
          </cell>
          <cell r="E228" t="str">
            <v>gaelm030@gmail.com</v>
          </cell>
          <cell r="F228" t="str">
            <v>GAVL050308HGTRLSA6</v>
          </cell>
          <cell r="G228" t="str">
            <v/>
          </cell>
          <cell r="H228" t="str">
            <v/>
          </cell>
          <cell r="I228" t="str">
            <v/>
          </cell>
          <cell r="J228" t="str">
            <v>OXIGENO 807, COL. VALLE DE SEÑORA, LEÓN, GUANAJUATO</v>
          </cell>
          <cell r="K228">
            <v>0</v>
          </cell>
          <cell r="L228" t="str">
            <v>ACTIVO</v>
          </cell>
          <cell r="M228" t="str">
            <v>SOLTERO/A</v>
          </cell>
          <cell r="N228" t="str">
            <v/>
          </cell>
          <cell r="O228" t="str">
            <v/>
          </cell>
          <cell r="P228" t="str">
            <v/>
          </cell>
          <cell r="Q228" t="str">
            <v>2026-02-16 00:00:00.000Z</v>
          </cell>
          <cell r="R228" t="str">
            <v>2026-02-16 00:00:00.000Z</v>
          </cell>
          <cell r="S228" t="str">
            <v>2005-03-08 00:00:00.000Z</v>
          </cell>
          <cell r="T228" t="str">
            <v>wc5o8wfmwl1m08d</v>
          </cell>
          <cell r="U228" t="str">
            <v>GARCIA VILLALPANDO LUIS GAEL</v>
          </cell>
          <cell r="V228" t="str">
            <v>17220555985</v>
          </cell>
          <cell r="W228" t="str">
            <v>GUANAJUATO</v>
          </cell>
          <cell r="X228" t="str">
            <v/>
          </cell>
          <cell r="Y228" t="str">
            <v/>
          </cell>
          <cell r="Z228" t="str">
            <v>GAVL05030814A</v>
          </cell>
          <cell r="AA228" t="str">
            <v>DERMOCONSEJO</v>
          </cell>
          <cell r="AB228" t="str">
            <v>HOMBRE</v>
          </cell>
          <cell r="AC228">
            <v>0</v>
          </cell>
          <cell r="AD228" t="str">
            <v/>
          </cell>
          <cell r="AE228" t="str">
            <v/>
          </cell>
          <cell r="AF228" t="str">
            <v>4772743234</v>
          </cell>
          <cell r="AG228" t="str">
            <v/>
          </cell>
          <cell r="AH228">
            <v>0</v>
          </cell>
        </row>
        <row r="229">
          <cell r="A229">
            <v>114</v>
          </cell>
          <cell r="B229" t="str">
            <v>w9dqy2wz4o5mxe8</v>
          </cell>
          <cell r="C229" t="str">
            <v>BTL-DC-114</v>
          </cell>
          <cell r="D229" t="str">
            <v>05330</v>
          </cell>
          <cell r="E229" t="str">
            <v>perezlugoclaudiaisela@gmail.com</v>
          </cell>
          <cell r="F229" t="str">
            <v>PELC720413MDFRGL09</v>
          </cell>
          <cell r="G229" t="str">
            <v/>
          </cell>
          <cell r="H229" t="str">
            <v/>
          </cell>
          <cell r="I229" t="str">
            <v/>
          </cell>
          <cell r="J229" t="str">
            <v>1 CERRADA DE LA CRUZ #8, COLONIA LOMAS DE MEMETLA, CUAJIMALPA DE MORELOS, CIUDAD DE MÉXICO</v>
          </cell>
          <cell r="K229">
            <v>0</v>
          </cell>
          <cell r="L229" t="str">
            <v>ACTIVO</v>
          </cell>
          <cell r="M229" t="str">
            <v>SOLTERO/A</v>
          </cell>
          <cell r="N229" t="str">
            <v/>
          </cell>
          <cell r="O229" t="str">
            <v/>
          </cell>
          <cell r="P229" t="str">
            <v/>
          </cell>
          <cell r="Q229" t="str">
            <v>2026-02-19 00:00:00.000Z</v>
          </cell>
          <cell r="R229" t="str">
            <v>2026-02-19 00:00:00.000Z</v>
          </cell>
          <cell r="S229" t="str">
            <v>1972-04-13 00:00:00.000Z</v>
          </cell>
          <cell r="T229" t="str">
            <v>0m188zev75m41sd</v>
          </cell>
          <cell r="U229" t="str">
            <v>PEREZ LUGO CLAUDIA ISELA</v>
          </cell>
          <cell r="V229" t="str">
            <v>11927230414</v>
          </cell>
          <cell r="W229" t="str">
            <v>CIUDAD DE MEXICO</v>
          </cell>
          <cell r="X229" t="str">
            <v/>
          </cell>
          <cell r="Y229" t="str">
            <v/>
          </cell>
          <cell r="Z229" t="str">
            <v>PELC720413NT5</v>
          </cell>
          <cell r="AA229" t="str">
            <v>DERMOCONSEJO</v>
          </cell>
          <cell r="AB229" t="str">
            <v>MUJER</v>
          </cell>
          <cell r="AC229">
            <v>0</v>
          </cell>
          <cell r="AD229" t="str">
            <v/>
          </cell>
          <cell r="AE229" t="str">
            <v/>
          </cell>
          <cell r="AF229" t="str">
            <v>5522491879</v>
          </cell>
          <cell r="AG229" t="str">
            <v/>
          </cell>
          <cell r="AH229">
            <v>0</v>
          </cell>
        </row>
        <row r="230">
          <cell r="A230">
            <v>2</v>
          </cell>
          <cell r="B230" t="str">
            <v>w9dqy2wz4o5mxe8</v>
          </cell>
          <cell r="C230" t="str">
            <v>BTL-SUP-2</v>
          </cell>
          <cell r="D230" t="str">
            <v>56644</v>
          </cell>
          <cell r="E230" t="str">
            <v>s0567271@gmail.com</v>
          </cell>
          <cell r="F230" t="str">
            <v>AUCA820815MDFGMT05</v>
          </cell>
          <cell r="G230" t="str">
            <v/>
          </cell>
          <cell r="H230" t="str">
            <v/>
          </cell>
          <cell r="I230" t="str">
            <v/>
          </cell>
          <cell r="J230" t="str">
            <v>LAGUNA DE VALLE DE BRAVO MZ23 LT1 CASA 44 LOS HÉROES CHALCO LLL  CHALCO  CP 56644 MÉXICO</v>
          </cell>
          <cell r="K230">
            <v>0</v>
          </cell>
          <cell r="L230" t="str">
            <v>ACTIVO</v>
          </cell>
          <cell r="M230" t="str">
            <v>SOLTERO/A</v>
          </cell>
          <cell r="N230" t="str">
            <v/>
          </cell>
          <cell r="O230" t="str">
            <v/>
          </cell>
          <cell r="P230" t="str">
            <v/>
          </cell>
          <cell r="Q230" t="str">
            <v>2020-07-04 00:00:00.000Z</v>
          </cell>
          <cell r="R230" t="str">
            <v>2020-07-20 00:00:00.000Z</v>
          </cell>
          <cell r="S230" t="str">
            <v>1982-08-15 00:00:00.000Z</v>
          </cell>
          <cell r="T230" t="str">
            <v>wba3y84g8lyb8cx</v>
          </cell>
          <cell r="U230" t="str">
            <v>AGUIRRE CAMACHO ATZIN SUSANA</v>
          </cell>
          <cell r="V230" t="str">
            <v>42978202218</v>
          </cell>
          <cell r="W230" t="str">
            <v>CIUDAD DE MEXICO</v>
          </cell>
          <cell r="X230" t="str">
            <v/>
          </cell>
          <cell r="Y230" t="str">
            <v/>
          </cell>
          <cell r="Z230" t="str">
            <v>AUCA820815E84</v>
          </cell>
          <cell r="AA230" t="str">
            <v>SUPERVISOR</v>
          </cell>
          <cell r="AB230" t="str">
            <v>MUJER</v>
          </cell>
          <cell r="AC230">
            <v>523.32945205479405</v>
          </cell>
          <cell r="AD230" t="str">
            <v/>
          </cell>
          <cell r="AE230" t="str">
            <v/>
          </cell>
          <cell r="AF230" t="str">
            <v>5532077869</v>
          </cell>
          <cell r="AG230" t="str">
            <v>CDMX</v>
          </cell>
          <cell r="AH230">
            <v>0</v>
          </cell>
        </row>
        <row r="231">
          <cell r="A231">
            <v>350</v>
          </cell>
          <cell r="B231" t="str">
            <v>w9dqy2wz4o5mxe8</v>
          </cell>
          <cell r="C231" t="str">
            <v>BTL-SUP-350</v>
          </cell>
          <cell r="D231" t="str">
            <v>67714</v>
          </cell>
          <cell r="E231" t="str">
            <v>anita.llaverito@gmail.com</v>
          </cell>
          <cell r="F231" t="str">
            <v>AISA760725MCLNCN04</v>
          </cell>
          <cell r="G231" t="str">
            <v/>
          </cell>
          <cell r="H231" t="str">
            <v/>
          </cell>
          <cell r="I231" t="str">
            <v/>
          </cell>
          <cell r="J231" t="str">
            <v>LORCA 521 PRIVADAS DE SAN MIGUEL  GUADALUPE  CP 67714 NUEVO LEÓN</v>
          </cell>
          <cell r="K231">
            <v>0</v>
          </cell>
          <cell r="L231" t="str">
            <v>ACTIVO</v>
          </cell>
          <cell r="M231" t="str">
            <v>SOLTERO/A</v>
          </cell>
          <cell r="N231" t="str">
            <v/>
          </cell>
          <cell r="O231" t="str">
            <v/>
          </cell>
          <cell r="P231" t="str">
            <v/>
          </cell>
          <cell r="Q231" t="str">
            <v>2024-08-12 00:00:00.000Z</v>
          </cell>
          <cell r="R231" t="str">
            <v>2024-08-12 00:00:00.000Z</v>
          </cell>
          <cell r="S231" t="str">
            <v>1976-07-25 00:00:00.000Z</v>
          </cell>
          <cell r="T231" t="str">
            <v>1jcg4400p8z6694</v>
          </cell>
          <cell r="U231" t="str">
            <v>ANIMAS SAUCEDO ANA CRISTINA</v>
          </cell>
          <cell r="V231" t="str">
            <v>47947651411</v>
          </cell>
          <cell r="W231" t="str">
            <v>COAHUILA</v>
          </cell>
          <cell r="X231" t="str">
            <v/>
          </cell>
          <cell r="Y231" t="str">
            <v/>
          </cell>
          <cell r="Z231" t="str">
            <v>AISA760725HM2</v>
          </cell>
          <cell r="AA231" t="str">
            <v>SUPERVISOR</v>
          </cell>
          <cell r="AB231" t="str">
            <v>MUJER</v>
          </cell>
          <cell r="AC231">
            <v>520.61438356164297</v>
          </cell>
          <cell r="AD231" t="str">
            <v/>
          </cell>
          <cell r="AE231" t="str">
            <v/>
          </cell>
          <cell r="AF231" t="str">
            <v>8115398079</v>
          </cell>
          <cell r="AG231" t="str">
            <v>MTY</v>
          </cell>
          <cell r="AH231">
            <v>0</v>
          </cell>
        </row>
        <row r="232">
          <cell r="A232">
            <v>209</v>
          </cell>
          <cell r="B232" t="str">
            <v>w9dqy2wz4o5mxe8</v>
          </cell>
          <cell r="C232" t="str">
            <v>BTL-SUP-209</v>
          </cell>
          <cell r="D232" t="str">
            <v>82170</v>
          </cell>
          <cell r="E232" t="str">
            <v>frisma.k69@gmail.com</v>
          </cell>
          <cell r="F232" t="str">
            <v>AIBG900325MSLVLL02</v>
          </cell>
          <cell r="G232" t="str">
            <v/>
          </cell>
          <cell r="H232" t="str">
            <v/>
          </cell>
          <cell r="I232" t="str">
            <v/>
          </cell>
          <cell r="J232" t="str">
            <v>MONTES DE OCA #1502 CONSTITUCION MAZATLAN SINALOA CP 82170 SINALOA</v>
          </cell>
          <cell r="K232">
            <v>0</v>
          </cell>
          <cell r="L232" t="str">
            <v>ACTIVO</v>
          </cell>
          <cell r="M232" t="str">
            <v>SOLTERO/A</v>
          </cell>
          <cell r="N232" t="str">
            <v/>
          </cell>
          <cell r="O232" t="str">
            <v/>
          </cell>
          <cell r="P232" t="str">
            <v/>
          </cell>
          <cell r="Q232" t="str">
            <v>2023-09-22 00:00:00.000Z</v>
          </cell>
          <cell r="R232" t="str">
            <v>2023-09-22 00:00:00.000Z</v>
          </cell>
          <cell r="S232" t="str">
            <v>1990-03-25 00:00:00.000Z</v>
          </cell>
          <cell r="T232" t="str">
            <v>3dq6w4uc63nuotw</v>
          </cell>
          <cell r="U232" t="str">
            <v>AVILA BELTRAN GLORIA MARIBEL</v>
          </cell>
          <cell r="V232" t="str">
            <v>23109029811</v>
          </cell>
          <cell r="W232" t="str">
            <v>SINALOA</v>
          </cell>
          <cell r="X232" t="str">
            <v/>
          </cell>
          <cell r="Y232" t="str">
            <v/>
          </cell>
          <cell r="Z232" t="str">
            <v>AIBG9003256S4</v>
          </cell>
          <cell r="AA232" t="str">
            <v>SUPERVISOR</v>
          </cell>
          <cell r="AB232" t="str">
            <v>MUJER</v>
          </cell>
          <cell r="AC232">
            <v>521.29315068493099</v>
          </cell>
          <cell r="AD232" t="str">
            <v/>
          </cell>
          <cell r="AE232" t="str">
            <v/>
          </cell>
          <cell r="AF232" t="str">
            <v>6692545277</v>
          </cell>
          <cell r="AG232" t="str">
            <v>SINALOA</v>
          </cell>
          <cell r="AH232">
            <v>0</v>
          </cell>
        </row>
        <row r="233">
          <cell r="A233">
            <v>38</v>
          </cell>
          <cell r="B233" t="str">
            <v>w9dqy2wz4o5mxe8</v>
          </cell>
          <cell r="C233" t="str">
            <v>BTL-SUP-38</v>
          </cell>
          <cell r="D233" t="str">
            <v>72470</v>
          </cell>
          <cell r="E233" t="str">
            <v>coroareny@gmail.com</v>
          </cell>
          <cell r="F233" t="str">
            <v>BACR840206MPLTRY09</v>
          </cell>
          <cell r="G233" t="str">
            <v/>
          </cell>
          <cell r="H233" t="str">
            <v/>
          </cell>
          <cell r="I233" t="str">
            <v/>
          </cell>
          <cell r="J233" t="str">
            <v>HUAUCHINANGO 716 VICENTE GUERRERO  PUEBLA CP 72470 PUEBLA</v>
          </cell>
          <cell r="K233">
            <v>0</v>
          </cell>
          <cell r="L233" t="str">
            <v>ACTIVO</v>
          </cell>
          <cell r="M233" t="str">
            <v>SOLTERO/A</v>
          </cell>
          <cell r="N233" t="str">
            <v/>
          </cell>
          <cell r="O233" t="str">
            <v/>
          </cell>
          <cell r="P233" t="str">
            <v/>
          </cell>
          <cell r="Q233" t="str">
            <v>2021-04-07 00:00:00.000Z</v>
          </cell>
          <cell r="R233" t="str">
            <v>2021-04-10 00:00:00.000Z</v>
          </cell>
          <cell r="S233" t="str">
            <v>1984-02-06 00:00:00.000Z</v>
          </cell>
          <cell r="T233" t="str">
            <v>4ti22885oan2565</v>
          </cell>
          <cell r="U233" t="str">
            <v xml:space="preserve">BAUTISTA CORONA REYNA </v>
          </cell>
          <cell r="V233" t="str">
            <v>48078402814</v>
          </cell>
          <cell r="W233" t="str">
            <v>PUEBLA</v>
          </cell>
          <cell r="X233" t="str">
            <v/>
          </cell>
          <cell r="Y233" t="str">
            <v/>
          </cell>
          <cell r="Z233" t="str">
            <v>BACR840206N90</v>
          </cell>
          <cell r="AA233" t="str">
            <v>SUPERVISOR</v>
          </cell>
          <cell r="AB233" t="str">
            <v>MUJER</v>
          </cell>
          <cell r="AC233">
            <v>522.65068493150602</v>
          </cell>
          <cell r="AD233" t="str">
            <v/>
          </cell>
          <cell r="AE233" t="str">
            <v/>
          </cell>
          <cell r="AF233" t="str">
            <v>2229092400</v>
          </cell>
          <cell r="AG233" t="str">
            <v>PUE</v>
          </cell>
          <cell r="AH233">
            <v>0</v>
          </cell>
        </row>
        <row r="234">
          <cell r="A234">
            <v>17</v>
          </cell>
          <cell r="B234" t="str">
            <v>w9dqy2wz4o5mxe8</v>
          </cell>
          <cell r="C234" t="str">
            <v>BTL-SUP-17</v>
          </cell>
          <cell r="D234" t="str">
            <v>81238</v>
          </cell>
          <cell r="E234" t="str">
            <v>carrenoteresa249@gmail.com</v>
          </cell>
          <cell r="F234" t="str">
            <v>CAMT750917MSLRNR06</v>
          </cell>
          <cell r="G234" t="str">
            <v/>
          </cell>
          <cell r="H234" t="str">
            <v/>
          </cell>
          <cell r="I234" t="str">
            <v/>
          </cell>
          <cell r="J234" t="str">
            <v>MOCORITO, #2030 ADOLFO LOPEZ MATEOS AHOME CP 81238 SINALOA</v>
          </cell>
          <cell r="K234">
            <v>0</v>
          </cell>
          <cell r="L234" t="str">
            <v>ACTIVO</v>
          </cell>
          <cell r="M234" t="str">
            <v>SOLTERO/A</v>
          </cell>
          <cell r="N234" t="str">
            <v/>
          </cell>
          <cell r="O234" t="str">
            <v/>
          </cell>
          <cell r="P234" t="str">
            <v/>
          </cell>
          <cell r="Q234" t="str">
            <v>2022-12-01 00:00:00.000Z</v>
          </cell>
          <cell r="R234" t="str">
            <v>2022-12-01 00:00:00.000Z</v>
          </cell>
          <cell r="S234" t="str">
            <v>1975-09-17 00:00:00.000Z</v>
          </cell>
          <cell r="T234" t="str">
            <v>94v6w48yl246yc9</v>
          </cell>
          <cell r="U234" t="str">
            <v>CARREÑO MONREAL MARIA TERESA</v>
          </cell>
          <cell r="V234" t="str">
            <v>23927546350</v>
          </cell>
          <cell r="W234" t="str">
            <v>SINALOA</v>
          </cell>
          <cell r="X234" t="str">
            <v/>
          </cell>
          <cell r="Y234" t="str">
            <v/>
          </cell>
          <cell r="Z234" t="str">
            <v>CAMT750917DN7</v>
          </cell>
          <cell r="AA234" t="str">
            <v>SUPERVISOR</v>
          </cell>
          <cell r="AB234" t="str">
            <v>MUJER</v>
          </cell>
          <cell r="AC234">
            <v>521.97191780821902</v>
          </cell>
          <cell r="AD234" t="str">
            <v/>
          </cell>
          <cell r="AE234" t="str">
            <v/>
          </cell>
          <cell r="AF234" t="str">
            <v>6681835270</v>
          </cell>
          <cell r="AG234" t="str">
            <v>SINALOA</v>
          </cell>
          <cell r="AH234">
            <v>0</v>
          </cell>
        </row>
        <row r="235">
          <cell r="A235">
            <v>553</v>
          </cell>
          <cell r="B235" t="str">
            <v>w9dqy2wz4o5mxe8</v>
          </cell>
          <cell r="C235" t="str">
            <v>BTL-SUP-553</v>
          </cell>
          <cell r="D235" t="str">
            <v>55719</v>
          </cell>
          <cell r="E235" t="str">
            <v>xcarrillo163@gmail.com</v>
          </cell>
          <cell r="F235" t="str">
            <v>CAXX851129MMCRCC03</v>
          </cell>
          <cell r="G235" t="str">
            <v/>
          </cell>
          <cell r="H235" t="str">
            <v/>
          </cell>
          <cell r="I235" t="str">
            <v/>
          </cell>
          <cell r="J235" t="str">
            <v>JUANA MARÍA PAVON,LOTE 11,K,DEPARTAMENTO 302, ESTADO DE MEXICO, COACALCO, CP 55719, CIUDAD DE MÉXICO</v>
          </cell>
          <cell r="K235">
            <v>0</v>
          </cell>
          <cell r="L235" t="str">
            <v>ACTIVO</v>
          </cell>
          <cell r="M235" t="str">
            <v>CASADO/A</v>
          </cell>
          <cell r="N235" t="str">
            <v/>
          </cell>
          <cell r="O235" t="str">
            <v/>
          </cell>
          <cell r="P235" t="str">
            <v/>
          </cell>
          <cell r="Q235" t="str">
            <v>2026-01-12 00:00:00.000Z</v>
          </cell>
          <cell r="R235" t="str">
            <v>2026-01-12 00:00:00.000Z</v>
          </cell>
          <cell r="S235" t="str">
            <v>1985-11-29 00:00:00.000Z</v>
          </cell>
          <cell r="T235" t="str">
            <v>6166c5inxkwr3nx</v>
          </cell>
          <cell r="U235" t="str">
            <v>CARRILLO XOCHIHUA XOCHITL</v>
          </cell>
          <cell r="V235" t="str">
            <v>92048547050</v>
          </cell>
          <cell r="W235" t="str">
            <v>ESTADO DE MEXICO</v>
          </cell>
          <cell r="X235" t="str">
            <v/>
          </cell>
          <cell r="Y235" t="str">
            <v/>
          </cell>
          <cell r="Z235" t="str">
            <v>CAXX851129</v>
          </cell>
          <cell r="AA235" t="str">
            <v>SUPERVISOR</v>
          </cell>
          <cell r="AB235" t="str">
            <v>MUJER</v>
          </cell>
          <cell r="AC235">
            <v>495.18227397260199</v>
          </cell>
          <cell r="AD235" t="str">
            <v/>
          </cell>
          <cell r="AE235" t="str">
            <v/>
          </cell>
          <cell r="AF235" t="str">
            <v>5518160539</v>
          </cell>
          <cell r="AG235" t="str">
            <v>CDMX</v>
          </cell>
          <cell r="AH235">
            <v>0</v>
          </cell>
        </row>
        <row r="236">
          <cell r="A236">
            <v>9</v>
          </cell>
          <cell r="B236" t="str">
            <v>w9dqy2wz4o5mxe8</v>
          </cell>
          <cell r="C236" t="str">
            <v>BTL-SUP-9</v>
          </cell>
          <cell r="D236" t="str">
            <v>04480</v>
          </cell>
          <cell r="E236" t="str">
            <v>jonatanchavez596@gmail.com</v>
          </cell>
          <cell r="F236" t="str">
            <v>CARJ830315HDFHMN03</v>
          </cell>
          <cell r="G236" t="str">
            <v/>
          </cell>
          <cell r="H236" t="str">
            <v/>
          </cell>
          <cell r="I236" t="str">
            <v/>
          </cell>
          <cell r="J236" t="str">
            <v>ALFREDO V. BONFIL EDIF 4 INT 304 CTM CULHUACAN CROC COYOACAN CP 04480 CIUDAD DE MÉXICO</v>
          </cell>
          <cell r="K236">
            <v>0</v>
          </cell>
          <cell r="L236" t="str">
            <v>ACTIVO</v>
          </cell>
          <cell r="M236" t="str">
            <v>SOLTERO/A</v>
          </cell>
          <cell r="N236" t="str">
            <v/>
          </cell>
          <cell r="O236" t="str">
            <v/>
          </cell>
          <cell r="P236" t="str">
            <v/>
          </cell>
          <cell r="Q236" t="str">
            <v>2020-08-17 00:00:00.000Z</v>
          </cell>
          <cell r="R236" t="str">
            <v>2020-07-20 00:00:00.000Z</v>
          </cell>
          <cell r="S236" t="str">
            <v>1983-03-15 00:00:00.000Z</v>
          </cell>
          <cell r="T236" t="str">
            <v>8404pdy6yaw6ko0</v>
          </cell>
          <cell r="U236" t="str">
            <v>CHAVEZ RAMOS JONATAN RAYMUNDO</v>
          </cell>
          <cell r="V236" t="str">
            <v>45038317629</v>
          </cell>
          <cell r="W236" t="str">
            <v>CIUDAD DE MEXICO</v>
          </cell>
          <cell r="X236" t="str">
            <v/>
          </cell>
          <cell r="Y236" t="str">
            <v/>
          </cell>
          <cell r="Z236" t="str">
            <v>CARJ830315NR7</v>
          </cell>
          <cell r="AA236" t="str">
            <v>SUPERVISOR</v>
          </cell>
          <cell r="AB236" t="str">
            <v>HOMBRE</v>
          </cell>
          <cell r="AC236">
            <v>523.32945205479405</v>
          </cell>
          <cell r="AD236" t="str">
            <v/>
          </cell>
          <cell r="AE236" t="str">
            <v/>
          </cell>
          <cell r="AF236" t="str">
            <v>2291759394</v>
          </cell>
          <cell r="AG236" t="str">
            <v>CDMX</v>
          </cell>
          <cell r="AH236">
            <v>0</v>
          </cell>
        </row>
        <row r="237">
          <cell r="A237">
            <v>498</v>
          </cell>
          <cell r="B237" t="str">
            <v>w9dqy2wz4o5mxe8</v>
          </cell>
          <cell r="C237" t="str">
            <v>BTL-SUP-498</v>
          </cell>
          <cell r="D237" t="str">
            <v>56516</v>
          </cell>
          <cell r="E237" t="str">
            <v>miriam.211329@gmmail.com</v>
          </cell>
          <cell r="F237" t="str">
            <v>EANM830613MDFSVR02</v>
          </cell>
          <cell r="G237" t="str">
            <v/>
          </cell>
          <cell r="H237" t="str">
            <v/>
          </cell>
          <cell r="I237" t="str">
            <v/>
          </cell>
          <cell r="J237" t="str">
            <v>NACISO  DEPTO 1696 GEOVILLAS DE SAN ISIDRO  LA PAZ  CP 56516 MÉXICO</v>
          </cell>
          <cell r="K237">
            <v>0</v>
          </cell>
          <cell r="L237" t="str">
            <v>ACTIVO</v>
          </cell>
          <cell r="M237" t="str">
            <v>SOLTERO/A</v>
          </cell>
          <cell r="N237" t="str">
            <v/>
          </cell>
          <cell r="O237" t="str">
            <v/>
          </cell>
          <cell r="P237" t="str">
            <v/>
          </cell>
          <cell r="Q237" t="str">
            <v>2025-08-01 00:00:00.000Z</v>
          </cell>
          <cell r="R237" t="str">
            <v>2025-08-01 00:00:00.000Z</v>
          </cell>
          <cell r="S237" t="str">
            <v>1983-06-13 00:00:00.000Z</v>
          </cell>
          <cell r="T237" t="str">
            <v>933xy60aml4kkb4</v>
          </cell>
          <cell r="U237" t="str">
            <v>ESTRADA NAVA MIRIAM ROCIO</v>
          </cell>
          <cell r="V237" t="str">
            <v>42048304630</v>
          </cell>
          <cell r="W237" t="str">
            <v>CIUDAD DE MEXICO</v>
          </cell>
          <cell r="X237" t="str">
            <v/>
          </cell>
          <cell r="Y237" t="str">
            <v/>
          </cell>
          <cell r="Z237" t="str">
            <v>EANM830613UH5</v>
          </cell>
          <cell r="AA237" t="str">
            <v>SUPERVISOR</v>
          </cell>
          <cell r="AB237" t="str">
            <v>MUJER</v>
          </cell>
          <cell r="AC237">
            <v>495.18227397260199</v>
          </cell>
          <cell r="AD237" t="str">
            <v/>
          </cell>
          <cell r="AE237" t="str">
            <v/>
          </cell>
          <cell r="AF237" t="str">
            <v>5510508836</v>
          </cell>
          <cell r="AG237" t="str">
            <v>CDMX</v>
          </cell>
          <cell r="AH237">
            <v>0</v>
          </cell>
        </row>
        <row r="238">
          <cell r="A238">
            <v>6</v>
          </cell>
          <cell r="B238" t="str">
            <v>w9dqy2wz4o5mxe8</v>
          </cell>
          <cell r="C238" t="str">
            <v>BTL-SUP-6</v>
          </cell>
          <cell r="D238" t="str">
            <v>51355</v>
          </cell>
          <cell r="E238" t="str">
            <v>legnafer2020@gmail.com</v>
          </cell>
          <cell r="F238" t="str">
            <v>FESM770206HDFRNG06</v>
          </cell>
          <cell r="G238" t="str">
            <v/>
          </cell>
          <cell r="H238" t="str">
            <v/>
          </cell>
          <cell r="I238" t="str">
            <v/>
          </cell>
          <cell r="J238" t="str">
            <v>CLOUTHIER 129-A  LA LOMA LL ZINACANTEPEC  CP 51355 MÉXICO</v>
          </cell>
          <cell r="K238">
            <v>0</v>
          </cell>
          <cell r="L238" t="str">
            <v>ACTIVO</v>
          </cell>
          <cell r="M238" t="str">
            <v>SOLTERO/A</v>
          </cell>
          <cell r="N238" t="str">
            <v/>
          </cell>
          <cell r="O238" t="str">
            <v/>
          </cell>
          <cell r="P238" t="str">
            <v/>
          </cell>
          <cell r="Q238" t="str">
            <v>2020-07-04 00:00:00.000Z</v>
          </cell>
          <cell r="R238" t="str">
            <v>2020-07-01 00:00:00.000Z</v>
          </cell>
          <cell r="S238" t="str">
            <v>1977-02-06 00:00:00.000Z</v>
          </cell>
          <cell r="T238" t="str">
            <v>rx4425epi68lu82</v>
          </cell>
          <cell r="U238" t="str">
            <v>FERNANDEZ SANCHEZ MIGUEL ANGEL</v>
          </cell>
          <cell r="V238" t="str">
            <v>76967701434</v>
          </cell>
          <cell r="W238" t="str">
            <v>CIUDAD DE MEXICO</v>
          </cell>
          <cell r="X238" t="str">
            <v/>
          </cell>
          <cell r="Y238" t="str">
            <v/>
          </cell>
          <cell r="Z238" t="str">
            <v>FESM770206R38</v>
          </cell>
          <cell r="AA238" t="str">
            <v>SUPERVISOR</v>
          </cell>
          <cell r="AB238" t="str">
            <v>HOMBRE</v>
          </cell>
          <cell r="AC238">
            <v>523.32945205479405</v>
          </cell>
          <cell r="AD238" t="str">
            <v/>
          </cell>
          <cell r="AE238" t="str">
            <v/>
          </cell>
          <cell r="AF238" t="str">
            <v>7294666304</v>
          </cell>
          <cell r="AG238" t="str">
            <v>TOL</v>
          </cell>
          <cell r="AH238">
            <v>0</v>
          </cell>
        </row>
        <row r="239">
          <cell r="A239">
            <v>18</v>
          </cell>
          <cell r="B239" t="str">
            <v>w9dqy2wz4o5mxe8</v>
          </cell>
          <cell r="C239" t="str">
            <v>BTL-SUP-18</v>
          </cell>
          <cell r="D239" t="str">
            <v>7400</v>
          </cell>
          <cell r="E239" t="str">
            <v>javierflores40@hotmail.com</v>
          </cell>
          <cell r="F239" t="str">
            <v>FOSJ690404HDFLLV03</v>
          </cell>
          <cell r="G239" t="str">
            <v/>
          </cell>
          <cell r="H239" t="str">
            <v/>
          </cell>
          <cell r="I239" t="str">
            <v/>
          </cell>
          <cell r="J239" t="str">
            <v>NORTE 72 8004 SALVADOR DÍAZ MIRON GAM CP 7400 CIUDAD DE MÉXICO</v>
          </cell>
          <cell r="K239">
            <v>0</v>
          </cell>
          <cell r="L239" t="str">
            <v>ACTIVO</v>
          </cell>
          <cell r="M239" t="str">
            <v>CASADO/A</v>
          </cell>
          <cell r="N239" t="str">
            <v/>
          </cell>
          <cell r="O239" t="str">
            <v/>
          </cell>
          <cell r="P239" t="str">
            <v/>
          </cell>
          <cell r="Q239" t="str">
            <v>2023-03-01 00:00:00.000Z</v>
          </cell>
          <cell r="R239" t="str">
            <v>2023-03-01 00:00:00.000Z</v>
          </cell>
          <cell r="S239" t="str">
            <v>1969-04-04 00:00:00.000Z</v>
          </cell>
          <cell r="T239" t="str">
            <v>wmisks2okrw9wm5</v>
          </cell>
          <cell r="U239" t="str">
            <v>FLORES SALDAÑA JAVIER</v>
          </cell>
          <cell r="V239" t="str">
            <v>42866940887</v>
          </cell>
          <cell r="W239" t="str">
            <v>CIUDAD DE MEXICO</v>
          </cell>
          <cell r="X239" t="str">
            <v/>
          </cell>
          <cell r="Y239" t="str">
            <v/>
          </cell>
          <cell r="Z239" t="str">
            <v>FOSJ690404KD9</v>
          </cell>
          <cell r="AA239" t="str">
            <v>SUPERVISOR</v>
          </cell>
          <cell r="AB239" t="str">
            <v>HOMBRE</v>
          </cell>
          <cell r="AC239">
            <v>521.29315068493099</v>
          </cell>
          <cell r="AD239" t="str">
            <v/>
          </cell>
          <cell r="AE239" t="str">
            <v/>
          </cell>
          <cell r="AF239" t="str">
            <v>5518136454</v>
          </cell>
          <cell r="AG239" t="str">
            <v>CDMX</v>
          </cell>
          <cell r="AH239">
            <v>0</v>
          </cell>
        </row>
        <row r="240">
          <cell r="A240">
            <v>225</v>
          </cell>
          <cell r="B240" t="str">
            <v>w9dqy2wz4o5mxe8</v>
          </cell>
          <cell r="C240" t="str">
            <v>BTL-SUP-225</v>
          </cell>
          <cell r="D240" t="str">
            <v>45138</v>
          </cell>
          <cell r="E240" t="str">
            <v>marugr2009@gmailcom</v>
          </cell>
          <cell r="F240" t="str">
            <v>GURM691025MNETMR06</v>
          </cell>
          <cell r="G240" t="str">
            <v/>
          </cell>
          <cell r="H240" t="str">
            <v/>
          </cell>
          <cell r="I240" t="str">
            <v/>
          </cell>
          <cell r="J240" t="str">
            <v>EL DORADO 232 PRADERAS DE SAN ANTONIO  ZAPOPAN CP 45138 JALISCO</v>
          </cell>
          <cell r="K240">
            <v>0</v>
          </cell>
          <cell r="L240" t="str">
            <v>ACTIVO</v>
          </cell>
          <cell r="M240" t="str">
            <v>CASADO/A</v>
          </cell>
          <cell r="N240" t="str">
            <v/>
          </cell>
          <cell r="O240" t="str">
            <v/>
          </cell>
          <cell r="P240" t="str">
            <v/>
          </cell>
          <cell r="Q240" t="str">
            <v>2023-12-01 00:00:00.000Z</v>
          </cell>
          <cell r="R240" t="str">
            <v>2023-12-01 00:00:00.000Z</v>
          </cell>
          <cell r="S240" t="str">
            <v>1969-10-25 00:00:00.000Z</v>
          </cell>
          <cell r="T240" t="str">
            <v>78160025uliy9io</v>
          </cell>
          <cell r="U240" t="str">
            <v>GUTIÉRREZ ROMERO MARUJA BETTY</v>
          </cell>
          <cell r="V240" t="str">
            <v>02236922114</v>
          </cell>
          <cell r="W240" t="str">
            <v>NACIDO EN EL EXTRANJERO</v>
          </cell>
          <cell r="X240" t="str">
            <v/>
          </cell>
          <cell r="Y240" t="str">
            <v/>
          </cell>
          <cell r="Z240" t="str">
            <v>GURM6910255S9</v>
          </cell>
          <cell r="AA240" t="str">
            <v>SUPERVISOR</v>
          </cell>
          <cell r="AB240" t="str">
            <v>MUJER</v>
          </cell>
          <cell r="AC240">
            <v>521.29315068493099</v>
          </cell>
          <cell r="AD240" t="str">
            <v/>
          </cell>
          <cell r="AE240" t="str">
            <v/>
          </cell>
          <cell r="AF240" t="str">
            <v>5514275428</v>
          </cell>
          <cell r="AG240" t="str">
            <v>GDL</v>
          </cell>
          <cell r="AH240">
            <v>0</v>
          </cell>
        </row>
        <row r="241">
          <cell r="A241">
            <v>400</v>
          </cell>
          <cell r="B241" t="str">
            <v>w9dqy2wz4o5mxe8</v>
          </cell>
          <cell r="C241" t="str">
            <v>BTL-SUP-400</v>
          </cell>
          <cell r="D241" t="str">
            <v>44760</v>
          </cell>
          <cell r="E241" t="str">
            <v>silvia.estrada.20@gmail.com</v>
          </cell>
          <cell r="F241" t="str">
            <v>LOES870520MJCPSL00</v>
          </cell>
          <cell r="G241" t="str">
            <v/>
          </cell>
          <cell r="H241" t="str">
            <v/>
          </cell>
          <cell r="I241" t="str">
            <v/>
          </cell>
          <cell r="J241" t="str">
            <v>CARLOS R MENÉNDEZ #1327 LA CAMPESINA GUADALAJARA  CP 44760 JALISCO</v>
          </cell>
          <cell r="K241">
            <v>0</v>
          </cell>
          <cell r="L241" t="str">
            <v>ACTIVO</v>
          </cell>
          <cell r="M241" t="str">
            <v>SOLTERO/A</v>
          </cell>
          <cell r="N241" t="str">
            <v/>
          </cell>
          <cell r="O241" t="str">
            <v/>
          </cell>
          <cell r="P241" t="str">
            <v/>
          </cell>
          <cell r="Q241" t="str">
            <v>2025-01-01 00:00:00.000Z</v>
          </cell>
          <cell r="R241" t="str">
            <v>2025-01-01 00:00:00.000Z</v>
          </cell>
          <cell r="S241" t="str">
            <v>1987-05-20 00:00:00.000Z</v>
          </cell>
          <cell r="T241" t="str">
            <v>p17zl1u81h038zf</v>
          </cell>
          <cell r="U241" t="str">
            <v>LÓPEZ ESTRADA SILVIA BERENICE</v>
          </cell>
          <cell r="V241" t="str">
            <v>02198711323</v>
          </cell>
          <cell r="W241" t="str">
            <v>JALISCO</v>
          </cell>
          <cell r="X241" t="str">
            <v/>
          </cell>
          <cell r="Y241" t="str">
            <v/>
          </cell>
          <cell r="Z241" t="str">
            <v>LOES870520MH2</v>
          </cell>
          <cell r="AA241" t="str">
            <v>SUPERVISOR</v>
          </cell>
          <cell r="AB241" t="str">
            <v>MUJER</v>
          </cell>
          <cell r="AC241">
            <v>519.93561643835596</v>
          </cell>
          <cell r="AD241" t="str">
            <v/>
          </cell>
          <cell r="AE241" t="str">
            <v/>
          </cell>
          <cell r="AF241" t="str">
            <v>3315377761</v>
          </cell>
          <cell r="AG241" t="str">
            <v>GDL</v>
          </cell>
          <cell r="AH241">
            <v>0</v>
          </cell>
        </row>
        <row r="242">
          <cell r="A242">
            <v>8</v>
          </cell>
          <cell r="B242" t="str">
            <v>w9dqy2wz4o5mxe8</v>
          </cell>
          <cell r="C242" t="str">
            <v>BTL-SUP-8</v>
          </cell>
          <cell r="D242" t="str">
            <v>83296</v>
          </cell>
          <cell r="E242" t="str">
            <v>luzevelialopezgutierrez@gmail.com</v>
          </cell>
          <cell r="F242" t="str">
            <v>LOGL710929MSRPTZ00</v>
          </cell>
          <cell r="G242" t="str">
            <v/>
          </cell>
          <cell r="H242" t="str">
            <v/>
          </cell>
          <cell r="I242" t="str">
            <v/>
          </cell>
          <cell r="J242" t="str">
            <v>PROMOTORES 144 ALTARES RANCHO GRANDE HERMOSILLO  CP 83296 SONORA</v>
          </cell>
          <cell r="K242">
            <v>0</v>
          </cell>
          <cell r="L242" t="str">
            <v>ACTIVO</v>
          </cell>
          <cell r="M242" t="str">
            <v>SOLTERO/A</v>
          </cell>
          <cell r="N242" t="str">
            <v/>
          </cell>
          <cell r="O242" t="str">
            <v/>
          </cell>
          <cell r="P242" t="str">
            <v/>
          </cell>
          <cell r="Q242" t="str">
            <v>2020-08-01 00:00:00.000Z</v>
          </cell>
          <cell r="R242" t="str">
            <v>2020-08-13 00:00:00.000Z</v>
          </cell>
          <cell r="S242" t="str">
            <v>1971-09-29 00:00:00.000Z</v>
          </cell>
          <cell r="T242" t="str">
            <v>12tnfte7s1vc959</v>
          </cell>
          <cell r="U242" t="str">
            <v>LÓPEZ GUTIÉRREZ LUZ EVELIA</v>
          </cell>
          <cell r="V242" t="str">
            <v>24867036683</v>
          </cell>
          <cell r="W242" t="str">
            <v>SONORA</v>
          </cell>
          <cell r="X242" t="str">
            <v/>
          </cell>
          <cell r="Y242" t="str">
            <v/>
          </cell>
          <cell r="Z242" t="str">
            <v>LOGL710929J95</v>
          </cell>
          <cell r="AA242" t="str">
            <v>SUPERVISOR</v>
          </cell>
          <cell r="AB242" t="str">
            <v>MUJER</v>
          </cell>
          <cell r="AC242">
            <v>523.32945205479405</v>
          </cell>
          <cell r="AD242" t="str">
            <v/>
          </cell>
          <cell r="AE242" t="str">
            <v/>
          </cell>
          <cell r="AF242" t="str">
            <v>6624504119</v>
          </cell>
          <cell r="AG242" t="str">
            <v>SONORA</v>
          </cell>
          <cell r="AH242">
            <v>0</v>
          </cell>
        </row>
        <row r="243">
          <cell r="A243">
            <v>552</v>
          </cell>
          <cell r="B243" t="str">
            <v>w9dqy2wz4o5mxe8</v>
          </cell>
          <cell r="C243" t="str">
            <v>BTL-SUP-552</v>
          </cell>
          <cell r="D243" t="str">
            <v>11480</v>
          </cell>
          <cell r="E243" t="str">
            <v>jacka_lopez@hotmail.com</v>
          </cell>
          <cell r="F243" t="str">
            <v>LORJ770731MDFPZC02</v>
          </cell>
          <cell r="G243" t="str">
            <v/>
          </cell>
          <cell r="H243" t="str">
            <v/>
          </cell>
          <cell r="I243" t="str">
            <v/>
          </cell>
          <cell r="J243" t="str">
            <v>CALLE 6 415 11, FRANCISCO I MADERO, MIGUEL HIDALGO DISTRITO FEDERAL, C.P. 11480, MEXICO</v>
          </cell>
          <cell r="K243">
            <v>0</v>
          </cell>
          <cell r="L243" t="str">
            <v>ACTIVO</v>
          </cell>
          <cell r="M243" t="str">
            <v>CASADO/A</v>
          </cell>
          <cell r="N243" t="str">
            <v/>
          </cell>
          <cell r="O243" t="str">
            <v/>
          </cell>
          <cell r="P243" t="str">
            <v/>
          </cell>
          <cell r="Q243" t="str">
            <v>2026-01-12 00:00:00.000Z</v>
          </cell>
          <cell r="R243" t="str">
            <v>2026-01-12 00:00:00.000Z</v>
          </cell>
          <cell r="S243" t="str">
            <v>1977-07-31 00:00:00.000Z</v>
          </cell>
          <cell r="T243" t="str">
            <v>ab04ifslsxt28ut</v>
          </cell>
          <cell r="U243" t="str">
            <v>LOPEZ RUIZ JACQUELINE</v>
          </cell>
          <cell r="V243" t="str">
            <v>07967717823</v>
          </cell>
          <cell r="W243" t="str">
            <v>CIUDAD DE MEXICO</v>
          </cell>
          <cell r="X243" t="str">
            <v/>
          </cell>
          <cell r="Y243" t="str">
            <v/>
          </cell>
          <cell r="Z243" t="str">
            <v>LORJ770731F53</v>
          </cell>
          <cell r="AA243" t="str">
            <v>SUPERVISOR</v>
          </cell>
          <cell r="AB243" t="str">
            <v>MUJER</v>
          </cell>
          <cell r="AC243">
            <v>495.18227397260199</v>
          </cell>
          <cell r="AD243" t="str">
            <v/>
          </cell>
          <cell r="AE243" t="str">
            <v/>
          </cell>
          <cell r="AF243" t="str">
            <v>5565310754</v>
          </cell>
          <cell r="AG243" t="str">
            <v>CDMX</v>
          </cell>
          <cell r="AH243">
            <v>0</v>
          </cell>
        </row>
        <row r="244">
          <cell r="A244">
            <v>3</v>
          </cell>
          <cell r="B244" t="str">
            <v>w9dqy2wz4o5mxe8</v>
          </cell>
          <cell r="C244" t="str">
            <v>BTL-SUP-3</v>
          </cell>
          <cell r="D244" t="str">
            <v>07230</v>
          </cell>
          <cell r="E244" t="str">
            <v>zheni_56@outlook.es</v>
          </cell>
          <cell r="F244" t="str">
            <v>MOGZ760824MDFNNN00</v>
          </cell>
          <cell r="G244" t="str">
            <v/>
          </cell>
          <cell r="H244" t="str">
            <v/>
          </cell>
          <cell r="I244" t="str">
            <v/>
          </cell>
          <cell r="J244" t="str">
            <v>ANTONIO CASA MZ-9 LT-29 ZONA ESCOLAR GUSTAVO ANTONIO MADERO CP 07230 CIUDAD DE MÉXICO</v>
          </cell>
          <cell r="K244">
            <v>0</v>
          </cell>
          <cell r="L244" t="str">
            <v>ACTIVO</v>
          </cell>
          <cell r="M244" t="str">
            <v>SOLTERO/A</v>
          </cell>
          <cell r="N244" t="str">
            <v/>
          </cell>
          <cell r="O244" t="str">
            <v/>
          </cell>
          <cell r="P244" t="str">
            <v/>
          </cell>
          <cell r="Q244" t="str">
            <v>2020-07-04 00:00:00.000Z</v>
          </cell>
          <cell r="R244" t="str">
            <v>2020-07-20 00:00:00.000Z</v>
          </cell>
          <cell r="S244" t="str">
            <v>1976-08-24 00:00:00.000Z</v>
          </cell>
          <cell r="T244" t="str">
            <v>1g053y625s2e129</v>
          </cell>
          <cell r="U244" t="str">
            <v>MONROY GONZALEZ MARIA ZENAIDA</v>
          </cell>
          <cell r="V244" t="str">
            <v>39977618428</v>
          </cell>
          <cell r="W244" t="str">
            <v>CIUDAD DE MEXICO</v>
          </cell>
          <cell r="X244" t="str">
            <v/>
          </cell>
          <cell r="Y244" t="str">
            <v/>
          </cell>
          <cell r="Z244" t="str">
            <v>MOGZ760824NU3</v>
          </cell>
          <cell r="AA244" t="str">
            <v>SUPERVISOR</v>
          </cell>
          <cell r="AB244" t="str">
            <v>MUJER</v>
          </cell>
          <cell r="AC244">
            <v>523.32945205479405</v>
          </cell>
          <cell r="AD244" t="str">
            <v/>
          </cell>
          <cell r="AE244" t="str">
            <v/>
          </cell>
          <cell r="AF244" t="str">
            <v>5535769235</v>
          </cell>
          <cell r="AG244" t="str">
            <v>CDMX</v>
          </cell>
          <cell r="AH244">
            <v>0</v>
          </cell>
        </row>
        <row r="245">
          <cell r="A245">
            <v>515</v>
          </cell>
          <cell r="B245" t="str">
            <v>w9dqy2wz4o5mxe8</v>
          </cell>
          <cell r="C245" t="str">
            <v>BTL-SUP-515</v>
          </cell>
          <cell r="D245" t="str">
            <v>07420</v>
          </cell>
          <cell r="E245" t="str">
            <v>montagner2105@hotmail.com</v>
          </cell>
          <cell r="F245" t="str">
            <v>MOOM850521HDFNLG04</v>
          </cell>
          <cell r="G245" t="str">
            <v/>
          </cell>
          <cell r="H245" t="str">
            <v/>
          </cell>
          <cell r="I245" t="str">
            <v/>
          </cell>
          <cell r="J245" t="str">
            <v>CALLE 309 # 730 NUEVA ATZACOALCO  GUSTAVO A MADERO  CP 07420 CIUDAD DE MÉXICO</v>
          </cell>
          <cell r="K245">
            <v>0</v>
          </cell>
          <cell r="L245" t="str">
            <v>ACTIVO</v>
          </cell>
          <cell r="M245" t="str">
            <v>CASADO/A</v>
          </cell>
          <cell r="N245" t="str">
            <v/>
          </cell>
          <cell r="O245" t="str">
            <v/>
          </cell>
          <cell r="P245" t="str">
            <v/>
          </cell>
          <cell r="Q245" t="str">
            <v>2025-10-01 00:00:00.000Z</v>
          </cell>
          <cell r="R245" t="str">
            <v>2025-10-01 00:00:00.000Z</v>
          </cell>
          <cell r="S245" t="str">
            <v>1985-05-21 00:00:00.000Z</v>
          </cell>
          <cell r="T245" t="str">
            <v>ar6fmxr9xf95alx</v>
          </cell>
          <cell r="U245" t="str">
            <v>MONTAGNER OLIVARES MIGUEL ANGEL</v>
          </cell>
          <cell r="V245" t="str">
            <v>07048502772</v>
          </cell>
          <cell r="W245" t="str">
            <v>CIUDAD DE MEXICO</v>
          </cell>
          <cell r="X245" t="str">
            <v/>
          </cell>
          <cell r="Y245" t="str">
            <v/>
          </cell>
          <cell r="Z245" t="str">
            <v>MOOM850521B14</v>
          </cell>
          <cell r="AA245" t="str">
            <v>SUPERVISOR</v>
          </cell>
          <cell r="AB245" t="str">
            <v>HOMBRE</v>
          </cell>
          <cell r="AC245">
            <v>495.18227397260199</v>
          </cell>
          <cell r="AD245" t="str">
            <v/>
          </cell>
          <cell r="AE245" t="str">
            <v/>
          </cell>
          <cell r="AF245" t="str">
            <v>5521146062</v>
          </cell>
          <cell r="AG245" t="str">
            <v>CDMX</v>
          </cell>
          <cell r="AH245">
            <v>0</v>
          </cell>
        </row>
        <row r="246">
          <cell r="A246">
            <v>1</v>
          </cell>
          <cell r="B246" t="str">
            <v>w9dqy2wz4o5mxe8</v>
          </cell>
          <cell r="C246" t="str">
            <v>BTL-SUP-1</v>
          </cell>
          <cell r="D246" t="str">
            <v>55883</v>
          </cell>
          <cell r="E246" t="str">
            <v>lilireaybar@gmail.com</v>
          </cell>
          <cell r="F246" t="str">
            <v>REAL840514MDFYYL03</v>
          </cell>
          <cell r="G246" t="str">
            <v/>
          </cell>
          <cell r="H246" t="str">
            <v/>
          </cell>
          <cell r="I246" t="str">
            <v/>
          </cell>
          <cell r="J246" t="str">
            <v>LAGO CHURUBUSCO MZ 12 LT23 INT 226 GEOVILLAS DE TERRANOVA ALCOLMAN EDO MEX CP 55883 MÉXICO</v>
          </cell>
          <cell r="K246">
            <v>0</v>
          </cell>
          <cell r="L246" t="str">
            <v>ACTIVO</v>
          </cell>
          <cell r="M246" t="str">
            <v>SOLTERO/A</v>
          </cell>
          <cell r="N246" t="str">
            <v/>
          </cell>
          <cell r="O246" t="str">
            <v/>
          </cell>
          <cell r="P246" t="str">
            <v/>
          </cell>
          <cell r="Q246" t="str">
            <v>2020-07-04 00:00:00.000Z</v>
          </cell>
          <cell r="R246" t="str">
            <v>2020-07-20 00:00:00.000Z</v>
          </cell>
          <cell r="S246" t="str">
            <v>1984-05-14 00:00:00.000Z</v>
          </cell>
          <cell r="T246" t="str">
            <v>cgbdurnsz7t509q</v>
          </cell>
          <cell r="U246" t="str">
            <v>REYES AYBAR LILIANA</v>
          </cell>
          <cell r="V246" t="str">
            <v>37048404729</v>
          </cell>
          <cell r="W246" t="str">
            <v>CIUDAD DE MEXICO</v>
          </cell>
          <cell r="X246" t="str">
            <v/>
          </cell>
          <cell r="Y246" t="str">
            <v/>
          </cell>
          <cell r="Z246" t="str">
            <v>REAL8405143R6</v>
          </cell>
          <cell r="AA246" t="str">
            <v>SUPERVISOR</v>
          </cell>
          <cell r="AB246" t="str">
            <v>MUJER</v>
          </cell>
          <cell r="AC246">
            <v>523.32945205479405</v>
          </cell>
          <cell r="AD246" t="str">
            <v/>
          </cell>
          <cell r="AE246" t="str">
            <v/>
          </cell>
          <cell r="AF246" t="str">
            <v>5532151036</v>
          </cell>
          <cell r="AG246" t="str">
            <v>CDMX</v>
          </cell>
          <cell r="AH246">
            <v>0</v>
          </cell>
        </row>
        <row r="247">
          <cell r="A247" t="str">
            <v>undefined</v>
          </cell>
          <cell r="B247" t="str">
            <v>w9dqy2wz4o5mxe8</v>
          </cell>
          <cell r="C247" t="str">
            <v>BTL-SUP-undefined</v>
          </cell>
          <cell r="D247" t="str">
            <v>66601</v>
          </cell>
          <cell r="E247" t="str">
            <v>ojostapatios.07@hotmail.com</v>
          </cell>
          <cell r="F247" t="str">
            <v>AAGA800924MCLLRD05</v>
          </cell>
          <cell r="G247" t="str">
            <v/>
          </cell>
          <cell r="H247" t="str">
            <v/>
          </cell>
          <cell r="I247" t="str">
            <v/>
          </cell>
          <cell r="J247" t="str">
            <v>NAVIO 400, COL. SAN MIGUEL GOLONDRINAS, C.P. 66640, CIUDAD APODACA, NUEVO LEÓN, MÉXICO</v>
          </cell>
          <cell r="K247">
            <v>0</v>
          </cell>
          <cell r="L247" t="str">
            <v>ACTIVO</v>
          </cell>
          <cell r="M247" t="str">
            <v>SOLTERO/A</v>
          </cell>
          <cell r="N247" t="str">
            <v/>
          </cell>
          <cell r="O247" t="str">
            <v/>
          </cell>
          <cell r="P247" t="str">
            <v/>
          </cell>
          <cell r="Q247" t="str">
            <v>2026-02-26 00:00:00.000Z</v>
          </cell>
          <cell r="R247" t="str">
            <v>2026-02-26 00:00:00.000Z</v>
          </cell>
          <cell r="S247" t="str">
            <v>1980-09-24 00:00:00.000Z</v>
          </cell>
          <cell r="T247" t="str">
            <v>53f2mo56140p414</v>
          </cell>
          <cell r="U247" t="str">
            <v>ALVAREZ GARCIA ADRIANA YULISMA</v>
          </cell>
          <cell r="V247" t="str">
            <v>43038006748</v>
          </cell>
          <cell r="W247" t="str">
            <v>NUEVO LEON</v>
          </cell>
          <cell r="X247" t="str">
            <v/>
          </cell>
          <cell r="Y247" t="str">
            <v/>
          </cell>
          <cell r="Z247" t="str">
            <v>AAGA800924SS2</v>
          </cell>
          <cell r="AA247" t="str">
            <v>SUPERVISOR</v>
          </cell>
          <cell r="AB247" t="str">
            <v>MUJER</v>
          </cell>
          <cell r="AC247">
            <v>0</v>
          </cell>
          <cell r="AD247" t="str">
            <v/>
          </cell>
          <cell r="AE247" t="str">
            <v/>
          </cell>
          <cell r="AF247" t="str">
            <v>8131304014</v>
          </cell>
          <cell r="AG247" t="str">
            <v/>
          </cell>
          <cell r="AH247">
            <v>0</v>
          </cell>
        </row>
        <row r="248">
          <cell r="A248">
            <v>567</v>
          </cell>
          <cell r="B248" t="str">
            <v>w9dqy2wz4o5mxe8</v>
          </cell>
          <cell r="C248" t="str">
            <v>BTL-REC-567</v>
          </cell>
          <cell r="D248" t="str">
            <v>08030</v>
          </cell>
          <cell r="E248" t="str">
            <v>yadirat684@gmail.com</v>
          </cell>
          <cell r="F248" t="str">
            <v>GOTY730327MDFMRD01</v>
          </cell>
          <cell r="G248" t="str">
            <v/>
          </cell>
          <cell r="H248" t="str">
            <v/>
          </cell>
          <cell r="I248" t="str">
            <v/>
          </cell>
          <cell r="J248" t="str">
            <v>AND. PUENTE CORREO MAYOR # 85 COL. CUCHILLA RAMOS MILLAN C.P.08030 IZTACALCO, CDMX.</v>
          </cell>
          <cell r="K248">
            <v>0</v>
          </cell>
          <cell r="L248" t="str">
            <v>ACTIVO</v>
          </cell>
          <cell r="M248" t="str">
            <v>CASADO/A</v>
          </cell>
          <cell r="N248" t="str">
            <v/>
          </cell>
          <cell r="O248" t="str">
            <v/>
          </cell>
          <cell r="P248" t="str">
            <v/>
          </cell>
          <cell r="Q248" t="str">
            <v>2026-01-16 00:00:00.000Z</v>
          </cell>
          <cell r="R248" t="str">
            <v>2026-01-16 00:00:00.000Z</v>
          </cell>
          <cell r="S248" t="str">
            <v>1973-03-27 00:00:00.000Z</v>
          </cell>
          <cell r="T248" t="str">
            <v>3o6c0983s5ah3rw</v>
          </cell>
          <cell r="U248" t="str">
            <v>GOMEZ TORRES YADIRA ESPERANZA</v>
          </cell>
          <cell r="V248" t="str">
            <v>37907231973</v>
          </cell>
          <cell r="W248" t="str">
            <v>CIUDAD DE MEXICO</v>
          </cell>
          <cell r="X248" t="str">
            <v/>
          </cell>
          <cell r="Y248" t="str">
            <v/>
          </cell>
          <cell r="Z248" t="str">
            <v>GOTY730327TY5</v>
          </cell>
          <cell r="AA248" t="str">
            <v>RECLUTAMIENTO</v>
          </cell>
          <cell r="AB248" t="str">
            <v>MUJER</v>
          </cell>
          <cell r="AC248">
            <v>497.45342465753401</v>
          </cell>
          <cell r="AD248" t="str">
            <v/>
          </cell>
          <cell r="AE248" t="str">
            <v/>
          </cell>
          <cell r="AF248" t="str">
            <v>5518136592</v>
          </cell>
          <cell r="AG248" t="str">
            <v>CDMX</v>
          </cell>
          <cell r="AH248">
            <v>0</v>
          </cell>
        </row>
        <row r="249">
          <cell r="A249">
            <v>570</v>
          </cell>
          <cell r="B249" t="str">
            <v>w9dqy2wz4o5mxe8</v>
          </cell>
          <cell r="C249" t="str">
            <v>BTL-LOVE-570</v>
          </cell>
          <cell r="D249" t="str">
            <v>07400</v>
          </cell>
          <cell r="E249" t="str">
            <v>cardrami10@gmail.com</v>
          </cell>
          <cell r="F249" t="str">
            <v>CARM740120MDFRMR06</v>
          </cell>
          <cell r="G249" t="str">
            <v/>
          </cell>
          <cell r="H249" t="str">
            <v/>
          </cell>
          <cell r="I249" t="str">
            <v/>
          </cell>
          <cell r="J249" t="str">
            <v>NORTE 72# 8004 COL. SALVADOR DIAZ MIRON C.P. 07400 GUSTAVO A. MADERO, CDMX.</v>
          </cell>
          <cell r="K249">
            <v>0</v>
          </cell>
          <cell r="L249" t="str">
            <v>ACTIVO</v>
          </cell>
          <cell r="M249" t="str">
            <v>CASADO/A</v>
          </cell>
          <cell r="N249" t="str">
            <v/>
          </cell>
          <cell r="O249" t="str">
            <v/>
          </cell>
          <cell r="P249" t="str">
            <v/>
          </cell>
          <cell r="Q249" t="str">
            <v>2026-01-16 00:00:00.000Z</v>
          </cell>
          <cell r="R249" t="str">
            <v>2026-01-16 00:00:00.000Z</v>
          </cell>
          <cell r="S249" t="str">
            <v>1974-01-20 00:00:00.000Z</v>
          </cell>
          <cell r="T249" t="str">
            <v>21zx77fpv7rq08m</v>
          </cell>
          <cell r="U249" t="str">
            <v>CARDENAS RAMIREZ MIRIAM</v>
          </cell>
          <cell r="V249" t="str">
            <v>94947408343</v>
          </cell>
          <cell r="W249" t="str">
            <v>CIUDAD DE MEXICO</v>
          </cell>
          <cell r="X249" t="str">
            <v/>
          </cell>
          <cell r="Y249" t="str">
            <v/>
          </cell>
          <cell r="Z249" t="str">
            <v>CARM7401203I8</v>
          </cell>
          <cell r="AA249" t="str">
            <v>LOVE_ISDIN</v>
          </cell>
          <cell r="AB249" t="str">
            <v>MUJER</v>
          </cell>
          <cell r="AC249">
            <v>495.45468493150599</v>
          </cell>
          <cell r="AD249" t="str">
            <v/>
          </cell>
          <cell r="AE249" t="str">
            <v/>
          </cell>
          <cell r="AF249" t="str">
            <v>5518136454</v>
          </cell>
          <cell r="AG249" t="str">
            <v>CDMX</v>
          </cell>
          <cell r="AH249">
            <v>0</v>
          </cell>
        </row>
        <row r="250">
          <cell r="A250">
            <v>3001</v>
          </cell>
          <cell r="B250" t="str">
            <v>w9dqy2wz4o5mxe8</v>
          </cell>
          <cell r="C250" t="str">
            <v>BTL-COORD-3001</v>
          </cell>
          <cell r="D250" t="str">
            <v/>
          </cell>
          <cell r="E250" t="str">
            <v>pilar@artolagroup.com</v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>
            <v>0</v>
          </cell>
          <cell r="L250" t="str">
            <v>ACTIVO</v>
          </cell>
          <cell r="M250" t="str">
            <v>CASADO/A</v>
          </cell>
          <cell r="N250" t="str">
            <v/>
          </cell>
          <cell r="O250" t="str">
            <v/>
          </cell>
          <cell r="P250" t="str">
            <v/>
          </cell>
          <cell r="Q250" t="str">
            <v>2026-01-16 00:00:00.000Z</v>
          </cell>
          <cell r="R250" t="str">
            <v>2026-01-16 00:00:00.000Z</v>
          </cell>
          <cell r="S250" t="str">
            <v/>
          </cell>
          <cell r="T250" t="str">
            <v>o15x691b6m0xu16</v>
          </cell>
          <cell r="U250" t="str">
            <v>PILAR ROMERO</v>
          </cell>
          <cell r="V250" t="str">
            <v/>
          </cell>
          <cell r="W250" t="str">
            <v>CIUDAD DE MEXICO</v>
          </cell>
          <cell r="X250" t="str">
            <v/>
          </cell>
          <cell r="Y250" t="str">
            <v/>
          </cell>
          <cell r="Z250" t="str">
            <v/>
          </cell>
          <cell r="AA250" t="str">
            <v>COORDINADOR</v>
          </cell>
          <cell r="AB250" t="str">
            <v>MUJER</v>
          </cell>
          <cell r="AC250">
            <v>0</v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>
            <v>0</v>
          </cell>
        </row>
        <row r="251">
          <cell r="A251">
            <v>562</v>
          </cell>
          <cell r="B251" t="str">
            <v>w9dqy2wz4o5mxe8</v>
          </cell>
          <cell r="C251" t="str">
            <v>BTL-ADMIN-01</v>
          </cell>
          <cell r="D251" t="str">
            <v>54090</v>
          </cell>
          <cell r="E251" t="str">
            <v>hectorvalle@live.com.mx</v>
          </cell>
          <cell r="F251" t="str">
            <v>VARH891111HMCLDC05</v>
          </cell>
          <cell r="G251" t="str">
            <v/>
          </cell>
          <cell r="H251" t="str">
            <v/>
          </cell>
          <cell r="I251" t="str">
            <v/>
          </cell>
          <cell r="J251" t="str">
            <v>PENINSULA DE INDOCHINA 21 EL ROSARIO 2 SECTOR 3 TLALEPANTLA DE BAZ ESTADO DE MÉXICO CP 54090</v>
          </cell>
          <cell r="K251">
            <v>0</v>
          </cell>
          <cell r="L251" t="str">
            <v>ACTIVO</v>
          </cell>
          <cell r="M251" t="str">
            <v>CASADO/A</v>
          </cell>
          <cell r="N251" t="str">
            <v/>
          </cell>
          <cell r="O251" t="str">
            <v/>
          </cell>
          <cell r="P251" t="str">
            <v/>
          </cell>
          <cell r="Q251" t="str">
            <v>2026-01-16 00:00:00.000Z</v>
          </cell>
          <cell r="R251" t="str">
            <v>2026-01-16 00:00:00.000Z</v>
          </cell>
          <cell r="S251" t="str">
            <v>1989-11-11 00:00:00.000Z</v>
          </cell>
          <cell r="T251" t="str">
            <v>405g68bkhgf7zh1</v>
          </cell>
          <cell r="U251" t="str">
            <v>VALLE RODRIGUEZ HECTOR EDUARDO</v>
          </cell>
          <cell r="V251" t="str">
            <v>92078909329</v>
          </cell>
          <cell r="W251" t="str">
            <v>ESTADO DE MEXICO</v>
          </cell>
          <cell r="X251" t="str">
            <v/>
          </cell>
          <cell r="Y251" t="str">
            <v/>
          </cell>
          <cell r="Z251" t="str">
            <v>VARH891111EN8</v>
          </cell>
          <cell r="AA251" t="str">
            <v>ADMIN</v>
          </cell>
          <cell r="AB251" t="str">
            <v>HOMBRE</v>
          </cell>
          <cell r="AC251">
            <v>1065.6004383561601</v>
          </cell>
          <cell r="AD251" t="str">
            <v/>
          </cell>
          <cell r="AE251" t="str">
            <v/>
          </cell>
          <cell r="AF251" t="str">
            <v>5531380645</v>
          </cell>
          <cell r="AG251" t="str">
            <v>CDMX</v>
          </cell>
          <cell r="AH251">
            <v>0</v>
          </cell>
        </row>
        <row r="252">
          <cell r="A252">
            <v>11</v>
          </cell>
          <cell r="B252" t="str">
            <v>w9dqy2wz4o5mxe8</v>
          </cell>
          <cell r="C252" t="str">
            <v>BTL-VTA-11</v>
          </cell>
          <cell r="D252" t="str">
            <v>54457</v>
          </cell>
          <cell r="E252" t="str">
            <v>gusi_960@yahoo.com.mx</v>
          </cell>
          <cell r="F252" t="str">
            <v>RARG891121HMCMMS00</v>
          </cell>
          <cell r="G252" t="str">
            <v/>
          </cell>
          <cell r="H252" t="str">
            <v/>
          </cell>
          <cell r="I252" t="str">
            <v/>
          </cell>
          <cell r="J252" t="str">
            <v>CDA. 5 DE MAYO, MZ 2  L-48 D, COL. IGNACIO ZARAGOZA, C.P. 54457 NICOLÁS ROMERO, MEX.</v>
          </cell>
          <cell r="K252">
            <v>0</v>
          </cell>
          <cell r="L252" t="str">
            <v>ACTIVO</v>
          </cell>
          <cell r="M252" t="str">
            <v>CASADO/A</v>
          </cell>
          <cell r="N252" t="str">
            <v/>
          </cell>
          <cell r="O252" t="str">
            <v/>
          </cell>
          <cell r="P252" t="str">
            <v/>
          </cell>
          <cell r="Q252" t="str">
            <v>2020-11-09 00:00:00.000Z</v>
          </cell>
          <cell r="R252" t="str">
            <v>2020-11-08 00:00:00.000Z</v>
          </cell>
          <cell r="S252" t="str">
            <v>1989-11-12 00:00:00.000Z</v>
          </cell>
          <cell r="T252" t="str">
            <v>9v31rkierh60xei</v>
          </cell>
          <cell r="U252" t="str">
            <v xml:space="preserve">RAMIREZ RAMIREZ GUSTAVO                           </v>
          </cell>
          <cell r="V252" t="str">
            <v>90078931798</v>
          </cell>
          <cell r="W252" t="str">
            <v>ESTADO DE MEXICO</v>
          </cell>
          <cell r="X252" t="str">
            <v/>
          </cell>
          <cell r="Y252" t="str">
            <v/>
          </cell>
          <cell r="Z252" t="str">
            <v>RARG891121V7A</v>
          </cell>
          <cell r="AA252" t="str">
            <v>VENTAS</v>
          </cell>
          <cell r="AB252" t="str">
            <v>HOMBRE</v>
          </cell>
          <cell r="AC252">
            <v>498.41664657534199</v>
          </cell>
          <cell r="AD252" t="str">
            <v/>
          </cell>
          <cell r="AE252" t="str">
            <v/>
          </cell>
          <cell r="AF252" t="str">
            <v>5533338963</v>
          </cell>
          <cell r="AG252" t="str">
            <v>CDMX</v>
          </cell>
          <cell r="AH252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E4550-10B0-41C9-A654-6666BF9224F0}" name="Tabla1" displayName="Tabla1" ref="A1:S268" totalsRowShown="0" headerRowDxfId="24" dataDxfId="22" headerRowBorderDxfId="23" tableBorderDxfId="21" totalsRowBorderDxfId="20">
  <autoFilter ref="A1:S268" xr:uid="{1DEE4550-10B0-41C9-A654-6666BF9224F0}">
    <filterColumn colId="3">
      <filters>
        <filter val="ALBERTINA MINAKATA AZPEITIA"/>
        <filter val="ALONDRA MIRIAM GARCIA LARIOS"/>
        <filter val="BLANCA DIANA PEREZ MENDOZA"/>
        <filter val="KARLA XIMENA VILCHIZ GALVAN"/>
        <filter val="MAIRIM TERESA SEPULVEDA CARREÑO"/>
        <filter val="NELLY DIANA ESPINOZA PALOMARES"/>
        <filter val="YADHIRA BERENISSE PEREZ MARTINEZ"/>
      </filters>
    </filterColumn>
  </autoFilter>
  <sortState xmlns:xlrd2="http://schemas.microsoft.com/office/spreadsheetml/2017/richdata2" ref="A2:S268">
    <sortCondition ref="C1:C268"/>
  </sortState>
  <tableColumns count="19">
    <tableColumn id="1" xr3:uid="{C59AAE5E-FD19-4540-8BA9-75D5CECF4596}" name="id_nomina" dataDxfId="19"/>
    <tableColumn id="2" xr3:uid="{27BC32E2-046F-4728-8D80-F603A9ECDBBC}" name="NSS" dataDxfId="18"/>
    <tableColumn id="21" xr3:uid="{5C348160-1F7A-4E37-BD33-23676F7524BF}" name="USUARIO INICIAL" dataDxfId="17"/>
    <tableColumn id="3" xr3:uid="{7F50F66E-8EE1-42DD-8705-C0E7EA4FC007}" name="Nombre" dataDxfId="16"/>
    <tableColumn id="4" xr3:uid="{5A83B8B3-817F-4F47-BF26-4708DAD21592}" name="CORREO" dataDxfId="15"/>
    <tableColumn id="5" xr3:uid="{61240A6D-76AF-4B20-81FA-D240ECE38730}" name="Fecha de Ingreso" dataDxfId="14"/>
    <tableColumn id="7" xr3:uid="{097FFB72-FEA6-48B4-87D8-12BA890231CD}" name="ROL" dataDxfId="13"/>
    <tableColumn id="8" xr3:uid="{1ABCDF70-C95C-48C2-93BA-6764EE2BC6D9}" name="SBC (DIARIO)" dataDxfId="12"/>
    <tableColumn id="9" xr3:uid="{A7AE59C3-C08B-4820-A796-4BF457890C4F}" name="Fecha de nacimiento" dataDxfId="11"/>
    <tableColumn id="14" xr3:uid="{2110451B-78EE-4DB3-BBDC-8BC46EAA1C37}" name="RFC" dataDxfId="10"/>
    <tableColumn id="10" xr3:uid="{85CD24EF-A0C6-4204-9063-C6D1E0AFD366}" name="CURP" dataDxfId="9"/>
    <tableColumn id="11" xr3:uid="{CB95635B-8962-43F6-81E5-B8FC44CE5CE1}" name="Domicilio Completo" dataDxfId="8"/>
    <tableColumn id="12" xr3:uid="{789824D6-8483-49A1-A6DE-A562BD2CF1CC}" name="Código postal" dataDxfId="7"/>
    <tableColumn id="13" xr3:uid="{008EC450-F212-4B92-A261-5C25E472AC45}" name="Teléfono celular" dataDxfId="6"/>
    <tableColumn id="15" xr3:uid="{33BBC187-51AA-4323-A2C9-7B842C4F3224}" name="EDAD" dataDxfId="5"/>
    <tableColumn id="17" xr3:uid="{B8B063B9-C0EB-4A59-9604-E0332CAF44F1}" name="AÑOS LABORANDO " dataDxfId="4"/>
    <tableColumn id="19" xr3:uid="{79BD4113-C550-4727-9F04-BBB9B83E49F6}" name="SEXO" dataDxfId="3"/>
    <tableColumn id="20" xr3:uid="{5C44A607-FC25-4D0A-9CA4-8E67B75E2AE4}" name="ESTADO       CIVIL" dataDxfId="2"/>
    <tableColumn id="22" xr3:uid="{DCF77B7F-9F62-437A-B482-9A877463BB2B}" name="ORIGINARIO" dataDxfId="1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ctorvalle@live.com.mx" TargetMode="External"/><Relationship Id="rId2" Type="http://schemas.openxmlformats.org/officeDocument/2006/relationships/hyperlink" Target="mailto:shareniacosta64@gmail.com" TargetMode="External"/><Relationship Id="rId1" Type="http://schemas.openxmlformats.org/officeDocument/2006/relationships/hyperlink" Target="mailto:gusi_960@yahoo.com.mx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8886-6A05-44B5-88FE-89E300FCCA9B}">
  <dimension ref="A1:AA268"/>
  <sheetViews>
    <sheetView tabSelected="1" zoomScale="85" zoomScaleNormal="85" workbookViewId="0">
      <selection activeCell="G277" sqref="G277"/>
    </sheetView>
  </sheetViews>
  <sheetFormatPr baseColWidth="10" defaultRowHeight="15"/>
  <cols>
    <col min="1" max="1" width="10.28515625" bestFit="1" customWidth="1"/>
    <col min="2" max="2" width="12.28515625" bestFit="1" customWidth="1"/>
    <col min="3" max="3" width="16" bestFit="1" customWidth="1"/>
    <col min="4" max="4" width="48.42578125" bestFit="1" customWidth="1"/>
    <col min="5" max="5" width="41" style="9" bestFit="1" customWidth="1"/>
    <col min="6" max="6" width="16.28515625" style="9" bestFit="1" customWidth="1"/>
    <col min="7" max="7" width="18.5703125" bestFit="1" customWidth="1"/>
    <col min="8" max="8" width="13" bestFit="1" customWidth="1"/>
    <col min="9" max="9" width="19.7109375" bestFit="1" customWidth="1"/>
    <col min="10" max="10" width="21.7109375" style="9" bestFit="1" customWidth="1"/>
    <col min="11" max="11" width="23" bestFit="1" customWidth="1"/>
    <col min="12" max="12" width="141.7109375" bestFit="1" customWidth="1"/>
    <col min="13" max="13" width="13.42578125" style="9" bestFit="1" customWidth="1"/>
    <col min="14" max="14" width="15.5703125" bestFit="1" customWidth="1"/>
    <col min="15" max="15" width="6.140625" bestFit="1" customWidth="1"/>
    <col min="16" max="16" width="18.5703125" customWidth="1"/>
    <col min="17" max="17" width="8.7109375" bestFit="1" customWidth="1"/>
    <col min="18" max="18" width="16.140625" bestFit="1" customWidth="1"/>
    <col min="19" max="19" width="25" bestFit="1" customWidth="1"/>
    <col min="20" max="20" width="19.28515625" customWidth="1"/>
    <col min="21" max="21" width="22.5703125" customWidth="1"/>
    <col min="22" max="22" width="12.28515625" customWidth="1"/>
    <col min="23" max="23" width="70.42578125" bestFit="1" customWidth="1"/>
    <col min="24" max="24" width="47" bestFit="1" customWidth="1"/>
    <col min="25" max="25" width="32.42578125" bestFit="1" customWidth="1"/>
    <col min="26" max="26" width="14.42578125" style="9" bestFit="1" customWidth="1"/>
    <col min="27" max="27" width="19.85546875" bestFit="1" customWidth="1"/>
  </cols>
  <sheetData>
    <row r="1" spans="1:26">
      <c r="A1" s="1" t="s">
        <v>1614</v>
      </c>
      <c r="B1" s="1" t="s">
        <v>0</v>
      </c>
      <c r="C1" s="1" t="s">
        <v>1871</v>
      </c>
      <c r="D1" s="1" t="s">
        <v>1</v>
      </c>
      <c r="E1" s="1" t="s">
        <v>2</v>
      </c>
      <c r="F1" s="8" t="s">
        <v>733</v>
      </c>
      <c r="G1" s="1" t="s">
        <v>1870</v>
      </c>
      <c r="H1" s="1" t="s">
        <v>1869</v>
      </c>
      <c r="I1" s="1" t="s">
        <v>741</v>
      </c>
      <c r="J1" s="1" t="s">
        <v>1029</v>
      </c>
      <c r="K1" s="1" t="s">
        <v>742</v>
      </c>
      <c r="L1" s="1" t="s">
        <v>1290</v>
      </c>
      <c r="M1" s="1" t="s">
        <v>986</v>
      </c>
      <c r="N1" s="1" t="s">
        <v>1023</v>
      </c>
      <c r="O1" s="1" t="s">
        <v>1030</v>
      </c>
      <c r="P1" s="1" t="s">
        <v>1031</v>
      </c>
      <c r="Q1" s="1" t="s">
        <v>1032</v>
      </c>
      <c r="R1" s="1" t="s">
        <v>1033</v>
      </c>
      <c r="S1" s="1" t="s">
        <v>1034</v>
      </c>
      <c r="Z1"/>
    </row>
    <row r="2" spans="1:26" hidden="1">
      <c r="A2" s="6">
        <v>562</v>
      </c>
      <c r="B2" s="42" t="s">
        <v>718</v>
      </c>
      <c r="C2" s="31" t="s">
        <v>1853</v>
      </c>
      <c r="D2" s="4" t="s">
        <v>719</v>
      </c>
      <c r="E2" s="15" t="s">
        <v>720</v>
      </c>
      <c r="F2" s="13">
        <v>46038</v>
      </c>
      <c r="G2" s="17" t="s">
        <v>1868</v>
      </c>
      <c r="H2" s="12">
        <v>1065.6004383561601</v>
      </c>
      <c r="I2" s="28">
        <v>32823</v>
      </c>
      <c r="J2" s="9" t="s">
        <v>1273</v>
      </c>
      <c r="K2" s="11" t="s">
        <v>1274</v>
      </c>
      <c r="L2" s="11" t="s">
        <v>1586</v>
      </c>
      <c r="M2" s="9">
        <v>54090</v>
      </c>
      <c r="N2" s="9">
        <v>5531380645</v>
      </c>
      <c r="O2" s="9">
        <v>36</v>
      </c>
      <c r="P2" s="9">
        <v>0</v>
      </c>
      <c r="Q2" s="9" t="s">
        <v>1263</v>
      </c>
      <c r="R2" s="9" t="s">
        <v>1310</v>
      </c>
      <c r="S2" s="9" t="s">
        <v>1345</v>
      </c>
      <c r="Z2"/>
    </row>
    <row r="3" spans="1:26" hidden="1">
      <c r="A3" s="20">
        <v>3001</v>
      </c>
      <c r="B3" s="41"/>
      <c r="C3" s="32" t="s">
        <v>1859</v>
      </c>
      <c r="D3" s="19" t="s">
        <v>1308</v>
      </c>
      <c r="E3" s="19"/>
      <c r="F3" s="13">
        <v>46038</v>
      </c>
      <c r="G3" s="16" t="s">
        <v>1309</v>
      </c>
      <c r="H3" s="10"/>
      <c r="I3" s="28"/>
      <c r="K3" s="10"/>
      <c r="L3" s="11" t="s">
        <v>1590</v>
      </c>
      <c r="N3" s="18"/>
      <c r="O3" s="9"/>
      <c r="P3" s="9">
        <v>0</v>
      </c>
      <c r="Q3" s="9" t="s">
        <v>1262</v>
      </c>
      <c r="R3" s="9" t="s">
        <v>1310</v>
      </c>
      <c r="S3" s="9" t="s">
        <v>1343</v>
      </c>
      <c r="Z3"/>
    </row>
    <row r="4" spans="1:26" hidden="1">
      <c r="A4" s="5">
        <v>439</v>
      </c>
      <c r="B4" s="40" t="s">
        <v>3</v>
      </c>
      <c r="C4" s="24" t="s">
        <v>1787</v>
      </c>
      <c r="D4" s="2" t="s">
        <v>4</v>
      </c>
      <c r="E4" s="2" t="s">
        <v>5</v>
      </c>
      <c r="F4" s="7">
        <v>45729</v>
      </c>
      <c r="G4" s="16" t="s">
        <v>1256</v>
      </c>
      <c r="H4" s="10">
        <v>604.86191870648997</v>
      </c>
      <c r="I4" s="28">
        <v>33234</v>
      </c>
      <c r="J4" s="9" t="s">
        <v>1035</v>
      </c>
      <c r="K4" s="11" t="s">
        <v>743</v>
      </c>
      <c r="L4" s="11" t="s">
        <v>1525</v>
      </c>
      <c r="M4" s="9">
        <v>97302</v>
      </c>
      <c r="N4" s="9">
        <v>9997375648</v>
      </c>
      <c r="O4" s="9">
        <v>34</v>
      </c>
      <c r="P4" s="9">
        <v>0</v>
      </c>
      <c r="Q4" s="9" t="s">
        <v>1262</v>
      </c>
      <c r="R4" s="9" t="s">
        <v>1310</v>
      </c>
      <c r="S4" s="9" t="s">
        <v>734</v>
      </c>
      <c r="Z4"/>
    </row>
    <row r="5" spans="1:26" hidden="1">
      <c r="A5" s="5">
        <v>555</v>
      </c>
      <c r="B5" s="40" t="s">
        <v>637</v>
      </c>
      <c r="C5" s="24" t="s">
        <v>1849</v>
      </c>
      <c r="D5" s="2" t="s">
        <v>638</v>
      </c>
      <c r="E5" s="2" t="s">
        <v>639</v>
      </c>
      <c r="F5" s="7">
        <v>46035</v>
      </c>
      <c r="G5" s="16" t="s">
        <v>1256</v>
      </c>
      <c r="H5" s="10">
        <v>330.576219178082</v>
      </c>
      <c r="I5" s="28">
        <v>34751</v>
      </c>
      <c r="J5" s="9" t="s">
        <v>1292</v>
      </c>
      <c r="K5" s="11" t="s">
        <v>955</v>
      </c>
      <c r="L5" s="11" t="s">
        <v>1583</v>
      </c>
      <c r="M5" s="9" t="s">
        <v>1315</v>
      </c>
      <c r="N5" s="21">
        <v>3325871316</v>
      </c>
      <c r="O5" s="9">
        <v>30</v>
      </c>
      <c r="P5" s="9">
        <v>0</v>
      </c>
      <c r="Q5" s="9" t="s">
        <v>1262</v>
      </c>
      <c r="R5" s="9" t="s">
        <v>1310</v>
      </c>
      <c r="S5" s="9" t="s">
        <v>1344</v>
      </c>
      <c r="Z5"/>
    </row>
    <row r="6" spans="1:26" hidden="1">
      <c r="A6" s="5">
        <v>420</v>
      </c>
      <c r="B6" s="40" t="s">
        <v>6</v>
      </c>
      <c r="C6" s="24" t="s">
        <v>1781</v>
      </c>
      <c r="D6" s="2" t="s">
        <v>7</v>
      </c>
      <c r="E6" s="3" t="s">
        <v>8</v>
      </c>
      <c r="F6" s="7">
        <v>46034</v>
      </c>
      <c r="G6" s="16" t="s">
        <v>1256</v>
      </c>
      <c r="H6" s="10">
        <v>330.576219178082</v>
      </c>
      <c r="I6" s="28">
        <v>34174</v>
      </c>
      <c r="J6" s="9" t="s">
        <v>1038</v>
      </c>
      <c r="K6" s="11" t="s">
        <v>744</v>
      </c>
      <c r="L6" s="11" t="s">
        <v>976</v>
      </c>
      <c r="M6" s="9">
        <v>11830</v>
      </c>
      <c r="N6" s="9" t="s">
        <v>1024</v>
      </c>
      <c r="O6" s="9">
        <v>32</v>
      </c>
      <c r="P6" s="9">
        <v>0</v>
      </c>
      <c r="Q6" s="9" t="s">
        <v>1262</v>
      </c>
      <c r="R6" s="9" t="s">
        <v>1311</v>
      </c>
      <c r="S6" s="9" t="s">
        <v>1343</v>
      </c>
      <c r="Z6"/>
    </row>
    <row r="7" spans="1:26" hidden="1">
      <c r="A7" s="5">
        <v>551</v>
      </c>
      <c r="B7" s="40" t="s">
        <v>640</v>
      </c>
      <c r="C7" s="24" t="s">
        <v>1845</v>
      </c>
      <c r="D7" s="2" t="s">
        <v>641</v>
      </c>
      <c r="E7" s="2" t="s">
        <v>642</v>
      </c>
      <c r="F7" s="7">
        <v>46034</v>
      </c>
      <c r="G7" s="16" t="s">
        <v>1256</v>
      </c>
      <c r="H7" s="10">
        <v>330.576219178082</v>
      </c>
      <c r="I7" s="28">
        <v>25894</v>
      </c>
      <c r="J7" s="7" t="s">
        <v>1267</v>
      </c>
      <c r="K7" s="11" t="s">
        <v>956</v>
      </c>
      <c r="L7" s="11" t="s">
        <v>1579</v>
      </c>
      <c r="M7" s="9">
        <v>3810</v>
      </c>
      <c r="N7" s="21">
        <v>5544571643</v>
      </c>
      <c r="O7" s="9">
        <v>56</v>
      </c>
      <c r="P7" s="9">
        <v>0</v>
      </c>
      <c r="Q7" s="9" t="s">
        <v>1262</v>
      </c>
      <c r="R7" s="9" t="s">
        <v>1310</v>
      </c>
      <c r="S7" s="9" t="s">
        <v>1343</v>
      </c>
      <c r="Z7"/>
    </row>
    <row r="8" spans="1:26" hidden="1">
      <c r="A8" s="5">
        <v>511</v>
      </c>
      <c r="B8" s="40" t="s">
        <v>9</v>
      </c>
      <c r="C8" s="24" t="s">
        <v>1825</v>
      </c>
      <c r="D8" s="2" t="s">
        <v>10</v>
      </c>
      <c r="E8" s="2" t="s">
        <v>11</v>
      </c>
      <c r="F8" s="7">
        <v>45884</v>
      </c>
      <c r="G8" s="16" t="s">
        <v>1256</v>
      </c>
      <c r="H8" s="10">
        <v>559.31507163709796</v>
      </c>
      <c r="I8" s="28">
        <v>30555</v>
      </c>
      <c r="J8" s="9" t="s">
        <v>1039</v>
      </c>
      <c r="K8" s="11" t="s">
        <v>745</v>
      </c>
      <c r="L8" s="11" t="s">
        <v>1561</v>
      </c>
      <c r="M8" s="9" t="s">
        <v>987</v>
      </c>
      <c r="N8" s="9">
        <v>5510263755</v>
      </c>
      <c r="O8" s="9">
        <v>42</v>
      </c>
      <c r="P8" s="9">
        <v>0</v>
      </c>
      <c r="Q8" s="9" t="s">
        <v>1262</v>
      </c>
      <c r="R8" s="9" t="s">
        <v>1311</v>
      </c>
      <c r="S8" s="9" t="s">
        <v>738</v>
      </c>
      <c r="Z8"/>
    </row>
    <row r="9" spans="1:26" hidden="1">
      <c r="A9" s="5">
        <v>204</v>
      </c>
      <c r="B9" s="40" t="s">
        <v>12</v>
      </c>
      <c r="C9" s="24" t="s">
        <v>1709</v>
      </c>
      <c r="D9" s="2" t="s">
        <v>13</v>
      </c>
      <c r="E9" s="2" t="s">
        <v>14</v>
      </c>
      <c r="F9" s="7">
        <v>45149</v>
      </c>
      <c r="G9" s="16" t="s">
        <v>1256</v>
      </c>
      <c r="H9" s="10">
        <v>617.18691039748398</v>
      </c>
      <c r="I9" s="28">
        <v>29016</v>
      </c>
      <c r="J9" s="9" t="s">
        <v>1040</v>
      </c>
      <c r="K9" s="11" t="s">
        <v>746</v>
      </c>
      <c r="L9" s="11" t="s">
        <v>1452</v>
      </c>
      <c r="M9" s="9" t="s">
        <v>988</v>
      </c>
      <c r="N9" s="9">
        <v>5544566296</v>
      </c>
      <c r="O9" s="9">
        <v>46</v>
      </c>
      <c r="P9" s="9">
        <v>2</v>
      </c>
      <c r="Q9" s="9" t="s">
        <v>1262</v>
      </c>
      <c r="R9" s="9" t="s">
        <v>1311</v>
      </c>
      <c r="S9" s="9" t="s">
        <v>738</v>
      </c>
      <c r="Z9"/>
    </row>
    <row r="10" spans="1:26" hidden="1">
      <c r="A10" s="5">
        <v>75</v>
      </c>
      <c r="B10" s="40" t="s">
        <v>15</v>
      </c>
      <c r="C10" s="24" t="s">
        <v>1651</v>
      </c>
      <c r="D10" s="2" t="s">
        <v>16</v>
      </c>
      <c r="E10" s="2" t="s">
        <v>17</v>
      </c>
      <c r="F10" s="7">
        <v>44774</v>
      </c>
      <c r="G10" s="16" t="s">
        <v>1256</v>
      </c>
      <c r="H10" s="10">
        <v>585.60529328542498</v>
      </c>
      <c r="I10" s="28">
        <v>31327</v>
      </c>
      <c r="J10" s="9" t="s">
        <v>1041</v>
      </c>
      <c r="K10" s="11" t="s">
        <v>747</v>
      </c>
      <c r="L10" s="11" t="s">
        <v>1394</v>
      </c>
      <c r="M10" s="9" t="s">
        <v>989</v>
      </c>
      <c r="N10" s="9">
        <v>5528357725</v>
      </c>
      <c r="O10" s="9">
        <v>40</v>
      </c>
      <c r="P10" s="9">
        <v>3</v>
      </c>
      <c r="Q10" s="9" t="s">
        <v>1262</v>
      </c>
      <c r="R10" s="9" t="s">
        <v>1310</v>
      </c>
      <c r="S10" s="9" t="s">
        <v>1343</v>
      </c>
      <c r="Z10"/>
    </row>
    <row r="11" spans="1:26" hidden="1">
      <c r="A11" s="5">
        <v>459</v>
      </c>
      <c r="B11" s="40" t="s">
        <v>21</v>
      </c>
      <c r="C11" s="24" t="s">
        <v>1796</v>
      </c>
      <c r="D11" s="2" t="s">
        <v>22</v>
      </c>
      <c r="E11" s="2" t="s">
        <v>23</v>
      </c>
      <c r="F11" s="7">
        <v>45785</v>
      </c>
      <c r="G11" s="16" t="s">
        <v>1256</v>
      </c>
      <c r="H11" s="10">
        <v>612.73907523018102</v>
      </c>
      <c r="I11" s="28">
        <v>35110</v>
      </c>
      <c r="J11" s="9" t="s">
        <v>1043</v>
      </c>
      <c r="K11" s="11" t="s">
        <v>749</v>
      </c>
      <c r="L11" s="11" t="s">
        <v>1534</v>
      </c>
      <c r="M11" s="9">
        <v>88758</v>
      </c>
      <c r="N11" s="9">
        <v>8992183465</v>
      </c>
      <c r="O11" s="9">
        <v>29</v>
      </c>
      <c r="P11" s="9">
        <v>0</v>
      </c>
      <c r="Q11" s="9" t="s">
        <v>1262</v>
      </c>
      <c r="R11" s="9" t="s">
        <v>1037</v>
      </c>
      <c r="S11" s="9" t="s">
        <v>735</v>
      </c>
      <c r="Z11"/>
    </row>
    <row r="12" spans="1:26" hidden="1">
      <c r="A12" s="5">
        <v>337</v>
      </c>
      <c r="B12" s="40" t="s">
        <v>24</v>
      </c>
      <c r="C12" s="24" t="s">
        <v>1754</v>
      </c>
      <c r="D12" s="2" t="s">
        <v>25</v>
      </c>
      <c r="E12" s="2" t="s">
        <v>26</v>
      </c>
      <c r="F12" s="7">
        <v>45482</v>
      </c>
      <c r="G12" s="16" t="s">
        <v>1256</v>
      </c>
      <c r="H12" s="10">
        <v>550.14721603413398</v>
      </c>
      <c r="I12" s="28">
        <v>36110</v>
      </c>
      <c r="J12" s="9" t="s">
        <v>1044</v>
      </c>
      <c r="K12" s="11" t="s">
        <v>750</v>
      </c>
      <c r="L12" s="11" t="s">
        <v>1495</v>
      </c>
      <c r="M12" s="9">
        <v>55120</v>
      </c>
      <c r="N12" s="9">
        <v>5561150912</v>
      </c>
      <c r="O12" s="9">
        <v>27</v>
      </c>
      <c r="P12" s="9">
        <v>1</v>
      </c>
      <c r="Q12" s="9" t="s">
        <v>1263</v>
      </c>
      <c r="R12" s="9" t="s">
        <v>1045</v>
      </c>
      <c r="S12" s="9" t="s">
        <v>1343</v>
      </c>
      <c r="Z12"/>
    </row>
    <row r="13" spans="1:26" hidden="1">
      <c r="A13" s="5">
        <v>124</v>
      </c>
      <c r="B13" s="40" t="s">
        <v>27</v>
      </c>
      <c r="C13" s="24" t="s">
        <v>1674</v>
      </c>
      <c r="D13" s="2" t="s">
        <v>28</v>
      </c>
      <c r="E13" s="2" t="s">
        <v>29</v>
      </c>
      <c r="F13" s="7">
        <v>44958</v>
      </c>
      <c r="G13" s="16" t="s">
        <v>1256</v>
      </c>
      <c r="H13" s="10">
        <v>612.94332607231001</v>
      </c>
      <c r="I13" s="28">
        <v>28459</v>
      </c>
      <c r="J13" s="9" t="s">
        <v>1046</v>
      </c>
      <c r="K13" s="11" t="s">
        <v>751</v>
      </c>
      <c r="L13" s="11" t="s">
        <v>1417</v>
      </c>
      <c r="M13" s="9" t="s">
        <v>990</v>
      </c>
      <c r="N13" s="9">
        <v>5538906057</v>
      </c>
      <c r="O13" s="9">
        <v>48</v>
      </c>
      <c r="P13" s="9">
        <v>3</v>
      </c>
      <c r="Q13" s="9" t="s">
        <v>1262</v>
      </c>
      <c r="R13" s="9" t="s">
        <v>1311</v>
      </c>
      <c r="S13" s="9" t="s">
        <v>1047</v>
      </c>
      <c r="Z13"/>
    </row>
    <row r="14" spans="1:26" hidden="1">
      <c r="A14" s="5">
        <v>304</v>
      </c>
      <c r="B14" s="40" t="s">
        <v>30</v>
      </c>
      <c r="C14" s="24" t="s">
        <v>1743</v>
      </c>
      <c r="D14" s="2" t="s">
        <v>31</v>
      </c>
      <c r="E14" s="2" t="s">
        <v>32</v>
      </c>
      <c r="F14" s="7">
        <v>45397</v>
      </c>
      <c r="G14" s="16" t="s">
        <v>1256</v>
      </c>
      <c r="H14" s="10">
        <v>668.73050235795995</v>
      </c>
      <c r="I14" s="28">
        <v>33585</v>
      </c>
      <c r="J14" s="9" t="s">
        <v>1048</v>
      </c>
      <c r="K14" s="11" t="s">
        <v>752</v>
      </c>
      <c r="L14" s="11" t="s">
        <v>1484</v>
      </c>
      <c r="M14" s="9">
        <v>80290</v>
      </c>
      <c r="N14" s="9">
        <v>6673410866</v>
      </c>
      <c r="O14" s="9">
        <v>33</v>
      </c>
      <c r="P14" s="9">
        <v>1</v>
      </c>
      <c r="Q14" s="9" t="s">
        <v>1262</v>
      </c>
      <c r="R14" s="9" t="s">
        <v>1310</v>
      </c>
      <c r="S14" s="9" t="s">
        <v>736</v>
      </c>
      <c r="Z14"/>
    </row>
    <row r="15" spans="1:26" hidden="1">
      <c r="A15" s="5">
        <v>348</v>
      </c>
      <c r="B15" s="40" t="s">
        <v>33</v>
      </c>
      <c r="C15" s="24" t="s">
        <v>1759</v>
      </c>
      <c r="D15" s="2" t="s">
        <v>34</v>
      </c>
      <c r="E15" s="2" t="s">
        <v>35</v>
      </c>
      <c r="F15" s="7">
        <v>45510</v>
      </c>
      <c r="G15" s="16" t="s">
        <v>1256</v>
      </c>
      <c r="H15" s="10">
        <v>650.34214170222299</v>
      </c>
      <c r="I15" s="28">
        <v>32587</v>
      </c>
      <c r="J15" s="9" t="s">
        <v>1049</v>
      </c>
      <c r="K15" s="11" t="s">
        <v>753</v>
      </c>
      <c r="L15" s="11" t="s">
        <v>1499</v>
      </c>
      <c r="M15" s="9">
        <v>80290</v>
      </c>
      <c r="N15" s="9">
        <v>6678403908</v>
      </c>
      <c r="O15" s="9">
        <v>36</v>
      </c>
      <c r="P15" s="9">
        <v>1</v>
      </c>
      <c r="Q15" s="9" t="s">
        <v>1262</v>
      </c>
      <c r="R15" s="9" t="s">
        <v>1311</v>
      </c>
      <c r="S15" s="9" t="s">
        <v>736</v>
      </c>
      <c r="Z15"/>
    </row>
    <row r="16" spans="1:26" hidden="1">
      <c r="A16" s="5">
        <v>445</v>
      </c>
      <c r="B16" s="40" t="s">
        <v>36</v>
      </c>
      <c r="C16" s="24" t="s">
        <v>1790</v>
      </c>
      <c r="D16" s="2" t="s">
        <v>37</v>
      </c>
      <c r="E16" s="2" t="s">
        <v>38</v>
      </c>
      <c r="F16" s="7">
        <v>45750</v>
      </c>
      <c r="G16" s="16" t="s">
        <v>1256</v>
      </c>
      <c r="H16" s="10">
        <v>675.16507163709798</v>
      </c>
      <c r="I16" s="28">
        <v>36125</v>
      </c>
      <c r="J16" s="9" t="s">
        <v>1050</v>
      </c>
      <c r="K16" s="11" t="s">
        <v>754</v>
      </c>
      <c r="L16" s="11" t="s">
        <v>1528</v>
      </c>
      <c r="M16" s="9">
        <v>52172</v>
      </c>
      <c r="N16" s="9">
        <v>7291206270</v>
      </c>
      <c r="O16" s="9">
        <v>27</v>
      </c>
      <c r="P16" s="9">
        <v>0</v>
      </c>
      <c r="Q16" s="9" t="s">
        <v>1262</v>
      </c>
      <c r="R16" s="9" t="s">
        <v>1037</v>
      </c>
      <c r="S16" s="9" t="s">
        <v>1345</v>
      </c>
      <c r="Z16"/>
    </row>
    <row r="17" spans="1:26" hidden="1">
      <c r="A17" s="5">
        <v>550</v>
      </c>
      <c r="B17" s="40" t="s">
        <v>727</v>
      </c>
      <c r="C17" s="24" t="s">
        <v>1844</v>
      </c>
      <c r="D17" s="2" t="s">
        <v>728</v>
      </c>
      <c r="E17" s="2" t="s">
        <v>729</v>
      </c>
      <c r="F17" s="7">
        <v>46034</v>
      </c>
      <c r="G17" s="16" t="s">
        <v>1256</v>
      </c>
      <c r="H17" s="10">
        <v>330.576219178082</v>
      </c>
      <c r="I17" s="28">
        <v>60383</v>
      </c>
      <c r="J17" s="9" t="s">
        <v>1303</v>
      </c>
      <c r="K17" s="16" t="s">
        <v>1304</v>
      </c>
      <c r="L17" s="11" t="s">
        <v>1305</v>
      </c>
      <c r="M17" s="9">
        <v>57000</v>
      </c>
      <c r="N17" s="9">
        <v>5512998370</v>
      </c>
      <c r="O17" s="9"/>
      <c r="P17" s="9">
        <v>0</v>
      </c>
      <c r="Q17" s="9" t="s">
        <v>1262</v>
      </c>
      <c r="R17" s="9" t="s">
        <v>1310</v>
      </c>
      <c r="S17" s="9" t="s">
        <v>1343</v>
      </c>
      <c r="Z17"/>
    </row>
    <row r="18" spans="1:26" hidden="1">
      <c r="A18" s="5">
        <v>33</v>
      </c>
      <c r="B18" s="40" t="s">
        <v>39</v>
      </c>
      <c r="C18" s="24" t="s">
        <v>1631</v>
      </c>
      <c r="D18" s="2" t="s">
        <v>40</v>
      </c>
      <c r="E18" s="2" t="s">
        <v>41</v>
      </c>
      <c r="F18" s="7">
        <v>44265</v>
      </c>
      <c r="G18" s="16" t="s">
        <v>1256</v>
      </c>
      <c r="H18" s="10">
        <v>605.26974174713598</v>
      </c>
      <c r="I18" s="28">
        <v>25312</v>
      </c>
      <c r="J18" s="9" t="s">
        <v>1051</v>
      </c>
      <c r="K18" s="11" t="s">
        <v>755</v>
      </c>
      <c r="L18" s="11" t="s">
        <v>1374</v>
      </c>
      <c r="M18" s="9">
        <v>9830</v>
      </c>
      <c r="N18" s="9">
        <v>5627604325</v>
      </c>
      <c r="O18" s="9">
        <v>56</v>
      </c>
      <c r="P18" s="9">
        <v>4</v>
      </c>
      <c r="Q18" s="9" t="s">
        <v>1262</v>
      </c>
      <c r="R18" s="9" t="s">
        <v>1311</v>
      </c>
      <c r="S18" s="9" t="s">
        <v>1343</v>
      </c>
      <c r="Z18"/>
    </row>
    <row r="19" spans="1:26" hidden="1">
      <c r="A19" s="5">
        <v>229</v>
      </c>
      <c r="B19" s="40" t="s">
        <v>42</v>
      </c>
      <c r="C19" s="24" t="s">
        <v>1719</v>
      </c>
      <c r="D19" s="2" t="s">
        <v>43</v>
      </c>
      <c r="E19" s="2" t="s">
        <v>44</v>
      </c>
      <c r="F19" s="7">
        <v>45275</v>
      </c>
      <c r="G19" s="16" t="s">
        <v>1256</v>
      </c>
      <c r="H19" s="10">
        <v>609.92232023354995</v>
      </c>
      <c r="I19" s="28">
        <v>30225</v>
      </c>
      <c r="J19" s="9" t="s">
        <v>1052</v>
      </c>
      <c r="K19" s="11" t="s">
        <v>756</v>
      </c>
      <c r="L19" s="11" t="s">
        <v>1462</v>
      </c>
      <c r="M19" s="9">
        <v>66351</v>
      </c>
      <c r="N19" s="9">
        <v>8183906393</v>
      </c>
      <c r="O19" s="9">
        <v>43</v>
      </c>
      <c r="P19" s="9">
        <v>2</v>
      </c>
      <c r="Q19" s="9" t="s">
        <v>1262</v>
      </c>
      <c r="R19" s="9" t="s">
        <v>1310</v>
      </c>
      <c r="S19" s="9" t="s">
        <v>1347</v>
      </c>
      <c r="Z19"/>
    </row>
    <row r="20" spans="1:26" hidden="1">
      <c r="A20" s="5">
        <v>197</v>
      </c>
      <c r="B20" s="40" t="s">
        <v>48</v>
      </c>
      <c r="C20" s="24" t="s">
        <v>1706</v>
      </c>
      <c r="D20" s="2" t="s">
        <v>49</v>
      </c>
      <c r="E20" s="2" t="s">
        <v>50</v>
      </c>
      <c r="F20" s="7">
        <v>45140</v>
      </c>
      <c r="G20" s="16" t="s">
        <v>1256</v>
      </c>
      <c r="H20" s="10">
        <v>627.02297597125505</v>
      </c>
      <c r="I20" s="28">
        <v>45992</v>
      </c>
      <c r="J20" s="9" t="s">
        <v>1054</v>
      </c>
      <c r="K20" s="11" t="s">
        <v>758</v>
      </c>
      <c r="L20" s="11" t="s">
        <v>1449</v>
      </c>
      <c r="M20" s="9">
        <v>56516</v>
      </c>
      <c r="N20" s="9">
        <v>5533772533</v>
      </c>
      <c r="O20" s="9">
        <v>33</v>
      </c>
      <c r="P20" s="9">
        <v>2</v>
      </c>
      <c r="Q20" s="9" t="s">
        <v>1262</v>
      </c>
      <c r="R20" s="9" t="s">
        <v>1311</v>
      </c>
      <c r="S20" s="9" t="s">
        <v>1343</v>
      </c>
      <c r="Z20"/>
    </row>
    <row r="21" spans="1:26" hidden="1">
      <c r="A21" s="5">
        <v>456</v>
      </c>
      <c r="B21" s="40" t="s">
        <v>51</v>
      </c>
      <c r="C21" s="24" t="s">
        <v>1794</v>
      </c>
      <c r="D21" s="2" t="s">
        <v>52</v>
      </c>
      <c r="E21" s="2" t="s">
        <v>53</v>
      </c>
      <c r="F21" s="7">
        <v>45775</v>
      </c>
      <c r="G21" s="16" t="s">
        <v>1256</v>
      </c>
      <c r="H21" s="10">
        <v>542.15113721086902</v>
      </c>
      <c r="I21" s="28">
        <v>35121</v>
      </c>
      <c r="J21" s="9" t="s">
        <v>1055</v>
      </c>
      <c r="K21" s="11" t="s">
        <v>759</v>
      </c>
      <c r="L21" s="11" t="s">
        <v>1532</v>
      </c>
      <c r="M21" s="9" t="s">
        <v>991</v>
      </c>
      <c r="N21" s="9">
        <v>5643666487</v>
      </c>
      <c r="O21" s="9">
        <v>29</v>
      </c>
      <c r="P21" s="9">
        <v>0</v>
      </c>
      <c r="Q21" s="9" t="s">
        <v>1262</v>
      </c>
      <c r="R21" s="9" t="s">
        <v>1037</v>
      </c>
      <c r="S21" s="9" t="s">
        <v>1343</v>
      </c>
      <c r="Z21"/>
    </row>
    <row r="22" spans="1:26" hidden="1">
      <c r="A22" s="5">
        <v>543</v>
      </c>
      <c r="B22" s="40" t="s">
        <v>697</v>
      </c>
      <c r="C22" s="24" t="s">
        <v>1837</v>
      </c>
      <c r="D22" s="2" t="s">
        <v>698</v>
      </c>
      <c r="E22" s="2" t="s">
        <v>699</v>
      </c>
      <c r="F22" s="7">
        <v>46034</v>
      </c>
      <c r="G22" s="16" t="s">
        <v>1256</v>
      </c>
      <c r="H22" s="10">
        <v>330.576219178082</v>
      </c>
      <c r="I22" s="28">
        <v>34078</v>
      </c>
      <c r="J22" s="9" t="s">
        <v>1261</v>
      </c>
      <c r="K22" s="16" t="s">
        <v>975</v>
      </c>
      <c r="L22" s="11" t="s">
        <v>1573</v>
      </c>
      <c r="M22" s="14" t="s">
        <v>1289</v>
      </c>
      <c r="N22" s="9">
        <v>5537486173</v>
      </c>
      <c r="O22" s="9">
        <v>33</v>
      </c>
      <c r="P22" s="9">
        <v>0</v>
      </c>
      <c r="Q22" s="9" t="s">
        <v>1262</v>
      </c>
      <c r="R22" s="9" t="s">
        <v>1310</v>
      </c>
      <c r="S22" s="9" t="s">
        <v>1343</v>
      </c>
      <c r="Z22"/>
    </row>
    <row r="23" spans="1:26" hidden="1">
      <c r="A23" s="5">
        <v>125</v>
      </c>
      <c r="B23" s="40" t="s">
        <v>54</v>
      </c>
      <c r="C23" s="24" t="s">
        <v>1675</v>
      </c>
      <c r="D23" s="2" t="s">
        <v>55</v>
      </c>
      <c r="E23" s="2" t="s">
        <v>56</v>
      </c>
      <c r="F23" s="7">
        <v>44960</v>
      </c>
      <c r="G23" s="16" t="s">
        <v>1256</v>
      </c>
      <c r="H23" s="10">
        <v>613.744287446665</v>
      </c>
      <c r="I23" s="28">
        <v>33785</v>
      </c>
      <c r="J23" s="9" t="s">
        <v>1056</v>
      </c>
      <c r="K23" s="11" t="s">
        <v>760</v>
      </c>
      <c r="L23" s="11" t="s">
        <v>1418</v>
      </c>
      <c r="M23" s="9">
        <v>57000</v>
      </c>
      <c r="N23" s="9">
        <v>5543165001</v>
      </c>
      <c r="O23" s="9">
        <v>33</v>
      </c>
      <c r="P23" s="9">
        <v>2</v>
      </c>
      <c r="Q23" s="9" t="s">
        <v>1262</v>
      </c>
      <c r="R23" s="9" t="s">
        <v>1311</v>
      </c>
      <c r="S23" s="9" t="s">
        <v>1343</v>
      </c>
      <c r="Z23"/>
    </row>
    <row r="24" spans="1:26" hidden="1">
      <c r="A24" s="5">
        <v>295</v>
      </c>
      <c r="B24" s="40" t="s">
        <v>57</v>
      </c>
      <c r="C24" s="24" t="s">
        <v>1740</v>
      </c>
      <c r="D24" s="2" t="s">
        <v>58</v>
      </c>
      <c r="E24" s="2" t="s">
        <v>59</v>
      </c>
      <c r="F24" s="7">
        <v>45384</v>
      </c>
      <c r="G24" s="16" t="s">
        <v>1256</v>
      </c>
      <c r="H24" s="10">
        <v>686.62214170222296</v>
      </c>
      <c r="I24" s="28">
        <v>25824</v>
      </c>
      <c r="J24" s="9" t="s">
        <v>1057</v>
      </c>
      <c r="K24" s="11" t="s">
        <v>761</v>
      </c>
      <c r="L24" s="11" t="s">
        <v>1481</v>
      </c>
      <c r="M24" s="9" t="s">
        <v>1312</v>
      </c>
      <c r="N24" s="9">
        <v>6621898588</v>
      </c>
      <c r="O24" s="9">
        <v>55</v>
      </c>
      <c r="P24" s="9">
        <v>1</v>
      </c>
      <c r="Q24" s="9" t="s">
        <v>1262</v>
      </c>
      <c r="R24" s="9" t="s">
        <v>1311</v>
      </c>
      <c r="S24" s="9" t="s">
        <v>737</v>
      </c>
      <c r="Z24"/>
    </row>
    <row r="25" spans="1:26" hidden="1">
      <c r="A25" s="5">
        <v>42</v>
      </c>
      <c r="B25" s="40" t="s">
        <v>60</v>
      </c>
      <c r="C25" s="24" t="s">
        <v>1634</v>
      </c>
      <c r="D25" s="2" t="s">
        <v>61</v>
      </c>
      <c r="E25" s="2" t="s">
        <v>62</v>
      </c>
      <c r="F25" s="7">
        <v>44317</v>
      </c>
      <c r="G25" s="16" t="s">
        <v>1256</v>
      </c>
      <c r="H25" s="10">
        <v>740.32138109139896</v>
      </c>
      <c r="I25" s="28">
        <v>30572</v>
      </c>
      <c r="J25" s="9" t="s">
        <v>1058</v>
      </c>
      <c r="K25" s="11" t="s">
        <v>762</v>
      </c>
      <c r="L25" s="11" t="s">
        <v>1377</v>
      </c>
      <c r="M25" s="9" t="s">
        <v>1314</v>
      </c>
      <c r="N25" s="21">
        <v>2211092242</v>
      </c>
      <c r="O25" s="9">
        <v>42</v>
      </c>
      <c r="P25" s="9">
        <v>4</v>
      </c>
      <c r="Q25" s="9" t="s">
        <v>1262</v>
      </c>
      <c r="R25" s="9" t="s">
        <v>1311</v>
      </c>
      <c r="S25" s="9" t="s">
        <v>738</v>
      </c>
      <c r="Z25"/>
    </row>
    <row r="26" spans="1:26" hidden="1">
      <c r="A26" s="5">
        <v>463</v>
      </c>
      <c r="B26" s="40" t="s">
        <v>63</v>
      </c>
      <c r="C26" s="24" t="s">
        <v>1798</v>
      </c>
      <c r="D26" s="2" t="s">
        <v>64</v>
      </c>
      <c r="E26" s="2" t="s">
        <v>65</v>
      </c>
      <c r="F26" s="7">
        <v>45797</v>
      </c>
      <c r="G26" s="16" t="s">
        <v>1256</v>
      </c>
      <c r="H26" s="10">
        <v>570.99572737480298</v>
      </c>
      <c r="I26" s="28">
        <v>36398</v>
      </c>
      <c r="J26" s="9" t="s">
        <v>1059</v>
      </c>
      <c r="K26" s="11" t="s">
        <v>763</v>
      </c>
      <c r="L26" s="11" t="s">
        <v>1536</v>
      </c>
      <c r="M26" s="9">
        <v>45426</v>
      </c>
      <c r="N26" s="9">
        <v>3317601818</v>
      </c>
      <c r="O26" s="9">
        <v>26</v>
      </c>
      <c r="P26" s="9">
        <v>0</v>
      </c>
      <c r="Q26" s="9" t="s">
        <v>1262</v>
      </c>
      <c r="R26" s="9" t="s">
        <v>1037</v>
      </c>
      <c r="S26" s="9" t="s">
        <v>1344</v>
      </c>
      <c r="Z26"/>
    </row>
    <row r="27" spans="1:26" hidden="1">
      <c r="A27" s="5">
        <v>492</v>
      </c>
      <c r="B27" s="40" t="s">
        <v>102</v>
      </c>
      <c r="C27" s="24" t="s">
        <v>1812</v>
      </c>
      <c r="D27" s="2" t="s">
        <v>103</v>
      </c>
      <c r="E27" s="2" t="s">
        <v>104</v>
      </c>
      <c r="F27" s="7">
        <v>45860</v>
      </c>
      <c r="G27" s="16" t="s">
        <v>1256</v>
      </c>
      <c r="H27" s="10">
        <v>596.77949786660599</v>
      </c>
      <c r="I27" s="28">
        <v>34565</v>
      </c>
      <c r="J27" s="9" t="s">
        <v>1072</v>
      </c>
      <c r="K27" s="11" t="s">
        <v>776</v>
      </c>
      <c r="L27" s="11" t="s">
        <v>1549</v>
      </c>
      <c r="M27" s="9">
        <v>55320</v>
      </c>
      <c r="N27" s="9">
        <v>5564212610</v>
      </c>
      <c r="O27" s="9">
        <v>31</v>
      </c>
      <c r="P27" s="9">
        <v>0</v>
      </c>
      <c r="Q27" s="9" t="s">
        <v>1262</v>
      </c>
      <c r="R27" s="9" t="s">
        <v>1311</v>
      </c>
      <c r="S27" s="9" t="s">
        <v>1345</v>
      </c>
      <c r="Z27"/>
    </row>
    <row r="28" spans="1:26" hidden="1">
      <c r="A28" s="5">
        <v>347</v>
      </c>
      <c r="B28" s="40" t="s">
        <v>111</v>
      </c>
      <c r="C28" s="24" t="s">
        <v>1758</v>
      </c>
      <c r="D28" s="2" t="s">
        <v>112</v>
      </c>
      <c r="E28" s="2" t="s">
        <v>113</v>
      </c>
      <c r="F28" s="7">
        <v>46034</v>
      </c>
      <c r="G28" s="16" t="s">
        <v>1256</v>
      </c>
      <c r="H28" s="10">
        <v>330.576219178082</v>
      </c>
      <c r="I28" s="28">
        <v>31649</v>
      </c>
      <c r="J28" s="9" t="s">
        <v>1075</v>
      </c>
      <c r="K28" s="11" t="s">
        <v>779</v>
      </c>
      <c r="L28" s="11" t="s">
        <v>977</v>
      </c>
      <c r="M28" s="9" t="s">
        <v>994</v>
      </c>
      <c r="N28" s="9">
        <v>5621526785</v>
      </c>
      <c r="O28" s="9">
        <v>39</v>
      </c>
      <c r="P28" s="9">
        <v>1</v>
      </c>
      <c r="Q28" s="9" t="s">
        <v>1262</v>
      </c>
      <c r="R28" s="9" t="s">
        <v>1311</v>
      </c>
      <c r="S28" s="9" t="s">
        <v>1343</v>
      </c>
      <c r="Z28"/>
    </row>
    <row r="29" spans="1:26" hidden="1">
      <c r="A29" s="5">
        <v>479</v>
      </c>
      <c r="B29" s="40" t="s">
        <v>75</v>
      </c>
      <c r="C29" s="24" t="s">
        <v>1804</v>
      </c>
      <c r="D29" s="2" t="s">
        <v>76</v>
      </c>
      <c r="E29" s="2" t="s">
        <v>77</v>
      </c>
      <c r="F29" s="7">
        <v>45672</v>
      </c>
      <c r="G29" s="16" t="s">
        <v>1256</v>
      </c>
      <c r="H29" s="10">
        <v>586.838363575117</v>
      </c>
      <c r="I29" s="28">
        <v>29880</v>
      </c>
      <c r="J29" s="9" t="s">
        <v>1063</v>
      </c>
      <c r="K29" s="11" t="s">
        <v>767</v>
      </c>
      <c r="L29" s="11" t="s">
        <v>1541</v>
      </c>
      <c r="M29" s="9" t="s">
        <v>992</v>
      </c>
      <c r="N29" s="9">
        <v>5535120639</v>
      </c>
      <c r="O29" s="9">
        <v>44</v>
      </c>
      <c r="P29" s="9">
        <v>1</v>
      </c>
      <c r="Q29" s="9" t="s">
        <v>1262</v>
      </c>
      <c r="R29" s="9" t="s">
        <v>1311</v>
      </c>
      <c r="S29" s="9" t="s">
        <v>1343</v>
      </c>
      <c r="Z29"/>
    </row>
    <row r="30" spans="1:26" hidden="1">
      <c r="A30" s="5">
        <v>83</v>
      </c>
      <c r="B30" s="40" t="s">
        <v>78</v>
      </c>
      <c r="C30" s="24" t="s">
        <v>1656</v>
      </c>
      <c r="D30" s="2" t="s">
        <v>79</v>
      </c>
      <c r="E30" s="2" t="s">
        <v>80</v>
      </c>
      <c r="F30" s="7">
        <v>46043</v>
      </c>
      <c r="G30" s="16" t="s">
        <v>1256</v>
      </c>
      <c r="H30" s="10">
        <v>330.576219178082</v>
      </c>
      <c r="I30" s="28">
        <v>34903</v>
      </c>
      <c r="J30" s="9" t="s">
        <v>1064</v>
      </c>
      <c r="K30" s="11" t="s">
        <v>768</v>
      </c>
      <c r="L30" s="11" t="s">
        <v>1399</v>
      </c>
      <c r="M30" s="9" t="s">
        <v>1316</v>
      </c>
      <c r="N30" s="9">
        <v>5537022297</v>
      </c>
      <c r="O30" s="9">
        <v>30</v>
      </c>
      <c r="P30" s="9">
        <v>3</v>
      </c>
      <c r="Q30" s="9" t="s">
        <v>1262</v>
      </c>
      <c r="R30" s="9" t="s">
        <v>1311</v>
      </c>
      <c r="S30" s="9" t="s">
        <v>1343</v>
      </c>
      <c r="Z30"/>
    </row>
    <row r="31" spans="1:26" hidden="1">
      <c r="A31" s="5">
        <v>285</v>
      </c>
      <c r="B31" s="40" t="s">
        <v>81</v>
      </c>
      <c r="C31" s="24" t="s">
        <v>1735</v>
      </c>
      <c r="D31" s="2" t="s">
        <v>82</v>
      </c>
      <c r="E31" s="2" t="s">
        <v>83</v>
      </c>
      <c r="F31" s="7">
        <v>45534</v>
      </c>
      <c r="G31" s="16" t="s">
        <v>1256</v>
      </c>
      <c r="H31" s="10">
        <v>566.16098652593701</v>
      </c>
      <c r="I31" s="28">
        <v>27928</v>
      </c>
      <c r="J31" s="9" t="s">
        <v>1065</v>
      </c>
      <c r="K31" s="11" t="s">
        <v>769</v>
      </c>
      <c r="L31" s="11" t="s">
        <v>1476</v>
      </c>
      <c r="M31" s="9" t="s">
        <v>988</v>
      </c>
      <c r="N31" s="9">
        <v>5635253550</v>
      </c>
      <c r="O31" s="9">
        <v>49</v>
      </c>
      <c r="P31" s="9">
        <v>1</v>
      </c>
      <c r="Q31" s="9" t="s">
        <v>1262</v>
      </c>
      <c r="R31" s="9" t="s">
        <v>1311</v>
      </c>
      <c r="S31" s="9" t="s">
        <v>1343</v>
      </c>
      <c r="Z31"/>
    </row>
    <row r="32" spans="1:26" hidden="1">
      <c r="A32" s="5">
        <v>532</v>
      </c>
      <c r="B32" s="40" t="s">
        <v>643</v>
      </c>
      <c r="C32" s="24" t="s">
        <v>1831</v>
      </c>
      <c r="D32" s="2" t="s">
        <v>644</v>
      </c>
      <c r="E32" s="2" t="s">
        <v>645</v>
      </c>
      <c r="F32" s="7">
        <v>46032</v>
      </c>
      <c r="G32" s="16" t="s">
        <v>1256</v>
      </c>
      <c r="H32" s="10">
        <v>330.576219178082</v>
      </c>
      <c r="I32" s="28">
        <v>32870</v>
      </c>
      <c r="J32" s="7" t="s">
        <v>1268</v>
      </c>
      <c r="K32" s="11" t="s">
        <v>957</v>
      </c>
      <c r="L32" s="11" t="s">
        <v>1567</v>
      </c>
      <c r="M32" s="9">
        <v>36300</v>
      </c>
      <c r="N32" s="21">
        <v>4767379356</v>
      </c>
      <c r="O32" s="9">
        <v>36</v>
      </c>
      <c r="P32" s="9">
        <v>0</v>
      </c>
      <c r="Q32" s="9" t="s">
        <v>1262</v>
      </c>
      <c r="R32" s="9" t="s">
        <v>1310</v>
      </c>
      <c r="S32" s="9" t="s">
        <v>739</v>
      </c>
      <c r="Z32"/>
    </row>
    <row r="33" spans="1:26" hidden="1">
      <c r="A33" s="5">
        <v>150</v>
      </c>
      <c r="B33" s="40" t="s">
        <v>84</v>
      </c>
      <c r="C33" s="24" t="s">
        <v>1688</v>
      </c>
      <c r="D33" s="2" t="s">
        <v>85</v>
      </c>
      <c r="E33" s="2" t="s">
        <v>86</v>
      </c>
      <c r="F33" s="7">
        <v>44986</v>
      </c>
      <c r="G33" s="16" t="s">
        <v>1256</v>
      </c>
      <c r="H33" s="10">
        <v>517.61657264765302</v>
      </c>
      <c r="I33" s="28">
        <v>31982</v>
      </c>
      <c r="J33" s="9" t="s">
        <v>1066</v>
      </c>
      <c r="K33" s="11" t="s">
        <v>770</v>
      </c>
      <c r="L33" s="11" t="s">
        <v>1431</v>
      </c>
      <c r="M33" s="9">
        <v>82139</v>
      </c>
      <c r="N33" s="9">
        <v>6692754021</v>
      </c>
      <c r="O33" s="9">
        <v>38</v>
      </c>
      <c r="P33" s="9">
        <v>2</v>
      </c>
      <c r="Q33" s="9" t="s">
        <v>1262</v>
      </c>
      <c r="R33" s="9" t="s">
        <v>1310</v>
      </c>
      <c r="S33" s="9" t="s">
        <v>736</v>
      </c>
      <c r="Z33"/>
    </row>
    <row r="34" spans="1:26" hidden="1">
      <c r="A34" s="5">
        <v>227</v>
      </c>
      <c r="B34" s="40" t="s">
        <v>87</v>
      </c>
      <c r="C34" s="24" t="s">
        <v>1718</v>
      </c>
      <c r="D34" s="2" t="s">
        <v>88</v>
      </c>
      <c r="E34" s="2" t="s">
        <v>89</v>
      </c>
      <c r="F34" s="7">
        <v>45264</v>
      </c>
      <c r="G34" s="16" t="s">
        <v>1256</v>
      </c>
      <c r="H34" s="10">
        <v>514.12232023355</v>
      </c>
      <c r="I34" s="28">
        <v>27751</v>
      </c>
      <c r="J34" s="9" t="s">
        <v>1067</v>
      </c>
      <c r="K34" s="11" t="s">
        <v>771</v>
      </c>
      <c r="L34" s="11" t="s">
        <v>1461</v>
      </c>
      <c r="M34" s="9" t="s">
        <v>993</v>
      </c>
      <c r="N34" s="9">
        <v>2212744057</v>
      </c>
      <c r="O34" s="9">
        <v>49</v>
      </c>
      <c r="P34" s="9">
        <v>2</v>
      </c>
      <c r="Q34" s="9" t="s">
        <v>1262</v>
      </c>
      <c r="R34" s="9" t="s">
        <v>1311</v>
      </c>
      <c r="S34" s="9" t="s">
        <v>1343</v>
      </c>
      <c r="Z34"/>
    </row>
    <row r="35" spans="1:26" hidden="1">
      <c r="A35" s="5">
        <v>533</v>
      </c>
      <c r="B35" s="40" t="s">
        <v>646</v>
      </c>
      <c r="C35" s="24" t="s">
        <v>1832</v>
      </c>
      <c r="D35" s="2" t="s">
        <v>647</v>
      </c>
      <c r="E35" s="2" t="s">
        <v>648</v>
      </c>
      <c r="F35" s="7">
        <v>46032</v>
      </c>
      <c r="G35" s="16" t="s">
        <v>1256</v>
      </c>
      <c r="H35" s="10">
        <v>330.576219178082</v>
      </c>
      <c r="I35" s="28">
        <v>34896</v>
      </c>
      <c r="J35" s="9" t="s">
        <v>1293</v>
      </c>
      <c r="K35" s="11" t="s">
        <v>958</v>
      </c>
      <c r="L35" s="11" t="s">
        <v>1568</v>
      </c>
      <c r="M35" s="9" t="s">
        <v>1317</v>
      </c>
      <c r="N35" s="21">
        <v>4778900801</v>
      </c>
      <c r="O35" s="9">
        <v>30</v>
      </c>
      <c r="P35" s="9">
        <v>0</v>
      </c>
      <c r="Q35" s="9" t="s">
        <v>1262</v>
      </c>
      <c r="R35" s="9" t="s">
        <v>1310</v>
      </c>
      <c r="S35" s="9" t="s">
        <v>739</v>
      </c>
      <c r="Z35"/>
    </row>
    <row r="36" spans="1:26" hidden="1">
      <c r="A36" s="5">
        <v>61</v>
      </c>
      <c r="B36" s="40" t="s">
        <v>90</v>
      </c>
      <c r="C36" s="24" t="s">
        <v>1642</v>
      </c>
      <c r="D36" s="2" t="s">
        <v>91</v>
      </c>
      <c r="E36" s="2" t="s">
        <v>92</v>
      </c>
      <c r="F36" s="7">
        <v>44596</v>
      </c>
      <c r="G36" s="16" t="s">
        <v>1256</v>
      </c>
      <c r="H36" s="10">
        <v>572.71021131821203</v>
      </c>
      <c r="I36" s="28">
        <v>29659</v>
      </c>
      <c r="J36" s="9" t="s">
        <v>1068</v>
      </c>
      <c r="K36" s="11" t="s">
        <v>772</v>
      </c>
      <c r="L36" s="11" t="s">
        <v>1385</v>
      </c>
      <c r="M36" s="9">
        <v>72474</v>
      </c>
      <c r="N36" s="9">
        <v>2213072813</v>
      </c>
      <c r="O36" s="9">
        <v>44</v>
      </c>
      <c r="P36" s="9">
        <v>3</v>
      </c>
      <c r="Q36" s="9" t="s">
        <v>1262</v>
      </c>
      <c r="R36" s="9" t="s">
        <v>1310</v>
      </c>
      <c r="S36" s="9" t="s">
        <v>738</v>
      </c>
      <c r="Z36"/>
    </row>
    <row r="37" spans="1:26" hidden="1">
      <c r="A37" s="5">
        <v>310</v>
      </c>
      <c r="B37" s="40" t="s">
        <v>96</v>
      </c>
      <c r="C37" s="24" t="s">
        <v>1746</v>
      </c>
      <c r="D37" s="2" t="s">
        <v>97</v>
      </c>
      <c r="E37" s="2" t="s">
        <v>98</v>
      </c>
      <c r="F37" s="7">
        <v>45419</v>
      </c>
      <c r="G37" s="16" t="s">
        <v>1256</v>
      </c>
      <c r="H37" s="10">
        <v>361.953117673478</v>
      </c>
      <c r="I37" s="28">
        <v>33349</v>
      </c>
      <c r="J37" s="9" t="s">
        <v>1070</v>
      </c>
      <c r="K37" s="11" t="s">
        <v>774</v>
      </c>
      <c r="L37" s="11" t="s">
        <v>1487</v>
      </c>
      <c r="M37" s="9">
        <v>51355</v>
      </c>
      <c r="N37" s="9">
        <v>7227827017</v>
      </c>
      <c r="O37" s="9">
        <v>34</v>
      </c>
      <c r="P37" s="9">
        <v>1</v>
      </c>
      <c r="Q37" s="9" t="s">
        <v>1262</v>
      </c>
      <c r="R37" s="9" t="s">
        <v>1310</v>
      </c>
      <c r="S37" s="9" t="s">
        <v>1345</v>
      </c>
      <c r="Z37"/>
    </row>
    <row r="38" spans="1:26" hidden="1">
      <c r="A38" s="5">
        <v>59</v>
      </c>
      <c r="B38" s="40" t="s">
        <v>99</v>
      </c>
      <c r="C38" s="24" t="s">
        <v>1640</v>
      </c>
      <c r="D38" s="2" t="s">
        <v>100</v>
      </c>
      <c r="E38" s="2" t="s">
        <v>101</v>
      </c>
      <c r="F38" s="7">
        <v>46030</v>
      </c>
      <c r="G38" s="16" t="s">
        <v>1256</v>
      </c>
      <c r="H38" s="10">
        <v>330.576219178082</v>
      </c>
      <c r="I38" s="28">
        <v>22986</v>
      </c>
      <c r="J38" s="9" t="s">
        <v>1071</v>
      </c>
      <c r="K38" s="11" t="s">
        <v>775</v>
      </c>
      <c r="L38" s="11" t="s">
        <v>1383</v>
      </c>
      <c r="M38" s="9" t="s">
        <v>1318</v>
      </c>
      <c r="N38" s="9">
        <v>8181131593</v>
      </c>
      <c r="O38" s="9">
        <v>62</v>
      </c>
      <c r="P38" s="9">
        <v>4</v>
      </c>
      <c r="Q38" s="9" t="s">
        <v>1262</v>
      </c>
      <c r="R38" s="9" t="s">
        <v>1310</v>
      </c>
      <c r="S38" s="9" t="s">
        <v>1347</v>
      </c>
      <c r="Z38"/>
    </row>
    <row r="39" spans="1:26" hidden="1">
      <c r="A39" s="5">
        <v>262</v>
      </c>
      <c r="B39" s="40" t="s">
        <v>120</v>
      </c>
      <c r="C39" s="24" t="s">
        <v>1730</v>
      </c>
      <c r="D39" s="2" t="s">
        <v>121</v>
      </c>
      <c r="E39" s="2" t="s">
        <v>122</v>
      </c>
      <c r="F39" s="7">
        <v>45311</v>
      </c>
      <c r="G39" s="16" t="s">
        <v>1256</v>
      </c>
      <c r="H39" s="10">
        <v>687.74144621603398</v>
      </c>
      <c r="I39" s="28">
        <v>34986</v>
      </c>
      <c r="J39" s="9" t="s">
        <v>1078</v>
      </c>
      <c r="K39" s="11" t="s">
        <v>782</v>
      </c>
      <c r="L39" s="11" t="s">
        <v>1473</v>
      </c>
      <c r="M39" s="9">
        <v>37350</v>
      </c>
      <c r="N39" s="9">
        <v>4791087171</v>
      </c>
      <c r="O39" s="9">
        <v>30</v>
      </c>
      <c r="P39" s="9">
        <v>2</v>
      </c>
      <c r="Q39" s="9" t="s">
        <v>1262</v>
      </c>
      <c r="R39" s="9" t="s">
        <v>1311</v>
      </c>
      <c r="S39" s="9" t="s">
        <v>739</v>
      </c>
      <c r="Z39"/>
    </row>
    <row r="40" spans="1:26" hidden="1">
      <c r="A40" s="5">
        <v>25</v>
      </c>
      <c r="B40" s="40" t="s">
        <v>105</v>
      </c>
      <c r="C40" s="24" t="s">
        <v>1625</v>
      </c>
      <c r="D40" s="2" t="s">
        <v>106</v>
      </c>
      <c r="E40" s="2" t="s">
        <v>107</v>
      </c>
      <c r="F40" s="7">
        <v>44105</v>
      </c>
      <c r="G40" s="16" t="s">
        <v>1256</v>
      </c>
      <c r="H40" s="10">
        <v>570.865173815405</v>
      </c>
      <c r="I40" s="28">
        <v>24335</v>
      </c>
      <c r="J40" s="9" t="s">
        <v>1073</v>
      </c>
      <c r="K40" s="11" t="s">
        <v>777</v>
      </c>
      <c r="L40" s="11" t="s">
        <v>1368</v>
      </c>
      <c r="M40" s="9">
        <v>66655</v>
      </c>
      <c r="N40" s="9">
        <v>8181758264</v>
      </c>
      <c r="O40" s="9">
        <v>59</v>
      </c>
      <c r="P40" s="9">
        <v>5</v>
      </c>
      <c r="Q40" s="9" t="s">
        <v>1262</v>
      </c>
      <c r="R40" s="9" t="s">
        <v>1311</v>
      </c>
      <c r="S40" s="9" t="s">
        <v>1347</v>
      </c>
      <c r="Z40"/>
    </row>
    <row r="41" spans="1:26" hidden="1">
      <c r="A41" s="5">
        <v>213</v>
      </c>
      <c r="B41" s="40" t="s">
        <v>108</v>
      </c>
      <c r="C41" s="24" t="s">
        <v>1712</v>
      </c>
      <c r="D41" s="2" t="s">
        <v>109</v>
      </c>
      <c r="E41" s="2" t="s">
        <v>110</v>
      </c>
      <c r="F41" s="7">
        <v>45231</v>
      </c>
      <c r="G41" s="16" t="s">
        <v>1256</v>
      </c>
      <c r="H41" s="10">
        <v>613.744287446665</v>
      </c>
      <c r="I41" s="28">
        <v>30076</v>
      </c>
      <c r="J41" s="9" t="s">
        <v>1074</v>
      </c>
      <c r="K41" s="11" t="s">
        <v>778</v>
      </c>
      <c r="L41" s="11" t="s">
        <v>1455</v>
      </c>
      <c r="M41" s="9" t="s">
        <v>994</v>
      </c>
      <c r="N41" s="9">
        <v>5529806469</v>
      </c>
      <c r="O41" s="9">
        <v>43</v>
      </c>
      <c r="P41" s="9">
        <v>2</v>
      </c>
      <c r="Q41" s="9" t="s">
        <v>1262</v>
      </c>
      <c r="R41" s="9" t="s">
        <v>1310</v>
      </c>
      <c r="S41" s="9" t="s">
        <v>1343</v>
      </c>
      <c r="Z41"/>
    </row>
    <row r="42" spans="1:26" hidden="1">
      <c r="A42" s="5">
        <v>177</v>
      </c>
      <c r="B42" s="40" t="s">
        <v>349</v>
      </c>
      <c r="C42" s="24" t="s">
        <v>1698</v>
      </c>
      <c r="D42" s="2" t="s">
        <v>350</v>
      </c>
      <c r="E42" s="2" t="s">
        <v>351</v>
      </c>
      <c r="F42" s="7">
        <v>45082</v>
      </c>
      <c r="G42" s="16" t="s">
        <v>1256</v>
      </c>
      <c r="H42" s="10">
        <v>699.15308556029595</v>
      </c>
      <c r="I42" s="28">
        <v>30365</v>
      </c>
      <c r="J42" s="9" t="s">
        <v>1158</v>
      </c>
      <c r="K42" s="11" t="s">
        <v>859</v>
      </c>
      <c r="L42" s="11" t="s">
        <v>1441</v>
      </c>
      <c r="M42" s="9" t="s">
        <v>1007</v>
      </c>
      <c r="N42" s="9">
        <v>5576548022</v>
      </c>
      <c r="O42" s="9">
        <v>42</v>
      </c>
      <c r="P42" s="9">
        <v>2</v>
      </c>
      <c r="Q42" s="9" t="s">
        <v>1262</v>
      </c>
      <c r="R42" s="9" t="s">
        <v>1311</v>
      </c>
      <c r="S42" s="9" t="s">
        <v>1343</v>
      </c>
      <c r="Z42"/>
    </row>
    <row r="43" spans="1:26" hidden="1">
      <c r="A43" s="5">
        <v>546</v>
      </c>
      <c r="B43" s="40" t="s">
        <v>709</v>
      </c>
      <c r="C43" s="24" t="s">
        <v>1840</v>
      </c>
      <c r="D43" s="2" t="s">
        <v>710</v>
      </c>
      <c r="E43" s="2" t="s">
        <v>711</v>
      </c>
      <c r="F43" s="7">
        <v>46034</v>
      </c>
      <c r="G43" s="16" t="s">
        <v>1256</v>
      </c>
      <c r="H43" s="10">
        <v>330.576219178082</v>
      </c>
      <c r="I43" s="28">
        <v>30775</v>
      </c>
      <c r="J43" s="9" t="s">
        <v>1281</v>
      </c>
      <c r="K43" s="16" t="s">
        <v>1282</v>
      </c>
      <c r="L43" s="11" t="s">
        <v>1576</v>
      </c>
      <c r="M43" s="9">
        <v>54416</v>
      </c>
      <c r="N43" s="9">
        <v>5534968215</v>
      </c>
      <c r="O43" s="9"/>
      <c r="P43" s="9">
        <v>0</v>
      </c>
      <c r="Q43" s="9" t="s">
        <v>1262</v>
      </c>
      <c r="R43" s="9" t="s">
        <v>1310</v>
      </c>
      <c r="S43" s="9" t="s">
        <v>1343</v>
      </c>
      <c r="Z43"/>
    </row>
    <row r="44" spans="1:26" hidden="1">
      <c r="A44" s="5">
        <v>410</v>
      </c>
      <c r="B44" s="40" t="s">
        <v>114</v>
      </c>
      <c r="C44" s="24" t="s">
        <v>1776</v>
      </c>
      <c r="D44" s="2" t="s">
        <v>115</v>
      </c>
      <c r="E44" s="2" t="s">
        <v>116</v>
      </c>
      <c r="F44" s="7">
        <v>45667</v>
      </c>
      <c r="G44" s="16" t="s">
        <v>1256</v>
      </c>
      <c r="H44" s="10">
        <v>664.27624006287897</v>
      </c>
      <c r="I44" s="28">
        <v>31591</v>
      </c>
      <c r="J44" s="9" t="s">
        <v>1076</v>
      </c>
      <c r="K44" s="11" t="s">
        <v>780</v>
      </c>
      <c r="L44" s="11" t="s">
        <v>1516</v>
      </c>
      <c r="M44" s="9">
        <v>81278</v>
      </c>
      <c r="N44" s="9">
        <v>6681361427</v>
      </c>
      <c r="O44" s="9">
        <v>39</v>
      </c>
      <c r="P44" s="9">
        <v>1</v>
      </c>
      <c r="Q44" s="9" t="s">
        <v>1262</v>
      </c>
      <c r="R44" s="9" t="s">
        <v>1310</v>
      </c>
      <c r="S44" s="9" t="s">
        <v>736</v>
      </c>
      <c r="Z44"/>
    </row>
    <row r="45" spans="1:26" hidden="1">
      <c r="A45" s="5">
        <v>226</v>
      </c>
      <c r="B45" s="40" t="s">
        <v>117</v>
      </c>
      <c r="C45" s="24" t="s">
        <v>1717</v>
      </c>
      <c r="D45" s="2" t="s">
        <v>118</v>
      </c>
      <c r="E45" s="2" t="s">
        <v>119</v>
      </c>
      <c r="F45" s="7">
        <v>45262</v>
      </c>
      <c r="G45" s="16" t="s">
        <v>1256</v>
      </c>
      <c r="H45" s="10">
        <v>564.74018908600897</v>
      </c>
      <c r="I45" s="28">
        <v>28507</v>
      </c>
      <c r="J45" s="9" t="s">
        <v>1077</v>
      </c>
      <c r="K45" s="11" t="s">
        <v>781</v>
      </c>
      <c r="L45" s="11" t="s">
        <v>1460</v>
      </c>
      <c r="M45" s="9" t="s">
        <v>995</v>
      </c>
      <c r="N45" s="9">
        <v>5619425682</v>
      </c>
      <c r="O45" s="9">
        <v>47</v>
      </c>
      <c r="P45" s="9">
        <v>2</v>
      </c>
      <c r="Q45" s="9" t="s">
        <v>1262</v>
      </c>
      <c r="R45" s="9" t="s">
        <v>1311</v>
      </c>
      <c r="S45" s="9" t="s">
        <v>1343</v>
      </c>
      <c r="Z45"/>
    </row>
    <row r="46" spans="1:26" hidden="1">
      <c r="A46" s="5">
        <v>196</v>
      </c>
      <c r="B46" s="40" t="s">
        <v>466</v>
      </c>
      <c r="C46" s="24" t="s">
        <v>1705</v>
      </c>
      <c r="D46" s="2" t="s">
        <v>467</v>
      </c>
      <c r="E46" s="2" t="s">
        <v>468</v>
      </c>
      <c r="F46" s="7">
        <v>45140</v>
      </c>
      <c r="G46" s="16" t="s">
        <v>1256</v>
      </c>
      <c r="H46" s="10">
        <v>593.67707433191094</v>
      </c>
      <c r="I46" s="28">
        <v>26652</v>
      </c>
      <c r="J46" s="9" t="s">
        <v>1197</v>
      </c>
      <c r="K46" s="11" t="s">
        <v>898</v>
      </c>
      <c r="L46" s="11" t="s">
        <v>1448</v>
      </c>
      <c r="M46" s="9">
        <v>54140</v>
      </c>
      <c r="N46" s="9">
        <v>7299557623</v>
      </c>
      <c r="O46" s="9">
        <v>52</v>
      </c>
      <c r="P46" s="9">
        <v>2</v>
      </c>
      <c r="Q46" s="9" t="s">
        <v>1262</v>
      </c>
      <c r="R46" s="9" t="s">
        <v>1198</v>
      </c>
      <c r="S46" s="9" t="s">
        <v>1345</v>
      </c>
      <c r="Z46"/>
    </row>
    <row r="47" spans="1:26" hidden="1">
      <c r="A47" s="5">
        <v>116</v>
      </c>
      <c r="B47" s="40" t="s">
        <v>538</v>
      </c>
      <c r="C47" s="24" t="s">
        <v>1669</v>
      </c>
      <c r="D47" s="2" t="s">
        <v>539</v>
      </c>
      <c r="E47" s="2" t="s">
        <v>540</v>
      </c>
      <c r="F47" s="7">
        <v>44922</v>
      </c>
      <c r="G47" s="16" t="s">
        <v>1256</v>
      </c>
      <c r="H47" s="10">
        <v>615.83889984280199</v>
      </c>
      <c r="I47" s="28">
        <v>25850</v>
      </c>
      <c r="J47" s="9" t="s">
        <v>1222</v>
      </c>
      <c r="K47" s="11" t="s">
        <v>922</v>
      </c>
      <c r="L47" s="11" t="s">
        <v>1412</v>
      </c>
      <c r="M47" s="9" t="s">
        <v>1016</v>
      </c>
      <c r="N47" s="9">
        <v>5624427019</v>
      </c>
      <c r="O47" s="9">
        <v>55</v>
      </c>
      <c r="P47" s="9">
        <v>3</v>
      </c>
      <c r="Q47" s="9" t="s">
        <v>1262</v>
      </c>
      <c r="R47" s="9" t="s">
        <v>1310</v>
      </c>
      <c r="S47" s="9" t="s">
        <v>1343</v>
      </c>
      <c r="Z47"/>
    </row>
    <row r="48" spans="1:26" hidden="1">
      <c r="A48" s="5">
        <v>417</v>
      </c>
      <c r="B48" s="40" t="s">
        <v>126</v>
      </c>
      <c r="C48" s="24" t="s">
        <v>1779</v>
      </c>
      <c r="D48" s="2" t="s">
        <v>127</v>
      </c>
      <c r="E48" s="2" t="s">
        <v>128</v>
      </c>
      <c r="F48" s="7">
        <v>45679</v>
      </c>
      <c r="G48" s="16" t="s">
        <v>1256</v>
      </c>
      <c r="H48" s="10">
        <v>541.79705209970803</v>
      </c>
      <c r="I48" s="28">
        <v>36948</v>
      </c>
      <c r="J48" s="9" t="s">
        <v>1080</v>
      </c>
      <c r="K48" s="11" t="s">
        <v>784</v>
      </c>
      <c r="L48" s="11" t="s">
        <v>1519</v>
      </c>
      <c r="M48" s="9">
        <v>76245</v>
      </c>
      <c r="N48" s="9">
        <v>4423019645</v>
      </c>
      <c r="O48" s="9">
        <v>24</v>
      </c>
      <c r="P48" s="9">
        <v>1</v>
      </c>
      <c r="Q48" s="9" t="s">
        <v>1262</v>
      </c>
      <c r="R48" s="9" t="s">
        <v>1037</v>
      </c>
      <c r="S48" s="9" t="s">
        <v>1343</v>
      </c>
      <c r="Z48"/>
    </row>
    <row r="49" spans="1:26" hidden="1">
      <c r="A49" s="5">
        <v>161</v>
      </c>
      <c r="B49" s="40" t="s">
        <v>129</v>
      </c>
      <c r="C49" s="24" t="s">
        <v>1692</v>
      </c>
      <c r="D49" s="2" t="s">
        <v>130</v>
      </c>
      <c r="E49" s="2" t="s">
        <v>131</v>
      </c>
      <c r="F49" s="7">
        <v>45007</v>
      </c>
      <c r="G49" s="16" t="s">
        <v>1256</v>
      </c>
      <c r="H49" s="10">
        <v>573.82042775077298</v>
      </c>
      <c r="I49" s="28">
        <v>36022</v>
      </c>
      <c r="J49" s="9" t="s">
        <v>1081</v>
      </c>
      <c r="K49" s="11" t="s">
        <v>785</v>
      </c>
      <c r="L49" s="11" t="s">
        <v>1435</v>
      </c>
      <c r="M49" s="9">
        <v>97290</v>
      </c>
      <c r="N49" s="9">
        <v>9992249208</v>
      </c>
      <c r="O49" s="9">
        <v>27</v>
      </c>
      <c r="P49" s="9">
        <v>2</v>
      </c>
      <c r="Q49" s="9" t="s">
        <v>1262</v>
      </c>
      <c r="R49" s="9" t="s">
        <v>1037</v>
      </c>
      <c r="S49" s="9" t="s">
        <v>734</v>
      </c>
      <c r="Z49"/>
    </row>
    <row r="50" spans="1:26" hidden="1">
      <c r="A50" s="5">
        <v>22</v>
      </c>
      <c r="B50" s="40" t="s">
        <v>135</v>
      </c>
      <c r="C50" s="24" t="s">
        <v>1624</v>
      </c>
      <c r="D50" s="2" t="s">
        <v>136</v>
      </c>
      <c r="E50" s="2" t="s">
        <v>137</v>
      </c>
      <c r="F50" s="7">
        <v>44013</v>
      </c>
      <c r="G50" s="16" t="s">
        <v>1256</v>
      </c>
      <c r="H50" s="10">
        <v>581.31123938917494</v>
      </c>
      <c r="I50" s="28">
        <v>26127</v>
      </c>
      <c r="J50" s="9" t="s">
        <v>1083</v>
      </c>
      <c r="K50" s="11" t="s">
        <v>787</v>
      </c>
      <c r="L50" s="11" t="s">
        <v>1367</v>
      </c>
      <c r="M50" s="9">
        <v>64102</v>
      </c>
      <c r="N50" s="9">
        <v>8119893536</v>
      </c>
      <c r="O50" s="9">
        <v>54</v>
      </c>
      <c r="P50" s="9">
        <v>5</v>
      </c>
      <c r="Q50" s="9" t="s">
        <v>1262</v>
      </c>
      <c r="R50" s="9" t="s">
        <v>1310</v>
      </c>
      <c r="S50" s="9" t="s">
        <v>1347</v>
      </c>
      <c r="Z50"/>
    </row>
    <row r="51" spans="1:26" hidden="1">
      <c r="A51" s="5">
        <v>103</v>
      </c>
      <c r="B51" s="40" t="s">
        <v>138</v>
      </c>
      <c r="C51" s="24" t="s">
        <v>1664</v>
      </c>
      <c r="D51" s="2" t="s">
        <v>139</v>
      </c>
      <c r="E51" s="2" t="s">
        <v>140</v>
      </c>
      <c r="F51" s="7">
        <v>44844</v>
      </c>
      <c r="G51" s="16" t="s">
        <v>1256</v>
      </c>
      <c r="H51" s="10">
        <v>546.42824410509695</v>
      </c>
      <c r="I51" s="28">
        <v>30136</v>
      </c>
      <c r="J51" s="9" t="s">
        <v>1084</v>
      </c>
      <c r="K51" s="11" t="s">
        <v>788</v>
      </c>
      <c r="L51" s="11" t="s">
        <v>1407</v>
      </c>
      <c r="M51" s="9">
        <v>53660</v>
      </c>
      <c r="N51" s="9">
        <v>5539176351</v>
      </c>
      <c r="O51" s="9">
        <v>43</v>
      </c>
      <c r="P51" s="9">
        <v>3</v>
      </c>
      <c r="Q51" s="9" t="s">
        <v>1262</v>
      </c>
      <c r="R51" s="9" t="s">
        <v>1310</v>
      </c>
      <c r="S51" s="9" t="s">
        <v>1343</v>
      </c>
      <c r="Z51"/>
    </row>
    <row r="52" spans="1:26" hidden="1">
      <c r="A52" s="5">
        <v>162</v>
      </c>
      <c r="B52" s="40" t="s">
        <v>141</v>
      </c>
      <c r="C52" s="24" t="s">
        <v>1693</v>
      </c>
      <c r="D52" s="2" t="s">
        <v>142</v>
      </c>
      <c r="E52" s="2" t="s">
        <v>143</v>
      </c>
      <c r="F52" s="7">
        <v>46034</v>
      </c>
      <c r="G52" s="16" t="s">
        <v>1256</v>
      </c>
      <c r="H52" s="10">
        <v>330.576219178082</v>
      </c>
      <c r="I52" s="28">
        <v>27519</v>
      </c>
      <c r="J52" s="9" t="s">
        <v>1085</v>
      </c>
      <c r="K52" s="11" t="s">
        <v>789</v>
      </c>
      <c r="L52" s="11" t="s">
        <v>1436</v>
      </c>
      <c r="M52" s="9" t="s">
        <v>1323</v>
      </c>
      <c r="N52" s="9">
        <v>5564988639</v>
      </c>
      <c r="O52" s="9">
        <v>50</v>
      </c>
      <c r="P52" s="9">
        <v>2</v>
      </c>
      <c r="Q52" s="9" t="s">
        <v>1262</v>
      </c>
      <c r="R52" s="9" t="s">
        <v>1311</v>
      </c>
      <c r="S52" s="9" t="s">
        <v>1343</v>
      </c>
      <c r="Z52"/>
    </row>
    <row r="53" spans="1:26" hidden="1">
      <c r="A53" s="5">
        <v>66</v>
      </c>
      <c r="B53" s="40" t="s">
        <v>144</v>
      </c>
      <c r="C53" s="24" t="s">
        <v>1645</v>
      </c>
      <c r="D53" s="2" t="s">
        <v>145</v>
      </c>
      <c r="E53" s="2" t="s">
        <v>146</v>
      </c>
      <c r="F53" s="7">
        <v>44652</v>
      </c>
      <c r="G53" s="16" t="s">
        <v>1256</v>
      </c>
      <c r="H53" s="10">
        <v>602.76168672804795</v>
      </c>
      <c r="I53" s="28">
        <v>31127</v>
      </c>
      <c r="J53" s="9" t="s">
        <v>1086</v>
      </c>
      <c r="K53" s="11" t="s">
        <v>790</v>
      </c>
      <c r="L53" s="11" t="s">
        <v>1388</v>
      </c>
      <c r="M53" s="9">
        <v>72589</v>
      </c>
      <c r="N53" s="9">
        <v>2211097715</v>
      </c>
      <c r="O53" s="9">
        <v>40</v>
      </c>
      <c r="P53" s="9">
        <v>3</v>
      </c>
      <c r="Q53" s="9" t="s">
        <v>1262</v>
      </c>
      <c r="R53" s="9" t="s">
        <v>1311</v>
      </c>
      <c r="S53" s="9" t="s">
        <v>738</v>
      </c>
      <c r="Z53"/>
    </row>
    <row r="54" spans="1:26" hidden="1">
      <c r="A54" s="5">
        <v>478</v>
      </c>
      <c r="B54" s="40" t="s">
        <v>147</v>
      </c>
      <c r="C54" s="24" t="s">
        <v>1803</v>
      </c>
      <c r="D54" s="2" t="s">
        <v>148</v>
      </c>
      <c r="E54" s="2" t="s">
        <v>149</v>
      </c>
      <c r="F54" s="7">
        <v>45839</v>
      </c>
      <c r="G54" s="16" t="s">
        <v>1256</v>
      </c>
      <c r="H54" s="10">
        <v>530.41113721086901</v>
      </c>
      <c r="I54" s="28">
        <v>33208</v>
      </c>
      <c r="J54" s="9" t="s">
        <v>1087</v>
      </c>
      <c r="K54" s="11" t="s">
        <v>791</v>
      </c>
      <c r="L54" s="11" t="s">
        <v>1540</v>
      </c>
      <c r="M54" s="9" t="s">
        <v>997</v>
      </c>
      <c r="N54" s="9">
        <v>5641456882</v>
      </c>
      <c r="O54" s="9">
        <v>35</v>
      </c>
      <c r="P54" s="9">
        <v>0</v>
      </c>
      <c r="Q54" s="9" t="s">
        <v>1262</v>
      </c>
      <c r="R54" s="9" t="s">
        <v>1310</v>
      </c>
      <c r="S54" s="9" t="s">
        <v>1343</v>
      </c>
      <c r="Z54"/>
    </row>
    <row r="55" spans="1:26" hidden="1">
      <c r="A55" s="5">
        <v>149</v>
      </c>
      <c r="B55" s="40" t="s">
        <v>150</v>
      </c>
      <c r="C55" s="24" t="s">
        <v>1687</v>
      </c>
      <c r="D55" s="2" t="s">
        <v>151</v>
      </c>
      <c r="E55" s="2" t="s">
        <v>152</v>
      </c>
      <c r="F55" s="7">
        <v>44985</v>
      </c>
      <c r="G55" s="16" t="s">
        <v>1256</v>
      </c>
      <c r="H55" s="10">
        <v>388.13870379519398</v>
      </c>
      <c r="I55" s="28">
        <v>23932</v>
      </c>
      <c r="J55" s="9" t="s">
        <v>1088</v>
      </c>
      <c r="K55" s="11" t="s">
        <v>792</v>
      </c>
      <c r="L55" s="11" t="s">
        <v>1430</v>
      </c>
      <c r="M55" s="9">
        <v>80010</v>
      </c>
      <c r="N55" s="9">
        <v>6674362516</v>
      </c>
      <c r="O55" s="9">
        <v>60</v>
      </c>
      <c r="P55" s="9">
        <v>2</v>
      </c>
      <c r="Q55" s="9" t="s">
        <v>1262</v>
      </c>
      <c r="R55" s="9" t="s">
        <v>1037</v>
      </c>
      <c r="S55" s="9" t="s">
        <v>736</v>
      </c>
      <c r="Z55"/>
    </row>
    <row r="56" spans="1:26" hidden="1">
      <c r="A56" s="5">
        <v>354</v>
      </c>
      <c r="B56" s="40" t="s">
        <v>153</v>
      </c>
      <c r="C56" s="24" t="s">
        <v>1762</v>
      </c>
      <c r="D56" s="2" t="s">
        <v>154</v>
      </c>
      <c r="E56" s="2" t="s">
        <v>155</v>
      </c>
      <c r="F56" s="7">
        <v>45827</v>
      </c>
      <c r="G56" s="16" t="s">
        <v>1256</v>
      </c>
      <c r="H56" s="10">
        <v>655.15011542780098</v>
      </c>
      <c r="I56" s="28">
        <v>37756</v>
      </c>
      <c r="J56" s="9" t="s">
        <v>1089</v>
      </c>
      <c r="K56" s="11" t="s">
        <v>793</v>
      </c>
      <c r="L56" s="11" t="s">
        <v>1502</v>
      </c>
      <c r="M56" s="9">
        <v>81240</v>
      </c>
      <c r="N56" s="9">
        <v>6682503339</v>
      </c>
      <c r="O56" s="9">
        <v>22</v>
      </c>
      <c r="P56" s="9">
        <v>1</v>
      </c>
      <c r="Q56" s="9" t="s">
        <v>1263</v>
      </c>
      <c r="R56" s="9" t="s">
        <v>1045</v>
      </c>
      <c r="S56" s="9" t="s">
        <v>736</v>
      </c>
      <c r="Z56"/>
    </row>
    <row r="57" spans="1:26" hidden="1">
      <c r="A57" s="5">
        <v>286</v>
      </c>
      <c r="B57" s="40" t="s">
        <v>156</v>
      </c>
      <c r="C57" s="24" t="s">
        <v>1736</v>
      </c>
      <c r="D57" s="2" t="s">
        <v>157</v>
      </c>
      <c r="E57" s="2" t="s">
        <v>158</v>
      </c>
      <c r="F57" s="7">
        <v>45366</v>
      </c>
      <c r="G57" s="16" t="s">
        <v>1256</v>
      </c>
      <c r="H57" s="10">
        <v>546.20360947675704</v>
      </c>
      <c r="I57" s="28">
        <v>24263</v>
      </c>
      <c r="J57" s="9" t="s">
        <v>1090</v>
      </c>
      <c r="K57" s="11" t="s">
        <v>794</v>
      </c>
      <c r="L57" s="11" t="s">
        <v>1477</v>
      </c>
      <c r="M57" s="9">
        <v>54803</v>
      </c>
      <c r="N57" s="9">
        <v>5652433753</v>
      </c>
      <c r="O57" s="9">
        <v>59</v>
      </c>
      <c r="P57" s="9">
        <v>1</v>
      </c>
      <c r="Q57" s="9" t="s">
        <v>1262</v>
      </c>
      <c r="R57" s="9" t="s">
        <v>1311</v>
      </c>
      <c r="S57" s="9" t="s">
        <v>1343</v>
      </c>
      <c r="Z57"/>
    </row>
    <row r="58" spans="1:26" hidden="1">
      <c r="A58" s="5">
        <v>140</v>
      </c>
      <c r="B58" s="40" t="s">
        <v>159</v>
      </c>
      <c r="C58" s="24" t="s">
        <v>1681</v>
      </c>
      <c r="D58" s="2" t="s">
        <v>160</v>
      </c>
      <c r="E58" s="2" t="s">
        <v>161</v>
      </c>
      <c r="F58" s="7">
        <v>44984</v>
      </c>
      <c r="G58" s="16" t="s">
        <v>1256</v>
      </c>
      <c r="H58" s="10">
        <v>569.72740220076298</v>
      </c>
      <c r="I58" s="28">
        <v>33874</v>
      </c>
      <c r="J58" s="9" t="s">
        <v>1091</v>
      </c>
      <c r="K58" s="11" t="s">
        <v>795</v>
      </c>
      <c r="L58" s="11" t="s">
        <v>1424</v>
      </c>
      <c r="M58" s="9">
        <v>14100</v>
      </c>
      <c r="N58" s="9">
        <v>5583954678</v>
      </c>
      <c r="O58" s="9">
        <v>33</v>
      </c>
      <c r="P58" s="9">
        <v>2</v>
      </c>
      <c r="Q58" s="9" t="s">
        <v>1262</v>
      </c>
      <c r="R58" s="9" t="s">
        <v>1311</v>
      </c>
      <c r="S58" s="9" t="s">
        <v>1345</v>
      </c>
      <c r="Z58"/>
    </row>
    <row r="59" spans="1:26" hidden="1">
      <c r="A59" s="5">
        <v>60</v>
      </c>
      <c r="B59" s="40" t="s">
        <v>162</v>
      </c>
      <c r="C59" s="24" t="s">
        <v>1641</v>
      </c>
      <c r="D59" s="2" t="s">
        <v>163</v>
      </c>
      <c r="E59" s="2" t="s">
        <v>164</v>
      </c>
      <c r="F59" s="7">
        <v>44594</v>
      </c>
      <c r="G59" s="16" t="s">
        <v>1256</v>
      </c>
      <c r="H59" s="10">
        <v>595.865785088704</v>
      </c>
      <c r="I59" s="28">
        <v>24805</v>
      </c>
      <c r="J59" s="9" t="s">
        <v>1092</v>
      </c>
      <c r="K59" s="11" t="s">
        <v>796</v>
      </c>
      <c r="L59" s="11" t="s">
        <v>1384</v>
      </c>
      <c r="M59" s="9">
        <v>57440</v>
      </c>
      <c r="N59" s="9">
        <v>5515037802</v>
      </c>
      <c r="O59" s="9">
        <v>58</v>
      </c>
      <c r="P59" s="9">
        <v>3</v>
      </c>
      <c r="Q59" s="9" t="s">
        <v>1262</v>
      </c>
      <c r="R59" s="9" t="s">
        <v>1310</v>
      </c>
      <c r="S59" s="9" t="s">
        <v>1343</v>
      </c>
      <c r="Z59"/>
    </row>
    <row r="60" spans="1:26" hidden="1">
      <c r="A60" s="5">
        <v>78</v>
      </c>
      <c r="B60" s="40" t="s">
        <v>165</v>
      </c>
      <c r="C60" s="24" t="s">
        <v>1654</v>
      </c>
      <c r="D60" s="2" t="s">
        <v>166</v>
      </c>
      <c r="E60" s="2" t="s">
        <v>167</v>
      </c>
      <c r="F60" s="7">
        <v>44777</v>
      </c>
      <c r="G60" s="16" t="s">
        <v>1256</v>
      </c>
      <c r="H60" s="10">
        <v>554.36545721985101</v>
      </c>
      <c r="I60" s="28">
        <v>29673</v>
      </c>
      <c r="J60" s="9" t="s">
        <v>1093</v>
      </c>
      <c r="K60" s="11" t="s">
        <v>797</v>
      </c>
      <c r="L60" s="11" t="s">
        <v>1397</v>
      </c>
      <c r="M60" s="9">
        <v>15630</v>
      </c>
      <c r="N60" s="9">
        <v>5548355399</v>
      </c>
      <c r="O60" s="9">
        <v>44</v>
      </c>
      <c r="P60" s="9">
        <v>3</v>
      </c>
      <c r="Q60" s="9" t="s">
        <v>1262</v>
      </c>
      <c r="R60" s="9" t="s">
        <v>1310</v>
      </c>
      <c r="S60" s="9" t="s">
        <v>1343</v>
      </c>
      <c r="Z60"/>
    </row>
    <row r="61" spans="1:26" hidden="1">
      <c r="A61" s="5">
        <v>536</v>
      </c>
      <c r="B61" s="40" t="s">
        <v>685</v>
      </c>
      <c r="C61" s="24" t="s">
        <v>1834</v>
      </c>
      <c r="D61" s="2" t="s">
        <v>686</v>
      </c>
      <c r="E61" s="2" t="s">
        <v>687</v>
      </c>
      <c r="F61" s="7">
        <v>46032</v>
      </c>
      <c r="G61" s="16" t="s">
        <v>1256</v>
      </c>
      <c r="H61" s="10">
        <v>330.576219178082</v>
      </c>
      <c r="I61" s="28">
        <v>33406</v>
      </c>
      <c r="J61" s="9" t="s">
        <v>1301</v>
      </c>
      <c r="K61" s="11" t="s">
        <v>971</v>
      </c>
      <c r="L61" s="11" t="s">
        <v>1570</v>
      </c>
      <c r="M61" s="9" t="s">
        <v>1335</v>
      </c>
      <c r="N61" s="21">
        <v>9712072095</v>
      </c>
      <c r="O61" s="9">
        <v>34</v>
      </c>
      <c r="P61" s="9">
        <v>0</v>
      </c>
      <c r="Q61" s="9" t="s">
        <v>1262</v>
      </c>
      <c r="R61" s="9" t="s">
        <v>1310</v>
      </c>
      <c r="S61" s="9" t="s">
        <v>1354</v>
      </c>
      <c r="Z61"/>
    </row>
    <row r="62" spans="1:26" hidden="1">
      <c r="A62" s="5">
        <v>388</v>
      </c>
      <c r="B62" s="40" t="s">
        <v>168</v>
      </c>
      <c r="C62" s="24" t="s">
        <v>1769</v>
      </c>
      <c r="D62" s="2" t="s">
        <v>169</v>
      </c>
      <c r="E62" s="2" t="s">
        <v>170</v>
      </c>
      <c r="F62" s="7">
        <v>45616</v>
      </c>
      <c r="G62" s="16" t="s">
        <v>1256</v>
      </c>
      <c r="H62" s="10">
        <v>503.20164226364199</v>
      </c>
      <c r="I62" s="28">
        <v>32452</v>
      </c>
      <c r="J62" s="9" t="s">
        <v>1094</v>
      </c>
      <c r="K62" s="11" t="s">
        <v>798</v>
      </c>
      <c r="L62" s="11" t="s">
        <v>1509</v>
      </c>
      <c r="M62" s="9">
        <v>6300</v>
      </c>
      <c r="N62" s="9">
        <v>5627889409</v>
      </c>
      <c r="O62" s="9">
        <v>37</v>
      </c>
      <c r="P62" s="9">
        <v>1</v>
      </c>
      <c r="Q62" s="9" t="s">
        <v>1263</v>
      </c>
      <c r="R62" s="9" t="s">
        <v>1311</v>
      </c>
      <c r="S62" s="9" t="s">
        <v>1343</v>
      </c>
      <c r="Z62"/>
    </row>
    <row r="63" spans="1:26" hidden="1">
      <c r="A63" s="5">
        <v>522</v>
      </c>
      <c r="B63" s="40" t="s">
        <v>649</v>
      </c>
      <c r="C63" s="24" t="s">
        <v>1828</v>
      </c>
      <c r="D63" s="2" t="s">
        <v>650</v>
      </c>
      <c r="E63" s="2" t="s">
        <v>651</v>
      </c>
      <c r="F63" s="7">
        <v>46024</v>
      </c>
      <c r="G63" s="16" t="s">
        <v>1256</v>
      </c>
      <c r="H63" s="10">
        <v>330.576219178082</v>
      </c>
      <c r="I63" s="28">
        <v>32853</v>
      </c>
      <c r="J63" s="9" t="s">
        <v>1294</v>
      </c>
      <c r="K63" s="11" t="s">
        <v>959</v>
      </c>
      <c r="L63" s="11" t="s">
        <v>1564</v>
      </c>
      <c r="M63" s="9" t="s">
        <v>1319</v>
      </c>
      <c r="N63" s="21">
        <v>2211346829</v>
      </c>
      <c r="O63" s="9">
        <v>36</v>
      </c>
      <c r="P63" s="9">
        <v>0</v>
      </c>
      <c r="Q63" s="9" t="s">
        <v>1262</v>
      </c>
      <c r="R63" s="9" t="s">
        <v>1310</v>
      </c>
      <c r="S63" s="9" t="s">
        <v>738</v>
      </c>
      <c r="Z63"/>
    </row>
    <row r="64" spans="1:26" hidden="1">
      <c r="A64" s="5">
        <v>435</v>
      </c>
      <c r="B64" s="40" t="s">
        <v>171</v>
      </c>
      <c r="C64" s="24" t="s">
        <v>1786</v>
      </c>
      <c r="D64" s="2" t="s">
        <v>172</v>
      </c>
      <c r="E64" s="2" t="s">
        <v>173</v>
      </c>
      <c r="F64" s="7">
        <v>45721</v>
      </c>
      <c r="G64" s="16" t="s">
        <v>1256</v>
      </c>
      <c r="H64" s="10">
        <v>557.05867819447496</v>
      </c>
      <c r="I64" s="28">
        <v>27126</v>
      </c>
      <c r="J64" s="9" t="s">
        <v>1095</v>
      </c>
      <c r="K64" s="11" t="s">
        <v>799</v>
      </c>
      <c r="L64" s="11" t="s">
        <v>1524</v>
      </c>
      <c r="M64" s="9" t="s">
        <v>990</v>
      </c>
      <c r="N64" s="9">
        <v>5513443378</v>
      </c>
      <c r="O64" s="9">
        <v>51</v>
      </c>
      <c r="P64" s="9">
        <v>0</v>
      </c>
      <c r="Q64" s="9" t="s">
        <v>1263</v>
      </c>
      <c r="R64" s="9" t="s">
        <v>1311</v>
      </c>
      <c r="S64" s="9" t="s">
        <v>1343</v>
      </c>
      <c r="Z64"/>
    </row>
    <row r="65" spans="1:26" hidden="1">
      <c r="A65" s="5">
        <v>506</v>
      </c>
      <c r="B65" s="40" t="s">
        <v>174</v>
      </c>
      <c r="C65" s="24" t="s">
        <v>1822</v>
      </c>
      <c r="D65" s="2" t="s">
        <v>175</v>
      </c>
      <c r="E65" s="2" t="s">
        <v>176</v>
      </c>
      <c r="F65" s="7">
        <v>45877</v>
      </c>
      <c r="G65" s="16" t="s">
        <v>1256</v>
      </c>
      <c r="H65" s="10">
        <v>533.93457983381995</v>
      </c>
      <c r="I65" s="28">
        <v>31018</v>
      </c>
      <c r="J65" s="9" t="s">
        <v>1096</v>
      </c>
      <c r="K65" s="11" t="s">
        <v>800</v>
      </c>
      <c r="L65" s="11" t="s">
        <v>1558</v>
      </c>
      <c r="M65" s="9" t="s">
        <v>998</v>
      </c>
      <c r="N65" s="9">
        <v>5581505057</v>
      </c>
      <c r="O65" s="9">
        <v>41</v>
      </c>
      <c r="P65" s="9">
        <v>0</v>
      </c>
      <c r="Q65" s="9" t="s">
        <v>1262</v>
      </c>
      <c r="R65" s="9" t="s">
        <v>1311</v>
      </c>
      <c r="S65" s="9" t="s">
        <v>1343</v>
      </c>
      <c r="Z65"/>
    </row>
    <row r="66" spans="1:26" hidden="1">
      <c r="A66" s="5">
        <v>32</v>
      </c>
      <c r="B66" s="40" t="s">
        <v>177</v>
      </c>
      <c r="C66" s="24" t="s">
        <v>1630</v>
      </c>
      <c r="D66" s="2" t="s">
        <v>178</v>
      </c>
      <c r="E66" s="2" t="s">
        <v>179</v>
      </c>
      <c r="F66" s="7">
        <v>44242</v>
      </c>
      <c r="G66" s="16" t="s">
        <v>1256</v>
      </c>
      <c r="H66" s="10">
        <v>558.32252863238205</v>
      </c>
      <c r="I66" s="28">
        <v>25705</v>
      </c>
      <c r="J66" s="9" t="s">
        <v>1097</v>
      </c>
      <c r="K66" s="11" t="s">
        <v>801</v>
      </c>
      <c r="L66" s="11" t="s">
        <v>1373</v>
      </c>
      <c r="M66" s="9">
        <v>43816</v>
      </c>
      <c r="N66" s="9">
        <v>5533326626</v>
      </c>
      <c r="O66" s="9">
        <v>55</v>
      </c>
      <c r="P66" s="9">
        <v>4</v>
      </c>
      <c r="Q66" s="9" t="s">
        <v>1262</v>
      </c>
      <c r="R66" s="9" t="s">
        <v>1310</v>
      </c>
      <c r="S66" s="9" t="s">
        <v>1343</v>
      </c>
      <c r="Z66"/>
    </row>
    <row r="67" spans="1:26" hidden="1">
      <c r="A67" s="5">
        <v>531</v>
      </c>
      <c r="B67" s="40" t="s">
        <v>661</v>
      </c>
      <c r="C67" s="24" t="s">
        <v>1830</v>
      </c>
      <c r="D67" s="2" t="s">
        <v>662</v>
      </c>
      <c r="E67" s="2" t="s">
        <v>663</v>
      </c>
      <c r="F67" s="7">
        <v>46030</v>
      </c>
      <c r="G67" s="16" t="s">
        <v>1256</v>
      </c>
      <c r="H67" s="10">
        <v>340.49224657534199</v>
      </c>
      <c r="I67" s="28">
        <v>36381</v>
      </c>
      <c r="J67" s="9" t="s">
        <v>1297</v>
      </c>
      <c r="K67" s="11" t="s">
        <v>963</v>
      </c>
      <c r="L67" s="11" t="s">
        <v>1566</v>
      </c>
      <c r="M67" s="9" t="s">
        <v>1324</v>
      </c>
      <c r="N67" s="21">
        <v>6682553927</v>
      </c>
      <c r="O67" s="9">
        <v>26</v>
      </c>
      <c r="P67" s="9">
        <v>0</v>
      </c>
      <c r="Q67" s="9" t="s">
        <v>1262</v>
      </c>
      <c r="R67" s="9"/>
      <c r="S67" s="9" t="s">
        <v>736</v>
      </c>
      <c r="Z67"/>
    </row>
    <row r="68" spans="1:26" hidden="1">
      <c r="A68" s="5">
        <v>471</v>
      </c>
      <c r="B68" s="40" t="s">
        <v>180</v>
      </c>
      <c r="C68" s="24" t="s">
        <v>1802</v>
      </c>
      <c r="D68" s="2" t="s">
        <v>181</v>
      </c>
      <c r="E68" s="2" t="s">
        <v>182</v>
      </c>
      <c r="F68" s="7">
        <v>45811</v>
      </c>
      <c r="G68" s="16" t="s">
        <v>1256</v>
      </c>
      <c r="H68" s="10">
        <v>437.76162901414699</v>
      </c>
      <c r="I68" s="28">
        <v>34449</v>
      </c>
      <c r="J68" s="9" t="s">
        <v>1098</v>
      </c>
      <c r="K68" s="11" t="s">
        <v>802</v>
      </c>
      <c r="L68" s="11" t="s">
        <v>1539</v>
      </c>
      <c r="M68" s="9">
        <v>55210</v>
      </c>
      <c r="N68" s="9">
        <v>5618336529</v>
      </c>
      <c r="O68" s="9">
        <v>31</v>
      </c>
      <c r="P68" s="9">
        <v>0</v>
      </c>
      <c r="Q68" s="9" t="s">
        <v>1262</v>
      </c>
      <c r="R68" s="9" t="s">
        <v>1311</v>
      </c>
      <c r="S68" s="9" t="s">
        <v>1345</v>
      </c>
      <c r="Z68"/>
    </row>
    <row r="69" spans="1:26" hidden="1">
      <c r="A69" s="5">
        <v>449</v>
      </c>
      <c r="B69" s="40" t="s">
        <v>186</v>
      </c>
      <c r="C69" s="24" t="s">
        <v>1791</v>
      </c>
      <c r="D69" s="2" t="s">
        <v>187</v>
      </c>
      <c r="E69" s="2" t="s">
        <v>188</v>
      </c>
      <c r="F69" s="7">
        <v>45755</v>
      </c>
      <c r="G69" s="16" t="s">
        <v>1256</v>
      </c>
      <c r="H69" s="10">
        <v>581.65736671906495</v>
      </c>
      <c r="I69" s="28">
        <v>32445</v>
      </c>
      <c r="J69" s="9" t="s">
        <v>1100</v>
      </c>
      <c r="K69" s="11" t="s">
        <v>804</v>
      </c>
      <c r="L69" s="11" t="s">
        <v>1529</v>
      </c>
      <c r="M69" s="9">
        <v>15290</v>
      </c>
      <c r="N69" s="9">
        <v>5618596418</v>
      </c>
      <c r="O69" s="9">
        <v>37</v>
      </c>
      <c r="P69" s="9">
        <v>0</v>
      </c>
      <c r="Q69" s="9" t="s">
        <v>1262</v>
      </c>
      <c r="R69" s="9" t="s">
        <v>1311</v>
      </c>
      <c r="S69" s="9" t="s">
        <v>1345</v>
      </c>
      <c r="Z69"/>
    </row>
    <row r="70" spans="1:26" hidden="1">
      <c r="A70" s="5">
        <v>58</v>
      </c>
      <c r="B70" s="40" t="s">
        <v>189</v>
      </c>
      <c r="C70" s="24" t="s">
        <v>1639</v>
      </c>
      <c r="D70" s="2" t="s">
        <v>190</v>
      </c>
      <c r="E70" s="2" t="s">
        <v>191</v>
      </c>
      <c r="F70" s="7">
        <v>44562</v>
      </c>
      <c r="G70" s="16" t="s">
        <v>1256</v>
      </c>
      <c r="H70" s="10">
        <v>562.37400404221796</v>
      </c>
      <c r="I70" s="28">
        <v>28510</v>
      </c>
      <c r="J70" s="9" t="s">
        <v>1101</v>
      </c>
      <c r="K70" s="11" t="s">
        <v>805</v>
      </c>
      <c r="L70" s="11" t="s">
        <v>1382</v>
      </c>
      <c r="M70" s="9">
        <v>53428</v>
      </c>
      <c r="N70" s="9">
        <v>5564752225</v>
      </c>
      <c r="O70" s="9">
        <v>47</v>
      </c>
      <c r="P70" s="9">
        <v>4</v>
      </c>
      <c r="Q70" s="9" t="s">
        <v>1262</v>
      </c>
      <c r="R70" s="9" t="s">
        <v>1311</v>
      </c>
      <c r="S70" s="9" t="s">
        <v>1102</v>
      </c>
      <c r="Z70"/>
    </row>
    <row r="71" spans="1:26" hidden="1">
      <c r="A71" s="5">
        <v>547</v>
      </c>
      <c r="B71" s="40" t="s">
        <v>706</v>
      </c>
      <c r="C71" s="24" t="s">
        <v>1841</v>
      </c>
      <c r="D71" s="2" t="s">
        <v>707</v>
      </c>
      <c r="E71" s="2" t="s">
        <v>708</v>
      </c>
      <c r="F71" s="7">
        <v>46034</v>
      </c>
      <c r="G71" s="16" t="s">
        <v>1256</v>
      </c>
      <c r="H71" s="10">
        <v>330.576219178082</v>
      </c>
      <c r="I71" s="28">
        <v>30115</v>
      </c>
      <c r="J71" s="9" t="s">
        <v>1278</v>
      </c>
      <c r="K71" s="16" t="s">
        <v>1279</v>
      </c>
      <c r="L71" s="11" t="s">
        <v>1280</v>
      </c>
      <c r="M71" s="9">
        <v>1410</v>
      </c>
      <c r="N71" s="9">
        <v>5635545552</v>
      </c>
      <c r="O71" s="9"/>
      <c r="P71" s="9">
        <v>0</v>
      </c>
      <c r="Q71" s="9" t="s">
        <v>1262</v>
      </c>
      <c r="R71" s="9" t="s">
        <v>1311</v>
      </c>
      <c r="S71" s="9" t="s">
        <v>1343</v>
      </c>
      <c r="Z71"/>
    </row>
    <row r="72" spans="1:26" hidden="1">
      <c r="A72" s="5">
        <v>517</v>
      </c>
      <c r="B72" s="40" t="s">
        <v>541</v>
      </c>
      <c r="C72" s="24" t="s">
        <v>1827</v>
      </c>
      <c r="D72" s="2" t="s">
        <v>542</v>
      </c>
      <c r="E72" s="2" t="s">
        <v>543</v>
      </c>
      <c r="F72" s="7">
        <v>45953</v>
      </c>
      <c r="G72" s="16" t="s">
        <v>1256</v>
      </c>
      <c r="H72" s="10">
        <v>543.92600718616598</v>
      </c>
      <c r="I72" s="28">
        <v>33949</v>
      </c>
      <c r="J72" s="9" t="s">
        <v>1223</v>
      </c>
      <c r="K72" s="11" t="s">
        <v>923</v>
      </c>
      <c r="L72" s="11" t="s">
        <v>1563</v>
      </c>
      <c r="M72" s="9">
        <v>77517</v>
      </c>
      <c r="N72" s="9">
        <v>9982163192</v>
      </c>
      <c r="O72" s="9">
        <v>32</v>
      </c>
      <c r="P72" s="9">
        <v>0</v>
      </c>
      <c r="Q72" s="9" t="s">
        <v>1262</v>
      </c>
      <c r="R72" s="9" t="s">
        <v>1311</v>
      </c>
      <c r="S72" s="9" t="s">
        <v>1353</v>
      </c>
      <c r="Z72"/>
    </row>
    <row r="73" spans="1:26" hidden="1">
      <c r="A73" s="5">
        <v>94</v>
      </c>
      <c r="B73" s="40" t="s">
        <v>201</v>
      </c>
      <c r="C73" s="24" t="s">
        <v>1661</v>
      </c>
      <c r="D73" s="2" t="s">
        <v>202</v>
      </c>
      <c r="E73" s="2" t="s">
        <v>170</v>
      </c>
      <c r="F73" s="7">
        <v>44805</v>
      </c>
      <c r="G73" s="16" t="s">
        <v>1256</v>
      </c>
      <c r="H73" s="10">
        <v>539.95234246575296</v>
      </c>
      <c r="I73" s="28">
        <v>29262</v>
      </c>
      <c r="J73" s="9" t="s">
        <v>1107</v>
      </c>
      <c r="K73" s="11" t="s">
        <v>809</v>
      </c>
      <c r="L73" s="11" t="s">
        <v>1404</v>
      </c>
      <c r="M73" s="9" t="s">
        <v>999</v>
      </c>
      <c r="N73" s="9">
        <v>5566842716</v>
      </c>
      <c r="O73" s="9">
        <v>45</v>
      </c>
      <c r="P73" s="9">
        <v>3</v>
      </c>
      <c r="Q73" s="9" t="s">
        <v>1262</v>
      </c>
      <c r="R73" s="9" t="s">
        <v>1311</v>
      </c>
      <c r="S73" s="9" t="s">
        <v>1343</v>
      </c>
      <c r="Z73"/>
    </row>
    <row r="74" spans="1:26" hidden="1">
      <c r="A74" s="5">
        <v>402</v>
      </c>
      <c r="B74" s="40" t="s">
        <v>203</v>
      </c>
      <c r="C74" s="24" t="s">
        <v>1774</v>
      </c>
      <c r="D74" s="2" t="s">
        <v>204</v>
      </c>
      <c r="E74" s="2" t="s">
        <v>205</v>
      </c>
      <c r="F74" s="7">
        <v>45660</v>
      </c>
      <c r="G74" s="16" t="s">
        <v>1256</v>
      </c>
      <c r="H74" s="10">
        <v>700.15541275544501</v>
      </c>
      <c r="I74" s="28">
        <v>31886</v>
      </c>
      <c r="J74" s="9" t="s">
        <v>1108</v>
      </c>
      <c r="K74" s="11" t="s">
        <v>810</v>
      </c>
      <c r="L74" s="11" t="s">
        <v>1514</v>
      </c>
      <c r="M74" s="9" t="s">
        <v>1000</v>
      </c>
      <c r="N74" s="9">
        <v>5941233435</v>
      </c>
      <c r="O74" s="9">
        <v>38</v>
      </c>
      <c r="P74" s="9">
        <v>1</v>
      </c>
      <c r="Q74" s="9" t="s">
        <v>1262</v>
      </c>
      <c r="R74" s="9" t="s">
        <v>1311</v>
      </c>
      <c r="S74" s="9" t="s">
        <v>1343</v>
      </c>
      <c r="Z74"/>
    </row>
    <row r="75" spans="1:26" hidden="1">
      <c r="A75" s="5">
        <v>172</v>
      </c>
      <c r="B75" s="40" t="s">
        <v>206</v>
      </c>
      <c r="C75" s="24" t="s">
        <v>1696</v>
      </c>
      <c r="D75" s="2" t="s">
        <v>207</v>
      </c>
      <c r="E75" s="2" t="s">
        <v>208</v>
      </c>
      <c r="F75" s="7">
        <v>45034</v>
      </c>
      <c r="G75" s="16" t="s">
        <v>1256</v>
      </c>
      <c r="H75" s="10">
        <v>611.49986121715597</v>
      </c>
      <c r="I75" s="28">
        <v>26937</v>
      </c>
      <c r="J75" s="9" t="s">
        <v>1109</v>
      </c>
      <c r="K75" s="11" t="s">
        <v>811</v>
      </c>
      <c r="L75" s="11" t="s">
        <v>1439</v>
      </c>
      <c r="M75" s="9">
        <v>55635</v>
      </c>
      <c r="N75" s="9">
        <v>5580844094</v>
      </c>
      <c r="O75" s="9">
        <v>52</v>
      </c>
      <c r="P75" s="9">
        <v>2</v>
      </c>
      <c r="Q75" s="9" t="s">
        <v>1262</v>
      </c>
      <c r="R75" s="9" t="s">
        <v>1311</v>
      </c>
      <c r="S75" s="9" t="s">
        <v>1343</v>
      </c>
      <c r="Z75"/>
    </row>
    <row r="76" spans="1:26" hidden="1">
      <c r="A76" s="5">
        <v>29</v>
      </c>
      <c r="B76" s="40" t="s">
        <v>209</v>
      </c>
      <c r="C76" s="24" t="s">
        <v>1627</v>
      </c>
      <c r="D76" s="2" t="s">
        <v>210</v>
      </c>
      <c r="E76" s="2" t="s">
        <v>211</v>
      </c>
      <c r="F76" s="7">
        <v>44197</v>
      </c>
      <c r="G76" s="16" t="s">
        <v>1256</v>
      </c>
      <c r="H76" s="10">
        <v>572.63976397933902</v>
      </c>
      <c r="I76" s="28">
        <v>33639</v>
      </c>
      <c r="J76" s="9" t="s">
        <v>1110</v>
      </c>
      <c r="K76" s="11" t="s">
        <v>812</v>
      </c>
      <c r="L76" s="11" t="s">
        <v>1370</v>
      </c>
      <c r="M76" s="9">
        <v>55040</v>
      </c>
      <c r="N76" s="9">
        <v>5634645621</v>
      </c>
      <c r="O76" s="9">
        <v>33</v>
      </c>
      <c r="P76" s="9">
        <v>5</v>
      </c>
      <c r="Q76" s="9" t="s">
        <v>1262</v>
      </c>
      <c r="R76" s="9" t="s">
        <v>1311</v>
      </c>
      <c r="S76" s="9" t="s">
        <v>1345</v>
      </c>
      <c r="Z76"/>
    </row>
    <row r="77" spans="1:26" hidden="1">
      <c r="A77" s="5">
        <v>51</v>
      </c>
      <c r="B77" s="40" t="s">
        <v>212</v>
      </c>
      <c r="C77" s="24" t="s">
        <v>1637</v>
      </c>
      <c r="D77" s="2" t="s">
        <v>213</v>
      </c>
      <c r="E77" s="2" t="s">
        <v>214</v>
      </c>
      <c r="F77" s="7">
        <v>44487</v>
      </c>
      <c r="G77" s="16" t="s">
        <v>1256</v>
      </c>
      <c r="H77" s="10">
        <v>662.27351223894004</v>
      </c>
      <c r="I77" s="28">
        <v>31455</v>
      </c>
      <c r="J77" s="9" t="s">
        <v>1111</v>
      </c>
      <c r="K77" s="11" t="s">
        <v>813</v>
      </c>
      <c r="L77" s="11" t="s">
        <v>1380</v>
      </c>
      <c r="M77" s="9">
        <v>44770</v>
      </c>
      <c r="N77" s="9">
        <v>3321704104</v>
      </c>
      <c r="O77" s="9">
        <v>39</v>
      </c>
      <c r="P77" s="9">
        <v>4</v>
      </c>
      <c r="Q77" s="9" t="s">
        <v>1262</v>
      </c>
      <c r="R77" s="9" t="s">
        <v>1311</v>
      </c>
      <c r="S77" s="9" t="s">
        <v>1344</v>
      </c>
      <c r="Z77"/>
    </row>
    <row r="78" spans="1:26" hidden="1">
      <c r="A78" s="5">
        <v>105</v>
      </c>
      <c r="B78" s="40" t="s">
        <v>215</v>
      </c>
      <c r="C78" s="24" t="s">
        <v>1665</v>
      </c>
      <c r="D78" s="2" t="s">
        <v>216</v>
      </c>
      <c r="E78" s="2" t="s">
        <v>217</v>
      </c>
      <c r="F78" s="7">
        <v>44846</v>
      </c>
      <c r="G78" s="16" t="s">
        <v>1256</v>
      </c>
      <c r="H78" s="10">
        <v>578.72955558050705</v>
      </c>
      <c r="I78" s="28">
        <v>26714</v>
      </c>
      <c r="J78" s="9" t="s">
        <v>1112</v>
      </c>
      <c r="K78" s="11" t="s">
        <v>814</v>
      </c>
      <c r="L78" s="11" t="s">
        <v>1408</v>
      </c>
      <c r="M78" s="9">
        <v>55712</v>
      </c>
      <c r="N78" s="9">
        <v>5560783178</v>
      </c>
      <c r="O78" s="9">
        <v>52</v>
      </c>
      <c r="P78" s="9">
        <v>3</v>
      </c>
      <c r="Q78" s="9" t="s">
        <v>1262</v>
      </c>
      <c r="R78" s="9" t="s">
        <v>1311</v>
      </c>
      <c r="S78" s="9" t="s">
        <v>1343</v>
      </c>
      <c r="Z78"/>
    </row>
    <row r="79" spans="1:26" hidden="1">
      <c r="A79" s="5">
        <v>185</v>
      </c>
      <c r="B79" s="40" t="s">
        <v>218</v>
      </c>
      <c r="C79" s="24" t="s">
        <v>1702</v>
      </c>
      <c r="D79" s="2" t="s">
        <v>219</v>
      </c>
      <c r="E79" s="2" t="s">
        <v>220</v>
      </c>
      <c r="F79" s="7">
        <v>45128</v>
      </c>
      <c r="G79" s="16" t="s">
        <v>1256</v>
      </c>
      <c r="H79" s="10">
        <v>587.94133662699301</v>
      </c>
      <c r="I79" s="28">
        <v>27457</v>
      </c>
      <c r="J79" s="9" t="s">
        <v>1113</v>
      </c>
      <c r="K79" s="11" t="s">
        <v>815</v>
      </c>
      <c r="L79" s="11" t="s">
        <v>1445</v>
      </c>
      <c r="M79" s="9">
        <v>64117</v>
      </c>
      <c r="N79" s="9">
        <v>8136351543</v>
      </c>
      <c r="O79" s="9">
        <v>50</v>
      </c>
      <c r="P79" s="9">
        <v>2</v>
      </c>
      <c r="Q79" s="9" t="s">
        <v>1262</v>
      </c>
      <c r="R79" s="9" t="s">
        <v>1310</v>
      </c>
      <c r="S79" s="9" t="s">
        <v>1347</v>
      </c>
      <c r="Z79"/>
    </row>
    <row r="80" spans="1:26" hidden="1">
      <c r="A80" s="5">
        <v>46</v>
      </c>
      <c r="B80" s="40" t="s">
        <v>221</v>
      </c>
      <c r="C80" s="24" t="s">
        <v>1635</v>
      </c>
      <c r="D80" s="2" t="s">
        <v>222</v>
      </c>
      <c r="E80" s="2" t="s">
        <v>223</v>
      </c>
      <c r="F80" s="7">
        <v>44344</v>
      </c>
      <c r="G80" s="16" t="s">
        <v>1256</v>
      </c>
      <c r="H80" s="10">
        <v>571.65773751657002</v>
      </c>
      <c r="I80" s="28">
        <v>27126</v>
      </c>
      <c r="J80" s="9" t="s">
        <v>1114</v>
      </c>
      <c r="K80" s="11" t="s">
        <v>816</v>
      </c>
      <c r="L80" s="11" t="s">
        <v>1378</v>
      </c>
      <c r="M80" s="9" t="s">
        <v>1001</v>
      </c>
      <c r="N80" s="9">
        <v>5541393919</v>
      </c>
      <c r="O80" s="9">
        <v>51</v>
      </c>
      <c r="P80" s="9">
        <v>4</v>
      </c>
      <c r="Q80" s="9" t="s">
        <v>1262</v>
      </c>
      <c r="R80" s="9" t="s">
        <v>1311</v>
      </c>
      <c r="S80" s="9" t="s">
        <v>1343</v>
      </c>
      <c r="Z80"/>
    </row>
    <row r="81" spans="1:26" hidden="1">
      <c r="A81" s="5">
        <v>339</v>
      </c>
      <c r="B81" s="40" t="s">
        <v>224</v>
      </c>
      <c r="C81" s="24" t="s">
        <v>1755</v>
      </c>
      <c r="D81" s="2" t="s">
        <v>225</v>
      </c>
      <c r="E81" s="2" t="s">
        <v>226</v>
      </c>
      <c r="F81" s="7">
        <v>45475</v>
      </c>
      <c r="G81" s="16" t="s">
        <v>1256</v>
      </c>
      <c r="H81" s="10">
        <v>555.54787177183903</v>
      </c>
      <c r="I81" s="28">
        <v>31329</v>
      </c>
      <c r="J81" s="9" t="s">
        <v>1115</v>
      </c>
      <c r="K81" s="11" t="s">
        <v>817</v>
      </c>
      <c r="L81" s="11" t="s">
        <v>1496</v>
      </c>
      <c r="M81" s="9">
        <v>55993</v>
      </c>
      <c r="N81" s="9">
        <v>5511466690</v>
      </c>
      <c r="O81" s="9">
        <v>40</v>
      </c>
      <c r="P81" s="9">
        <v>1</v>
      </c>
      <c r="Q81" s="9" t="s">
        <v>1262</v>
      </c>
      <c r="R81" s="9" t="s">
        <v>1311</v>
      </c>
      <c r="S81" s="9" t="s">
        <v>1343</v>
      </c>
      <c r="Z81"/>
    </row>
    <row r="82" spans="1:26" hidden="1">
      <c r="A82" s="5">
        <v>110</v>
      </c>
      <c r="B82" s="40" t="s">
        <v>227</v>
      </c>
      <c r="C82" s="24" t="s">
        <v>1667</v>
      </c>
      <c r="D82" s="2" t="s">
        <v>228</v>
      </c>
      <c r="E82" s="2" t="s">
        <v>229</v>
      </c>
      <c r="F82" s="7">
        <v>46034</v>
      </c>
      <c r="G82" s="16" t="s">
        <v>1256</v>
      </c>
      <c r="H82" s="10">
        <v>330.576219178082</v>
      </c>
      <c r="I82" s="28">
        <v>29931</v>
      </c>
      <c r="J82" s="9" t="s">
        <v>1116</v>
      </c>
      <c r="K82" s="11" t="s">
        <v>818</v>
      </c>
      <c r="L82" s="11" t="s">
        <v>1410</v>
      </c>
      <c r="M82" s="9" t="s">
        <v>1326</v>
      </c>
      <c r="N82" s="9">
        <v>5521107121</v>
      </c>
      <c r="O82" s="9">
        <v>43</v>
      </c>
      <c r="P82" s="9">
        <v>3</v>
      </c>
      <c r="Q82" s="9" t="s">
        <v>1262</v>
      </c>
      <c r="R82" s="9" t="s">
        <v>1311</v>
      </c>
      <c r="S82" s="9" t="s">
        <v>1343</v>
      </c>
      <c r="Z82"/>
    </row>
    <row r="83" spans="1:26" hidden="1">
      <c r="A83" s="5">
        <v>508</v>
      </c>
      <c r="B83" s="40" t="s">
        <v>230</v>
      </c>
      <c r="C83" s="24" t="s">
        <v>1823</v>
      </c>
      <c r="D83" s="2" t="s">
        <v>231</v>
      </c>
      <c r="E83" s="2" t="s">
        <v>232</v>
      </c>
      <c r="F83" s="7">
        <v>45882</v>
      </c>
      <c r="G83" s="16" t="s">
        <v>1256</v>
      </c>
      <c r="H83" s="10">
        <v>552.45687491578701</v>
      </c>
      <c r="I83" s="28">
        <v>33088</v>
      </c>
      <c r="J83" s="9" t="s">
        <v>1117</v>
      </c>
      <c r="K83" s="11" t="s">
        <v>819</v>
      </c>
      <c r="L83" s="11" t="s">
        <v>1559</v>
      </c>
      <c r="M83" s="9" t="s">
        <v>1002</v>
      </c>
      <c r="N83" s="9">
        <v>5646229086</v>
      </c>
      <c r="O83" s="9">
        <v>35</v>
      </c>
      <c r="P83" s="9">
        <v>0</v>
      </c>
      <c r="Q83" s="9" t="s">
        <v>1262</v>
      </c>
      <c r="R83" s="9" t="s">
        <v>1311</v>
      </c>
      <c r="S83" s="9" t="s">
        <v>1343</v>
      </c>
      <c r="Z83"/>
    </row>
    <row r="84" spans="1:26" hidden="1">
      <c r="A84" s="5">
        <v>155</v>
      </c>
      <c r="B84" s="40" t="s">
        <v>544</v>
      </c>
      <c r="C84" s="24" t="s">
        <v>1690</v>
      </c>
      <c r="D84" s="2" t="s">
        <v>545</v>
      </c>
      <c r="E84" s="2" t="s">
        <v>546</v>
      </c>
      <c r="F84" s="7">
        <v>45756</v>
      </c>
      <c r="G84" s="16" t="s">
        <v>1256</v>
      </c>
      <c r="H84" s="10">
        <v>510.441792948574</v>
      </c>
      <c r="I84" s="28">
        <v>29643</v>
      </c>
      <c r="J84" s="9" t="s">
        <v>1224</v>
      </c>
      <c r="K84" s="11" t="s">
        <v>924</v>
      </c>
      <c r="L84" s="11" t="s">
        <v>1433</v>
      </c>
      <c r="M84" s="9" t="s">
        <v>1017</v>
      </c>
      <c r="N84" s="9">
        <v>5540438788</v>
      </c>
      <c r="O84" s="9">
        <v>44</v>
      </c>
      <c r="P84" s="9">
        <v>0</v>
      </c>
      <c r="Q84" s="9" t="s">
        <v>1262</v>
      </c>
      <c r="R84" s="9" t="s">
        <v>1311</v>
      </c>
      <c r="S84" s="9" t="s">
        <v>1343</v>
      </c>
      <c r="Z84"/>
    </row>
    <row r="85" spans="1:26" hidden="1">
      <c r="A85" s="5">
        <v>67</v>
      </c>
      <c r="B85" s="40" t="s">
        <v>236</v>
      </c>
      <c r="C85" s="24" t="s">
        <v>1646</v>
      </c>
      <c r="D85" s="2" t="s">
        <v>237</v>
      </c>
      <c r="E85" s="2" t="s">
        <v>238</v>
      </c>
      <c r="F85" s="7">
        <v>45680</v>
      </c>
      <c r="G85" s="16" t="s">
        <v>1256</v>
      </c>
      <c r="H85" s="10">
        <v>603.80574062429798</v>
      </c>
      <c r="I85" s="28">
        <v>29809</v>
      </c>
      <c r="J85" s="9" t="s">
        <v>1119</v>
      </c>
      <c r="K85" s="11" t="s">
        <v>821</v>
      </c>
      <c r="L85" s="11" t="s">
        <v>1389</v>
      </c>
      <c r="M85" s="9" t="s">
        <v>1003</v>
      </c>
      <c r="N85" s="9">
        <v>5528806279</v>
      </c>
      <c r="O85" s="9">
        <v>44</v>
      </c>
      <c r="P85" s="9">
        <v>1</v>
      </c>
      <c r="Q85" s="9" t="s">
        <v>1262</v>
      </c>
      <c r="R85" s="9" t="s">
        <v>1311</v>
      </c>
      <c r="S85" s="9" t="s">
        <v>1343</v>
      </c>
      <c r="Z85"/>
    </row>
    <row r="86" spans="1:26" hidden="1">
      <c r="A86" s="5">
        <v>297</v>
      </c>
      <c r="B86" s="40" t="s">
        <v>239</v>
      </c>
      <c r="C86" s="24" t="s">
        <v>1741</v>
      </c>
      <c r="D86" s="2" t="s">
        <v>240</v>
      </c>
      <c r="E86" s="2" t="s">
        <v>241</v>
      </c>
      <c r="F86" s="7">
        <v>45384</v>
      </c>
      <c r="G86" s="16" t="s">
        <v>1256</v>
      </c>
      <c r="H86" s="10">
        <v>640.34984662025602</v>
      </c>
      <c r="I86" s="28">
        <v>24793</v>
      </c>
      <c r="J86" s="9" t="s">
        <v>1120</v>
      </c>
      <c r="K86" s="11" t="s">
        <v>822</v>
      </c>
      <c r="L86" s="11" t="s">
        <v>1482</v>
      </c>
      <c r="M86" s="9">
        <v>83288</v>
      </c>
      <c r="N86" s="9">
        <v>6622878369</v>
      </c>
      <c r="O86" s="9">
        <v>58</v>
      </c>
      <c r="P86" s="9">
        <v>1</v>
      </c>
      <c r="Q86" s="9" t="s">
        <v>1262</v>
      </c>
      <c r="R86" s="9" t="s">
        <v>1311</v>
      </c>
      <c r="S86" s="9" t="s">
        <v>1121</v>
      </c>
      <c r="Z86"/>
    </row>
    <row r="87" spans="1:26" hidden="1">
      <c r="A87" s="5">
        <v>219</v>
      </c>
      <c r="B87" s="40" t="s">
        <v>242</v>
      </c>
      <c r="C87" s="24" t="s">
        <v>1714</v>
      </c>
      <c r="D87" s="2" t="s">
        <v>243</v>
      </c>
      <c r="E87" s="2" t="s">
        <v>244</v>
      </c>
      <c r="F87" s="7">
        <v>45239</v>
      </c>
      <c r="G87" s="16" t="s">
        <v>1256</v>
      </c>
      <c r="H87" s="10">
        <v>621.22068088928802</v>
      </c>
      <c r="I87" s="28">
        <v>24580</v>
      </c>
      <c r="J87" s="9" t="s">
        <v>1122</v>
      </c>
      <c r="K87" s="11" t="s">
        <v>823</v>
      </c>
      <c r="L87" s="11" t="s">
        <v>1457</v>
      </c>
      <c r="M87" s="9" t="s">
        <v>1004</v>
      </c>
      <c r="N87" s="9">
        <v>5561879229</v>
      </c>
      <c r="O87" s="9">
        <v>58</v>
      </c>
      <c r="P87" s="9">
        <v>2</v>
      </c>
      <c r="Q87" s="9" t="s">
        <v>1262</v>
      </c>
      <c r="R87" s="9" t="s">
        <v>1311</v>
      </c>
      <c r="S87" s="9" t="s">
        <v>739</v>
      </c>
      <c r="Z87"/>
    </row>
    <row r="88" spans="1:26" hidden="1">
      <c r="A88" s="5">
        <v>242</v>
      </c>
      <c r="B88" s="40" t="s">
        <v>245</v>
      </c>
      <c r="C88" s="24" t="s">
        <v>1725</v>
      </c>
      <c r="D88" s="2" t="s">
        <v>246</v>
      </c>
      <c r="E88" s="2" t="s">
        <v>247</v>
      </c>
      <c r="F88" s="7">
        <v>45295</v>
      </c>
      <c r="G88" s="16" t="s">
        <v>1256</v>
      </c>
      <c r="H88" s="10">
        <v>591.17887761059899</v>
      </c>
      <c r="I88" s="28">
        <v>29265</v>
      </c>
      <c r="J88" s="9" t="s">
        <v>1123</v>
      </c>
      <c r="K88" s="11" t="s">
        <v>824</v>
      </c>
      <c r="L88" s="11" t="s">
        <v>1468</v>
      </c>
      <c r="M88" s="9">
        <v>53660</v>
      </c>
      <c r="N88" s="9">
        <v>5651556705</v>
      </c>
      <c r="O88" s="9">
        <v>45</v>
      </c>
      <c r="P88" s="9">
        <v>2</v>
      </c>
      <c r="Q88" s="9" t="s">
        <v>1262</v>
      </c>
      <c r="R88" s="9" t="s">
        <v>1311</v>
      </c>
      <c r="S88" s="9" t="s">
        <v>1343</v>
      </c>
      <c r="Z88"/>
    </row>
    <row r="89" spans="1:26" hidden="1">
      <c r="A89" s="5">
        <v>30</v>
      </c>
      <c r="B89" s="40" t="s">
        <v>248</v>
      </c>
      <c r="C89" s="24" t="s">
        <v>1628</v>
      </c>
      <c r="D89" s="2" t="s">
        <v>249</v>
      </c>
      <c r="E89" s="2" t="s">
        <v>250</v>
      </c>
      <c r="F89" s="7">
        <v>44197</v>
      </c>
      <c r="G89" s="16" t="s">
        <v>1256</v>
      </c>
      <c r="H89" s="10">
        <v>602.93599348753605</v>
      </c>
      <c r="I89" s="28">
        <v>29293</v>
      </c>
      <c r="J89" s="9" t="s">
        <v>1124</v>
      </c>
      <c r="K89" s="11" t="s">
        <v>825</v>
      </c>
      <c r="L89" s="11" t="s">
        <v>1371</v>
      </c>
      <c r="M89" s="9">
        <v>50250</v>
      </c>
      <c r="N89" s="9">
        <v>7226705113</v>
      </c>
      <c r="O89" s="9">
        <v>45</v>
      </c>
      <c r="P89" s="9">
        <v>5</v>
      </c>
      <c r="Q89" s="9" t="s">
        <v>1262</v>
      </c>
      <c r="R89" s="9" t="s">
        <v>1310</v>
      </c>
      <c r="S89" s="9" t="s">
        <v>1345</v>
      </c>
      <c r="Z89"/>
    </row>
    <row r="90" spans="1:26" hidden="1">
      <c r="A90" s="5">
        <v>419</v>
      </c>
      <c r="B90" s="40" t="s">
        <v>251</v>
      </c>
      <c r="C90" s="24" t="s">
        <v>1780</v>
      </c>
      <c r="D90" s="2" t="s">
        <v>252</v>
      </c>
      <c r="E90" s="2" t="s">
        <v>253</v>
      </c>
      <c r="F90" s="7">
        <v>45685</v>
      </c>
      <c r="G90" s="16" t="s">
        <v>1256</v>
      </c>
      <c r="H90" s="10">
        <v>570.33639636200303</v>
      </c>
      <c r="I90" s="28">
        <v>31184</v>
      </c>
      <c r="J90" s="9" t="s">
        <v>1125</v>
      </c>
      <c r="K90" s="11" t="s">
        <v>826</v>
      </c>
      <c r="L90" s="11" t="s">
        <v>1520</v>
      </c>
      <c r="M90" s="9">
        <v>66007</v>
      </c>
      <c r="N90" s="9">
        <v>8134764246</v>
      </c>
      <c r="O90" s="9">
        <v>40</v>
      </c>
      <c r="P90" s="9">
        <v>1</v>
      </c>
      <c r="Q90" s="9" t="s">
        <v>1262</v>
      </c>
      <c r="R90" s="9" t="s">
        <v>1311</v>
      </c>
      <c r="S90" s="9" t="s">
        <v>735</v>
      </c>
      <c r="Z90"/>
    </row>
    <row r="91" spans="1:26" hidden="1">
      <c r="A91" s="5">
        <v>142</v>
      </c>
      <c r="B91" s="40" t="s">
        <v>254</v>
      </c>
      <c r="C91" s="24" t="s">
        <v>1682</v>
      </c>
      <c r="D91" s="2" t="s">
        <v>255</v>
      </c>
      <c r="E91" s="2" t="s">
        <v>256</v>
      </c>
      <c r="F91" s="7">
        <v>44985</v>
      </c>
      <c r="G91" s="16" t="s">
        <v>1256</v>
      </c>
      <c r="H91" s="10">
        <v>560.35658252863198</v>
      </c>
      <c r="I91" s="28">
        <v>45993</v>
      </c>
      <c r="J91" s="9" t="s">
        <v>1126</v>
      </c>
      <c r="K91" s="11" t="s">
        <v>827</v>
      </c>
      <c r="L91" s="11" t="s">
        <v>1425</v>
      </c>
      <c r="M91" s="9">
        <v>50160</v>
      </c>
      <c r="N91" s="9">
        <v>7223465781</v>
      </c>
      <c r="O91" s="9">
        <v>45</v>
      </c>
      <c r="P91" s="9">
        <v>2</v>
      </c>
      <c r="Q91" s="9" t="s">
        <v>1262</v>
      </c>
      <c r="R91" s="9" t="s">
        <v>1311</v>
      </c>
      <c r="S91" s="9" t="s">
        <v>1345</v>
      </c>
      <c r="Z91"/>
    </row>
    <row r="92" spans="1:26" hidden="1">
      <c r="A92" s="5">
        <v>288</v>
      </c>
      <c r="B92" s="40" t="s">
        <v>260</v>
      </c>
      <c r="C92" s="24" t="s">
        <v>1738</v>
      </c>
      <c r="D92" s="2" t="s">
        <v>261</v>
      </c>
      <c r="E92" s="2" t="s">
        <v>262</v>
      </c>
      <c r="F92" s="7">
        <v>45371</v>
      </c>
      <c r="G92" s="16" t="s">
        <v>1256</v>
      </c>
      <c r="H92" s="10">
        <v>690.56968268582898</v>
      </c>
      <c r="I92" s="28">
        <v>24965</v>
      </c>
      <c r="J92" s="9" t="s">
        <v>1128</v>
      </c>
      <c r="K92" s="11" t="s">
        <v>829</v>
      </c>
      <c r="L92" s="11" t="s">
        <v>1479</v>
      </c>
      <c r="M92" s="9">
        <v>82134</v>
      </c>
      <c r="N92" s="9">
        <v>6692474837</v>
      </c>
      <c r="O92" s="9">
        <v>57</v>
      </c>
      <c r="P92" s="9">
        <v>1</v>
      </c>
      <c r="Q92" s="9" t="s">
        <v>1262</v>
      </c>
      <c r="R92" s="9" t="s">
        <v>1037</v>
      </c>
      <c r="S92" s="9" t="s">
        <v>736</v>
      </c>
      <c r="Z92"/>
    </row>
    <row r="93" spans="1:26" hidden="1">
      <c r="A93" s="5">
        <v>221</v>
      </c>
      <c r="B93" s="40" t="s">
        <v>263</v>
      </c>
      <c r="C93" s="24" t="s">
        <v>1715</v>
      </c>
      <c r="D93" s="2" t="s">
        <v>264</v>
      </c>
      <c r="E93" s="2" t="s">
        <v>265</v>
      </c>
      <c r="F93" s="7">
        <v>45785</v>
      </c>
      <c r="G93" s="16" t="s">
        <v>1256</v>
      </c>
      <c r="H93" s="10">
        <v>529.77261262070499</v>
      </c>
      <c r="I93" s="28">
        <v>24316</v>
      </c>
      <c r="J93" s="9" t="s">
        <v>1129</v>
      </c>
      <c r="K93" s="11" t="s">
        <v>830</v>
      </c>
      <c r="L93" s="11" t="s">
        <v>1458</v>
      </c>
      <c r="M93" s="9">
        <v>14376</v>
      </c>
      <c r="N93" s="9">
        <v>5535246523</v>
      </c>
      <c r="O93" s="9">
        <v>59</v>
      </c>
      <c r="P93" s="9">
        <v>0</v>
      </c>
      <c r="Q93" s="9" t="s">
        <v>1262</v>
      </c>
      <c r="R93" s="9" t="s">
        <v>1311</v>
      </c>
      <c r="S93" s="9" t="s">
        <v>1343</v>
      </c>
      <c r="Z93"/>
    </row>
    <row r="94" spans="1:26" hidden="1">
      <c r="A94" s="5">
        <v>346</v>
      </c>
      <c r="B94" s="40" t="s">
        <v>266</v>
      </c>
      <c r="C94" s="24" t="s">
        <v>1757</v>
      </c>
      <c r="D94" s="2" t="s">
        <v>267</v>
      </c>
      <c r="E94" s="2" t="s">
        <v>268</v>
      </c>
      <c r="F94" s="7">
        <v>45510</v>
      </c>
      <c r="G94" s="16" t="s">
        <v>1256</v>
      </c>
      <c r="H94" s="10">
        <v>677.76983898495405</v>
      </c>
      <c r="I94" s="28">
        <v>29796</v>
      </c>
      <c r="J94" s="9" t="s">
        <v>1130</v>
      </c>
      <c r="K94" s="11" t="s">
        <v>831</v>
      </c>
      <c r="L94" s="11" t="s">
        <v>1498</v>
      </c>
      <c r="M94" s="9">
        <v>54743</v>
      </c>
      <c r="N94" s="9">
        <v>5566768480</v>
      </c>
      <c r="O94" s="9">
        <v>44</v>
      </c>
      <c r="P94" s="9">
        <v>1</v>
      </c>
      <c r="Q94" s="9" t="s">
        <v>1262</v>
      </c>
      <c r="R94" s="9" t="s">
        <v>1311</v>
      </c>
      <c r="S94" s="9" t="s">
        <v>1343</v>
      </c>
      <c r="Z94"/>
    </row>
    <row r="95" spans="1:26" hidden="1">
      <c r="A95" s="5">
        <v>34</v>
      </c>
      <c r="B95" s="40" t="s">
        <v>269</v>
      </c>
      <c r="C95" s="24" t="s">
        <v>1632</v>
      </c>
      <c r="D95" s="2" t="s">
        <v>270</v>
      </c>
      <c r="E95" s="2" t="s">
        <v>271</v>
      </c>
      <c r="F95" s="7">
        <v>44265</v>
      </c>
      <c r="G95" s="16" t="s">
        <v>1256</v>
      </c>
      <c r="H95" s="10">
        <v>528.37088928812</v>
      </c>
      <c r="I95" s="28">
        <v>24417</v>
      </c>
      <c r="J95" s="9" t="s">
        <v>1131</v>
      </c>
      <c r="K95" s="11" t="s">
        <v>832</v>
      </c>
      <c r="L95" s="11" t="s">
        <v>1375</v>
      </c>
      <c r="M95" s="9">
        <v>57139</v>
      </c>
      <c r="N95" s="9">
        <v>5519034076</v>
      </c>
      <c r="O95" s="9">
        <v>59</v>
      </c>
      <c r="P95" s="9">
        <v>4</v>
      </c>
      <c r="Q95" s="9" t="s">
        <v>1262</v>
      </c>
      <c r="R95" s="9" t="s">
        <v>1310</v>
      </c>
      <c r="S95" s="9" t="s">
        <v>1343</v>
      </c>
      <c r="Z95"/>
    </row>
    <row r="96" spans="1:26" hidden="1">
      <c r="A96" s="5">
        <v>70</v>
      </c>
      <c r="B96" s="40" t="s">
        <v>272</v>
      </c>
      <c r="C96" s="24" t="s">
        <v>1648</v>
      </c>
      <c r="D96" s="2" t="s">
        <v>273</v>
      </c>
      <c r="E96" s="2" t="s">
        <v>274</v>
      </c>
      <c r="F96" s="7">
        <v>44687</v>
      </c>
      <c r="G96" s="16" t="s">
        <v>1256</v>
      </c>
      <c r="H96" s="10">
        <v>511.04545721985102</v>
      </c>
      <c r="I96" s="28">
        <v>34089</v>
      </c>
      <c r="J96" s="9" t="s">
        <v>1132</v>
      </c>
      <c r="K96" s="11" t="s">
        <v>833</v>
      </c>
      <c r="L96" s="11" t="s">
        <v>1391</v>
      </c>
      <c r="M96" s="9">
        <v>10020</v>
      </c>
      <c r="N96" s="9">
        <v>5545822257</v>
      </c>
      <c r="O96" s="9">
        <v>32</v>
      </c>
      <c r="P96" s="9">
        <v>3</v>
      </c>
      <c r="Q96" s="9" t="s">
        <v>1262</v>
      </c>
      <c r="R96" s="9" t="s">
        <v>1311</v>
      </c>
      <c r="S96" s="9" t="s">
        <v>1343</v>
      </c>
      <c r="Z96"/>
    </row>
    <row r="97" spans="1:26" hidden="1">
      <c r="A97" s="5">
        <v>501</v>
      </c>
      <c r="B97" s="40" t="s">
        <v>275</v>
      </c>
      <c r="C97" s="24" t="s">
        <v>1817</v>
      </c>
      <c r="D97" s="2" t="s">
        <v>276</v>
      </c>
      <c r="E97" s="2" t="s">
        <v>277</v>
      </c>
      <c r="F97" s="7">
        <v>45875</v>
      </c>
      <c r="G97" s="16" t="s">
        <v>1256</v>
      </c>
      <c r="H97" s="10">
        <v>594.21818639119601</v>
      </c>
      <c r="I97" s="28">
        <v>30712</v>
      </c>
      <c r="J97" s="9" t="s">
        <v>1133</v>
      </c>
      <c r="K97" s="11" t="s">
        <v>834</v>
      </c>
      <c r="L97" s="11" t="s">
        <v>1554</v>
      </c>
      <c r="M97" s="9">
        <v>13420</v>
      </c>
      <c r="N97" s="9">
        <v>5547651192</v>
      </c>
      <c r="O97" s="9">
        <v>41</v>
      </c>
      <c r="P97" s="9">
        <v>0</v>
      </c>
      <c r="Q97" s="9" t="s">
        <v>1262</v>
      </c>
      <c r="R97" s="9" t="s">
        <v>1310</v>
      </c>
      <c r="S97" s="9" t="s">
        <v>1343</v>
      </c>
      <c r="Z97"/>
    </row>
    <row r="98" spans="1:26" hidden="1">
      <c r="A98" s="5">
        <v>484</v>
      </c>
      <c r="B98" s="40" t="s">
        <v>278</v>
      </c>
      <c r="C98" s="24" t="s">
        <v>1808</v>
      </c>
      <c r="D98" s="2" t="s">
        <v>279</v>
      </c>
      <c r="E98" s="2" t="s">
        <v>280</v>
      </c>
      <c r="F98" s="7">
        <v>45840</v>
      </c>
      <c r="G98" s="16" t="s">
        <v>1256</v>
      </c>
      <c r="H98" s="10">
        <v>655.15011542780098</v>
      </c>
      <c r="I98" s="28">
        <v>35517</v>
      </c>
      <c r="J98" s="9" t="s">
        <v>1134</v>
      </c>
      <c r="K98" s="11" t="s">
        <v>835</v>
      </c>
      <c r="L98" s="11" t="s">
        <v>1545</v>
      </c>
      <c r="M98" s="9">
        <v>83118</v>
      </c>
      <c r="N98" s="9">
        <v>5529452723</v>
      </c>
      <c r="O98" s="9">
        <v>28</v>
      </c>
      <c r="P98" s="9">
        <v>0</v>
      </c>
      <c r="Q98" s="9" t="s">
        <v>1262</v>
      </c>
      <c r="R98" s="9" t="s">
        <v>1037</v>
      </c>
      <c r="S98" s="9" t="s">
        <v>1343</v>
      </c>
      <c r="Z98"/>
    </row>
    <row r="99" spans="1:26" hidden="1">
      <c r="A99" s="5">
        <v>504</v>
      </c>
      <c r="B99" s="40" t="s">
        <v>281</v>
      </c>
      <c r="C99" s="24" t="s">
        <v>1820</v>
      </c>
      <c r="D99" s="2" t="s">
        <v>282</v>
      </c>
      <c r="E99" s="2" t="s">
        <v>283</v>
      </c>
      <c r="F99" s="7">
        <v>45877</v>
      </c>
      <c r="G99" s="16" t="s">
        <v>1256</v>
      </c>
      <c r="H99" s="10">
        <v>567.84933393218</v>
      </c>
      <c r="I99" s="28">
        <v>31612</v>
      </c>
      <c r="J99" s="9" t="s">
        <v>1135</v>
      </c>
      <c r="K99" s="11" t="s">
        <v>836</v>
      </c>
      <c r="L99" s="11" t="s">
        <v>1557</v>
      </c>
      <c r="M99" s="9">
        <v>55349</v>
      </c>
      <c r="N99" s="9">
        <v>5572184399</v>
      </c>
      <c r="O99" s="9">
        <v>39</v>
      </c>
      <c r="P99" s="9">
        <v>0</v>
      </c>
      <c r="Q99" s="9" t="s">
        <v>1262</v>
      </c>
      <c r="R99" s="9" t="s">
        <v>1311</v>
      </c>
      <c r="S99" s="9" t="s">
        <v>1345</v>
      </c>
      <c r="Z99"/>
    </row>
    <row r="100" spans="1:26" hidden="1">
      <c r="A100" s="5">
        <v>360</v>
      </c>
      <c r="B100" s="40" t="s">
        <v>284</v>
      </c>
      <c r="C100" s="24" t="s">
        <v>1763</v>
      </c>
      <c r="D100" s="2" t="s">
        <v>285</v>
      </c>
      <c r="E100" s="2" t="s">
        <v>286</v>
      </c>
      <c r="F100" s="7">
        <v>45531</v>
      </c>
      <c r="G100" s="16" t="s">
        <v>1256</v>
      </c>
      <c r="H100" s="10">
        <v>552.77311767347805</v>
      </c>
      <c r="I100" s="28">
        <v>32551</v>
      </c>
      <c r="J100" s="9" t="s">
        <v>1136</v>
      </c>
      <c r="K100" s="11" t="s">
        <v>837</v>
      </c>
      <c r="L100" s="11" t="s">
        <v>1503</v>
      </c>
      <c r="M100" s="9">
        <v>10320</v>
      </c>
      <c r="N100" s="9">
        <v>5526554763</v>
      </c>
      <c r="O100" s="9">
        <v>36</v>
      </c>
      <c r="P100" s="9">
        <v>1</v>
      </c>
      <c r="Q100" s="9" t="s">
        <v>1262</v>
      </c>
      <c r="R100" s="9" t="s">
        <v>1311</v>
      </c>
      <c r="S100" s="9" t="s">
        <v>1343</v>
      </c>
      <c r="Z100"/>
    </row>
    <row r="101" spans="1:26" hidden="1">
      <c r="A101" s="5">
        <v>182</v>
      </c>
      <c r="B101" s="40" t="s">
        <v>287</v>
      </c>
      <c r="C101" s="24" t="s">
        <v>1700</v>
      </c>
      <c r="D101" s="2" t="s">
        <v>288</v>
      </c>
      <c r="E101" s="2" t="s">
        <v>289</v>
      </c>
      <c r="F101" s="7">
        <v>45113</v>
      </c>
      <c r="G101" s="16" t="s">
        <v>1256</v>
      </c>
      <c r="H101" s="10">
        <v>613.744287446665</v>
      </c>
      <c r="I101" s="28">
        <v>32909</v>
      </c>
      <c r="J101" s="9" t="s">
        <v>1137</v>
      </c>
      <c r="K101" s="11" t="s">
        <v>838</v>
      </c>
      <c r="L101" s="11" t="s">
        <v>1443</v>
      </c>
      <c r="M101" s="9">
        <v>44300</v>
      </c>
      <c r="N101" s="9">
        <v>3334890893</v>
      </c>
      <c r="O101" s="9">
        <v>35</v>
      </c>
      <c r="P101" s="9">
        <v>2</v>
      </c>
      <c r="Q101" s="9" t="s">
        <v>1262</v>
      </c>
      <c r="R101" s="9" t="s">
        <v>1311</v>
      </c>
      <c r="S101" s="9" t="s">
        <v>1344</v>
      </c>
      <c r="Z101"/>
    </row>
    <row r="102" spans="1:26" hidden="1">
      <c r="A102" s="5">
        <v>147</v>
      </c>
      <c r="B102" s="40" t="s">
        <v>290</v>
      </c>
      <c r="C102" s="24" t="s">
        <v>1686</v>
      </c>
      <c r="D102" s="2" t="s">
        <v>291</v>
      </c>
      <c r="E102" s="2" t="s">
        <v>292</v>
      </c>
      <c r="F102" s="7">
        <v>44985</v>
      </c>
      <c r="G102" s="16" t="s">
        <v>1256</v>
      </c>
      <c r="H102" s="10">
        <v>547.19395957781205</v>
      </c>
      <c r="I102" s="28">
        <v>33873</v>
      </c>
      <c r="J102" s="9" t="s">
        <v>1138</v>
      </c>
      <c r="K102" s="11" t="s">
        <v>839</v>
      </c>
      <c r="L102" s="11" t="s">
        <v>1429</v>
      </c>
      <c r="M102" s="9">
        <v>89460</v>
      </c>
      <c r="N102" s="9">
        <v>8334418474</v>
      </c>
      <c r="O102" s="9">
        <v>33</v>
      </c>
      <c r="P102" s="9">
        <v>2</v>
      </c>
      <c r="Q102" s="9" t="s">
        <v>1262</v>
      </c>
      <c r="R102" s="9" t="s">
        <v>1311</v>
      </c>
      <c r="S102" s="9" t="s">
        <v>735</v>
      </c>
      <c r="Z102"/>
    </row>
    <row r="103" spans="1:26" hidden="1">
      <c r="A103" s="5">
        <v>332</v>
      </c>
      <c r="B103" s="40" t="s">
        <v>293</v>
      </c>
      <c r="C103" s="24" t="s">
        <v>1751</v>
      </c>
      <c r="D103" s="2" t="s">
        <v>294</v>
      </c>
      <c r="E103" s="2" t="s">
        <v>295</v>
      </c>
      <c r="F103" s="7">
        <v>45475</v>
      </c>
      <c r="G103" s="16" t="s">
        <v>1256</v>
      </c>
      <c r="H103" s="10">
        <v>709.913773411183</v>
      </c>
      <c r="I103" s="28">
        <v>31162</v>
      </c>
      <c r="J103" s="9" t="s">
        <v>1139</v>
      </c>
      <c r="K103" s="11" t="s">
        <v>840</v>
      </c>
      <c r="L103" s="11" t="s">
        <v>1492</v>
      </c>
      <c r="M103" s="9">
        <v>53697</v>
      </c>
      <c r="N103" s="9">
        <v>5584875239</v>
      </c>
      <c r="O103" s="9">
        <v>40</v>
      </c>
      <c r="P103" s="9">
        <v>1</v>
      </c>
      <c r="Q103" s="9" t="s">
        <v>1262</v>
      </c>
      <c r="R103" s="9" t="s">
        <v>1310</v>
      </c>
      <c r="S103" s="9" t="s">
        <v>1343</v>
      </c>
      <c r="Z103"/>
    </row>
    <row r="104" spans="1:26" hidden="1">
      <c r="A104" s="5">
        <v>427</v>
      </c>
      <c r="B104" s="40" t="s">
        <v>296</v>
      </c>
      <c r="C104" s="24" t="s">
        <v>1782</v>
      </c>
      <c r="D104" s="2" t="s">
        <v>297</v>
      </c>
      <c r="E104" s="2" t="s">
        <v>298</v>
      </c>
      <c r="F104" s="7">
        <v>46030</v>
      </c>
      <c r="G104" s="16" t="s">
        <v>1256</v>
      </c>
      <c r="H104" s="10">
        <v>330.576219178082</v>
      </c>
      <c r="I104" s="28">
        <v>33388</v>
      </c>
      <c r="J104" s="9" t="s">
        <v>1140</v>
      </c>
      <c r="K104" s="11" t="s">
        <v>841</v>
      </c>
      <c r="L104" s="11" t="s">
        <v>978</v>
      </c>
      <c r="M104" s="9">
        <v>66006</v>
      </c>
      <c r="N104" s="9">
        <v>8132783186</v>
      </c>
      <c r="O104" s="9">
        <v>34</v>
      </c>
      <c r="P104" s="9">
        <v>0</v>
      </c>
      <c r="Q104" s="9" t="s">
        <v>1262</v>
      </c>
      <c r="R104" s="9" t="s">
        <v>1311</v>
      </c>
      <c r="S104" s="9" t="s">
        <v>1347</v>
      </c>
      <c r="Z104"/>
    </row>
    <row r="105" spans="1:26" hidden="1">
      <c r="A105" s="5">
        <v>63</v>
      </c>
      <c r="B105" s="40" t="s">
        <v>299</v>
      </c>
      <c r="C105" s="24" t="s">
        <v>1643</v>
      </c>
      <c r="D105" s="2" t="s">
        <v>300</v>
      </c>
      <c r="E105" s="2" t="s">
        <v>301</v>
      </c>
      <c r="F105" s="7">
        <v>44634</v>
      </c>
      <c r="G105" s="16" t="s">
        <v>1256</v>
      </c>
      <c r="H105" s="10">
        <v>539.55726049854002</v>
      </c>
      <c r="I105" s="28">
        <v>31534</v>
      </c>
      <c r="J105" s="9" t="s">
        <v>1141</v>
      </c>
      <c r="K105" s="11" t="s">
        <v>842</v>
      </c>
      <c r="L105" s="11" t="s">
        <v>1386</v>
      </c>
      <c r="M105" s="9">
        <v>52928</v>
      </c>
      <c r="N105" s="9">
        <v>5573606596</v>
      </c>
      <c r="O105" s="9">
        <v>39</v>
      </c>
      <c r="P105" s="9">
        <v>3</v>
      </c>
      <c r="Q105" s="9" t="s">
        <v>1262</v>
      </c>
      <c r="R105" s="9" t="s">
        <v>1310</v>
      </c>
      <c r="S105" s="9" t="s">
        <v>1343</v>
      </c>
      <c r="Z105"/>
    </row>
    <row r="106" spans="1:26" hidden="1">
      <c r="A106" s="5">
        <v>323</v>
      </c>
      <c r="B106" s="40" t="s">
        <v>66</v>
      </c>
      <c r="C106" s="24" t="s">
        <v>1749</v>
      </c>
      <c r="D106" s="2" t="s">
        <v>67</v>
      </c>
      <c r="E106" s="2" t="s">
        <v>68</v>
      </c>
      <c r="F106" s="7">
        <v>45449</v>
      </c>
      <c r="G106" s="16" t="s">
        <v>1256</v>
      </c>
      <c r="H106" s="10">
        <v>590.06047591692402</v>
      </c>
      <c r="I106" s="28">
        <v>35296</v>
      </c>
      <c r="J106" s="9" t="s">
        <v>1060</v>
      </c>
      <c r="K106" s="11" t="s">
        <v>764</v>
      </c>
      <c r="L106" s="11" t="s">
        <v>1490</v>
      </c>
      <c r="M106" s="9">
        <v>82170</v>
      </c>
      <c r="N106" s="9">
        <v>6691640583</v>
      </c>
      <c r="O106" s="9">
        <v>29</v>
      </c>
      <c r="P106" s="9">
        <v>1</v>
      </c>
      <c r="Q106" s="9" t="s">
        <v>1262</v>
      </c>
      <c r="R106" s="9" t="s">
        <v>1036</v>
      </c>
      <c r="S106" s="9" t="s">
        <v>736</v>
      </c>
      <c r="Z106"/>
    </row>
    <row r="107" spans="1:26" hidden="1">
      <c r="A107" s="5">
        <v>487</v>
      </c>
      <c r="B107" s="40" t="s">
        <v>305</v>
      </c>
      <c r="C107" s="24" t="s">
        <v>1810</v>
      </c>
      <c r="D107" s="2" t="s">
        <v>306</v>
      </c>
      <c r="E107" s="2" t="s">
        <v>307</v>
      </c>
      <c r="F107" s="7">
        <v>45841</v>
      </c>
      <c r="G107" s="16" t="s">
        <v>1256</v>
      </c>
      <c r="H107" s="10">
        <v>522.61064540759003</v>
      </c>
      <c r="I107" s="28">
        <v>28272</v>
      </c>
      <c r="J107" s="9" t="s">
        <v>1143</v>
      </c>
      <c r="K107" s="11" t="s">
        <v>844</v>
      </c>
      <c r="L107" s="11" t="s">
        <v>1547</v>
      </c>
      <c r="M107" s="9">
        <v>57200</v>
      </c>
      <c r="N107" s="9">
        <v>5580680471</v>
      </c>
      <c r="O107" s="9">
        <v>48</v>
      </c>
      <c r="P107" s="9">
        <v>0</v>
      </c>
      <c r="Q107" s="9" t="s">
        <v>1262</v>
      </c>
      <c r="R107" s="9" t="s">
        <v>1311</v>
      </c>
      <c r="S107" s="9" t="s">
        <v>1343</v>
      </c>
      <c r="Z107"/>
    </row>
    <row r="108" spans="1:26" hidden="1">
      <c r="A108" s="5">
        <v>576</v>
      </c>
      <c r="B108" s="40" t="s">
        <v>715</v>
      </c>
      <c r="C108" s="24" t="s">
        <v>1858</v>
      </c>
      <c r="D108" s="2" t="s">
        <v>716</v>
      </c>
      <c r="E108" s="2" t="s">
        <v>717</v>
      </c>
      <c r="F108" s="7">
        <v>46044</v>
      </c>
      <c r="G108" s="16" t="s">
        <v>1256</v>
      </c>
      <c r="H108" s="10">
        <v>330.576219178082</v>
      </c>
      <c r="I108" s="28">
        <v>37148</v>
      </c>
      <c r="J108" s="9" t="s">
        <v>1357</v>
      </c>
      <c r="K108" s="11" t="s">
        <v>1358</v>
      </c>
      <c r="L108" s="23" t="s">
        <v>1589</v>
      </c>
      <c r="M108" s="9">
        <v>64103</v>
      </c>
      <c r="N108" s="9">
        <v>8147309753</v>
      </c>
      <c r="O108" s="9">
        <v>24</v>
      </c>
      <c r="P108" s="9">
        <v>0</v>
      </c>
      <c r="Q108" s="9" t="s">
        <v>1262</v>
      </c>
      <c r="R108" s="9" t="s">
        <v>1311</v>
      </c>
      <c r="S108" s="9" t="s">
        <v>1347</v>
      </c>
      <c r="Z108"/>
    </row>
    <row r="109" spans="1:26" hidden="1">
      <c r="A109" s="5">
        <v>91</v>
      </c>
      <c r="B109" s="40" t="s">
        <v>308</v>
      </c>
      <c r="C109" s="24" t="s">
        <v>1659</v>
      </c>
      <c r="D109" s="2" t="s">
        <v>309</v>
      </c>
      <c r="E109" s="2" t="s">
        <v>310</v>
      </c>
      <c r="F109" s="7">
        <v>44798</v>
      </c>
      <c r="G109" s="16" t="s">
        <v>1256</v>
      </c>
      <c r="H109" s="10">
        <v>573.60267033460502</v>
      </c>
      <c r="I109" s="28">
        <v>25640</v>
      </c>
      <c r="J109" s="9" t="s">
        <v>1144</v>
      </c>
      <c r="K109" s="11" t="s">
        <v>845</v>
      </c>
      <c r="L109" s="11" t="s">
        <v>1402</v>
      </c>
      <c r="M109" s="9">
        <v>11270</v>
      </c>
      <c r="N109" s="9">
        <v>5537829093</v>
      </c>
      <c r="O109" s="9">
        <v>55</v>
      </c>
      <c r="P109" s="9">
        <v>3</v>
      </c>
      <c r="Q109" s="9" t="s">
        <v>1262</v>
      </c>
      <c r="R109" s="9" t="s">
        <v>1311</v>
      </c>
      <c r="S109" s="9" t="s">
        <v>1343</v>
      </c>
      <c r="Z109"/>
    </row>
    <row r="110" spans="1:26" hidden="1">
      <c r="A110" s="5">
        <v>433</v>
      </c>
      <c r="B110" s="40" t="s">
        <v>311</v>
      </c>
      <c r="C110" s="24" t="s">
        <v>1784</v>
      </c>
      <c r="D110" s="2" t="s">
        <v>312</v>
      </c>
      <c r="E110" s="2" t="s">
        <v>313</v>
      </c>
      <c r="F110" s="7">
        <v>45719</v>
      </c>
      <c r="G110" s="16" t="s">
        <v>1256</v>
      </c>
      <c r="H110" s="10">
        <v>620.74162901414695</v>
      </c>
      <c r="I110" s="28">
        <v>27642</v>
      </c>
      <c r="J110" s="9" t="s">
        <v>1145</v>
      </c>
      <c r="K110" s="11" t="s">
        <v>846</v>
      </c>
      <c r="L110" s="11" t="s">
        <v>1522</v>
      </c>
      <c r="M110" s="9">
        <v>44350</v>
      </c>
      <c r="N110" s="9">
        <v>3325804526</v>
      </c>
      <c r="O110" s="9">
        <v>50</v>
      </c>
      <c r="P110" s="9">
        <v>0</v>
      </c>
      <c r="Q110" s="9" t="s">
        <v>1262</v>
      </c>
      <c r="R110" s="9" t="s">
        <v>1311</v>
      </c>
      <c r="S110" s="9" t="s">
        <v>1344</v>
      </c>
      <c r="Z110"/>
    </row>
    <row r="111" spans="1:26" hidden="1">
      <c r="A111" s="5">
        <v>429</v>
      </c>
      <c r="B111" s="40" t="s">
        <v>314</v>
      </c>
      <c r="C111" s="24" t="s">
        <v>1783</v>
      </c>
      <c r="D111" s="2" t="s">
        <v>315</v>
      </c>
      <c r="E111" s="2" t="s">
        <v>316</v>
      </c>
      <c r="F111" s="7">
        <v>45706</v>
      </c>
      <c r="G111" s="16" t="s">
        <v>1256</v>
      </c>
      <c r="H111" s="10">
        <v>577.14408803054096</v>
      </c>
      <c r="I111" s="28">
        <v>30897</v>
      </c>
      <c r="J111" s="9" t="s">
        <v>1146</v>
      </c>
      <c r="K111" s="11" t="s">
        <v>847</v>
      </c>
      <c r="L111" s="11" t="s">
        <v>1521</v>
      </c>
      <c r="M111" s="9" t="s">
        <v>1006</v>
      </c>
      <c r="N111" s="9">
        <v>5534711818</v>
      </c>
      <c r="O111" s="9">
        <v>41</v>
      </c>
      <c r="P111" s="9">
        <v>0</v>
      </c>
      <c r="Q111" s="9" t="s">
        <v>1262</v>
      </c>
      <c r="R111" s="9" t="s">
        <v>1311</v>
      </c>
      <c r="S111" s="9" t="s">
        <v>1343</v>
      </c>
      <c r="Z111"/>
    </row>
    <row r="112" spans="1:26" hidden="1">
      <c r="A112" s="5">
        <v>461</v>
      </c>
      <c r="B112" s="40" t="s">
        <v>317</v>
      </c>
      <c r="C112" s="24" t="s">
        <v>1797</v>
      </c>
      <c r="D112" s="2" t="s">
        <v>318</v>
      </c>
      <c r="E112" s="2" t="s">
        <v>319</v>
      </c>
      <c r="F112" s="7">
        <v>45792</v>
      </c>
      <c r="G112" s="16" t="s">
        <v>1256</v>
      </c>
      <c r="H112" s="10">
        <v>552.72933393218</v>
      </c>
      <c r="I112" s="28">
        <v>32899</v>
      </c>
      <c r="J112" s="9" t="s">
        <v>1147</v>
      </c>
      <c r="K112" s="11" t="s">
        <v>848</v>
      </c>
      <c r="L112" s="11" t="s">
        <v>1535</v>
      </c>
      <c r="M112" s="9">
        <v>56334</v>
      </c>
      <c r="N112" s="9">
        <v>5523438965</v>
      </c>
      <c r="O112" s="9">
        <v>35</v>
      </c>
      <c r="P112" s="9">
        <v>0</v>
      </c>
      <c r="Q112" s="9" t="s">
        <v>1262</v>
      </c>
      <c r="R112" s="9" t="s">
        <v>1311</v>
      </c>
      <c r="S112" s="9" t="s">
        <v>738</v>
      </c>
      <c r="Z112"/>
    </row>
    <row r="113" spans="1:26" hidden="1">
      <c r="A113" s="5">
        <v>273</v>
      </c>
      <c r="B113" s="40" t="s">
        <v>320</v>
      </c>
      <c r="C113" s="24" t="s">
        <v>1732</v>
      </c>
      <c r="D113" s="2" t="s">
        <v>321</v>
      </c>
      <c r="E113" s="2" t="s">
        <v>322</v>
      </c>
      <c r="F113" s="7">
        <v>45338</v>
      </c>
      <c r="G113" s="16" t="s">
        <v>1256</v>
      </c>
      <c r="H113" s="10">
        <v>612.31278980462605</v>
      </c>
      <c r="I113" s="28">
        <v>24398</v>
      </c>
      <c r="J113" s="9" t="s">
        <v>1148</v>
      </c>
      <c r="K113" s="11" t="s">
        <v>849</v>
      </c>
      <c r="L113" s="11" t="s">
        <v>1475</v>
      </c>
      <c r="M113" s="9">
        <v>11370</v>
      </c>
      <c r="N113" s="9">
        <v>5539113385</v>
      </c>
      <c r="O113" s="9">
        <v>59</v>
      </c>
      <c r="P113" s="9">
        <v>1</v>
      </c>
      <c r="Q113" s="9" t="s">
        <v>1262</v>
      </c>
      <c r="R113" s="9" t="s">
        <v>1311</v>
      </c>
      <c r="S113" s="9" t="s">
        <v>1346</v>
      </c>
      <c r="Z113"/>
    </row>
    <row r="114" spans="1:26" hidden="1">
      <c r="A114" s="5">
        <v>434</v>
      </c>
      <c r="B114" s="40" t="s">
        <v>323</v>
      </c>
      <c r="C114" s="24" t="s">
        <v>1785</v>
      </c>
      <c r="D114" s="2" t="s">
        <v>324</v>
      </c>
      <c r="E114" s="2" t="s">
        <v>325</v>
      </c>
      <c r="F114" s="7">
        <v>45719</v>
      </c>
      <c r="G114" s="16" t="s">
        <v>1256</v>
      </c>
      <c r="H114" s="10">
        <v>372.80572737480298</v>
      </c>
      <c r="I114" s="28">
        <v>25370</v>
      </c>
      <c r="J114" s="9" t="s">
        <v>1149</v>
      </c>
      <c r="K114" s="11" t="s">
        <v>850</v>
      </c>
      <c r="L114" s="11" t="s">
        <v>1523</v>
      </c>
      <c r="M114" s="9">
        <v>45640</v>
      </c>
      <c r="N114" s="9">
        <v>3314430450</v>
      </c>
      <c r="O114" s="9">
        <v>56</v>
      </c>
      <c r="P114" s="9">
        <v>0</v>
      </c>
      <c r="Q114" s="9" t="s">
        <v>1262</v>
      </c>
      <c r="R114" s="9" t="s">
        <v>1311</v>
      </c>
      <c r="S114" s="9" t="s">
        <v>1344</v>
      </c>
      <c r="Z114"/>
    </row>
    <row r="115" spans="1:26" hidden="1">
      <c r="A115" s="5">
        <v>53</v>
      </c>
      <c r="B115" s="40" t="s">
        <v>326</v>
      </c>
      <c r="C115" s="24" t="s">
        <v>1638</v>
      </c>
      <c r="D115" s="2" t="s">
        <v>327</v>
      </c>
      <c r="E115" s="2" t="s">
        <v>328</v>
      </c>
      <c r="F115" s="7">
        <v>44487</v>
      </c>
      <c r="G115" s="16" t="s">
        <v>1256</v>
      </c>
      <c r="H115" s="10">
        <v>614.65056141926698</v>
      </c>
      <c r="I115" s="28">
        <v>35878</v>
      </c>
      <c r="J115" s="9" t="s">
        <v>1150</v>
      </c>
      <c r="K115" s="11" t="s">
        <v>851</v>
      </c>
      <c r="L115" s="11" t="s">
        <v>1381</v>
      </c>
      <c r="M115" s="9">
        <v>76803</v>
      </c>
      <c r="N115" s="9">
        <v>4274278169</v>
      </c>
      <c r="O115" s="9">
        <v>27</v>
      </c>
      <c r="P115" s="9">
        <v>4</v>
      </c>
      <c r="Q115" s="9" t="s">
        <v>1262</v>
      </c>
      <c r="R115" s="9" t="s">
        <v>1037</v>
      </c>
      <c r="S115" s="9" t="s">
        <v>1343</v>
      </c>
      <c r="Z115"/>
    </row>
    <row r="116" spans="1:26" hidden="1">
      <c r="A116" s="5">
        <v>349</v>
      </c>
      <c r="B116" s="40" t="s">
        <v>329</v>
      </c>
      <c r="C116" s="24" t="s">
        <v>1760</v>
      </c>
      <c r="D116" s="2" t="s">
        <v>1288</v>
      </c>
      <c r="E116" s="2" t="s">
        <v>330</v>
      </c>
      <c r="F116" s="7">
        <v>46034</v>
      </c>
      <c r="G116" s="16" t="s">
        <v>1256</v>
      </c>
      <c r="H116" s="10">
        <v>330.576219178082</v>
      </c>
      <c r="I116" s="28">
        <v>27377</v>
      </c>
      <c r="J116" s="9" t="s">
        <v>1151</v>
      </c>
      <c r="K116" s="11" t="s">
        <v>852</v>
      </c>
      <c r="L116" s="11" t="s">
        <v>1500</v>
      </c>
      <c r="M116" s="9" t="s">
        <v>1328</v>
      </c>
      <c r="N116" s="9">
        <v>5574557368</v>
      </c>
      <c r="O116" s="9">
        <v>50</v>
      </c>
      <c r="P116" s="9">
        <v>1</v>
      </c>
      <c r="Q116" s="9" t="s">
        <v>1262</v>
      </c>
      <c r="R116" s="9" t="s">
        <v>1311</v>
      </c>
      <c r="S116" s="9" t="s">
        <v>1343</v>
      </c>
      <c r="Z116"/>
    </row>
    <row r="117" spans="1:26" hidden="1">
      <c r="A117" s="5">
        <v>480</v>
      </c>
      <c r="B117" s="40" t="s">
        <v>72</v>
      </c>
      <c r="C117" s="24" t="s">
        <v>1805</v>
      </c>
      <c r="D117" s="2" t="s">
        <v>73</v>
      </c>
      <c r="E117" s="2" t="s">
        <v>74</v>
      </c>
      <c r="F117" s="7">
        <v>45729</v>
      </c>
      <c r="G117" s="16" t="s">
        <v>1256</v>
      </c>
      <c r="H117" s="10">
        <v>569.62267079098501</v>
      </c>
      <c r="I117" s="28">
        <v>38510</v>
      </c>
      <c r="J117" s="9" t="s">
        <v>1062</v>
      </c>
      <c r="K117" s="11" t="s">
        <v>766</v>
      </c>
      <c r="L117" s="11" t="s">
        <v>1542</v>
      </c>
      <c r="M117" s="9">
        <v>66003</v>
      </c>
      <c r="N117" s="9">
        <v>8136041322</v>
      </c>
      <c r="O117" s="9">
        <v>20</v>
      </c>
      <c r="P117" s="9">
        <v>0</v>
      </c>
      <c r="Q117" s="9" t="s">
        <v>1262</v>
      </c>
      <c r="R117" s="9" t="s">
        <v>1037</v>
      </c>
      <c r="S117" s="9" t="s">
        <v>1346</v>
      </c>
      <c r="Z117"/>
    </row>
    <row r="118" spans="1:26" hidden="1">
      <c r="A118" s="5">
        <v>489</v>
      </c>
      <c r="B118" s="40" t="s">
        <v>334</v>
      </c>
      <c r="C118" s="24" t="s">
        <v>1811</v>
      </c>
      <c r="D118" s="2" t="s">
        <v>335</v>
      </c>
      <c r="E118" s="2" t="s">
        <v>336</v>
      </c>
      <c r="F118" s="7">
        <v>45846</v>
      </c>
      <c r="G118" s="16" t="s">
        <v>1256</v>
      </c>
      <c r="H118" s="10">
        <v>582.967694587918</v>
      </c>
      <c r="I118" s="28">
        <v>26039</v>
      </c>
      <c r="J118" s="9" t="s">
        <v>1153</v>
      </c>
      <c r="K118" s="11" t="s">
        <v>854</v>
      </c>
      <c r="L118" s="11" t="s">
        <v>1548</v>
      </c>
      <c r="M118" s="9">
        <v>66612</v>
      </c>
      <c r="N118" s="9">
        <v>8110284762</v>
      </c>
      <c r="O118" s="9">
        <v>54</v>
      </c>
      <c r="P118" s="9">
        <v>0</v>
      </c>
      <c r="Q118" s="9" t="s">
        <v>1262</v>
      </c>
      <c r="R118" s="9" t="s">
        <v>1310</v>
      </c>
      <c r="S118" s="9" t="s">
        <v>1347</v>
      </c>
      <c r="Z118"/>
    </row>
    <row r="119" spans="1:26" hidden="1">
      <c r="A119" s="5">
        <v>313</v>
      </c>
      <c r="B119" s="40" t="s">
        <v>337</v>
      </c>
      <c r="C119" s="24" t="s">
        <v>1747</v>
      </c>
      <c r="D119" s="2" t="s">
        <v>338</v>
      </c>
      <c r="E119" s="2" t="s">
        <v>339</v>
      </c>
      <c r="F119" s="7">
        <v>45434</v>
      </c>
      <c r="G119" s="16" t="s">
        <v>1256</v>
      </c>
      <c r="H119" s="10">
        <v>593.93246193577295</v>
      </c>
      <c r="I119" s="28">
        <v>32723</v>
      </c>
      <c r="J119" s="9" t="s">
        <v>1154</v>
      </c>
      <c r="K119" s="11" t="s">
        <v>855</v>
      </c>
      <c r="L119" s="11" t="s">
        <v>1488</v>
      </c>
      <c r="M119" s="9">
        <v>11320</v>
      </c>
      <c r="N119" s="9">
        <v>5510093309</v>
      </c>
      <c r="O119" s="9">
        <v>36</v>
      </c>
      <c r="P119" s="9">
        <v>1</v>
      </c>
      <c r="Q119" s="9" t="s">
        <v>1262</v>
      </c>
      <c r="R119" s="9" t="s">
        <v>1310</v>
      </c>
      <c r="S119" s="9" t="s">
        <v>1343</v>
      </c>
      <c r="Z119"/>
    </row>
    <row r="120" spans="1:26" hidden="1">
      <c r="A120" s="5">
        <v>244</v>
      </c>
      <c r="B120" s="40" t="s">
        <v>340</v>
      </c>
      <c r="C120" s="24" t="s">
        <v>1727</v>
      </c>
      <c r="D120" s="2" t="s">
        <v>341</v>
      </c>
      <c r="E120" s="2" t="s">
        <v>342</v>
      </c>
      <c r="F120" s="7">
        <v>45296</v>
      </c>
      <c r="G120" s="16" t="s">
        <v>1256</v>
      </c>
      <c r="H120" s="10">
        <v>595.50428744666499</v>
      </c>
      <c r="I120" s="28">
        <v>45993</v>
      </c>
      <c r="J120" s="9" t="s">
        <v>1155</v>
      </c>
      <c r="K120" s="11" t="s">
        <v>856</v>
      </c>
      <c r="L120" s="11" t="s">
        <v>1470</v>
      </c>
      <c r="M120" s="9">
        <v>53690</v>
      </c>
      <c r="N120" s="9">
        <v>5526854043</v>
      </c>
      <c r="O120" s="9">
        <v>39</v>
      </c>
      <c r="P120" s="9">
        <v>2</v>
      </c>
      <c r="Q120" s="9" t="s">
        <v>1262</v>
      </c>
      <c r="R120" s="9" t="s">
        <v>1311</v>
      </c>
      <c r="S120" s="9" t="s">
        <v>1345</v>
      </c>
      <c r="Z120"/>
    </row>
    <row r="121" spans="1:26" hidden="1">
      <c r="A121" s="5">
        <v>554</v>
      </c>
      <c r="B121" s="40" t="s">
        <v>667</v>
      </c>
      <c r="C121" s="24" t="s">
        <v>1848</v>
      </c>
      <c r="D121" s="2" t="s">
        <v>668</v>
      </c>
      <c r="E121" s="2" t="s">
        <v>669</v>
      </c>
      <c r="F121" s="7">
        <v>46034</v>
      </c>
      <c r="G121" s="16" t="s">
        <v>1256</v>
      </c>
      <c r="H121" s="10">
        <v>330.576219178082</v>
      </c>
      <c r="I121" s="28">
        <v>35115</v>
      </c>
      <c r="J121" s="7" t="s">
        <v>1272</v>
      </c>
      <c r="K121" s="11" t="s">
        <v>965</v>
      </c>
      <c r="L121" s="11" t="s">
        <v>1582</v>
      </c>
      <c r="M121" s="9" t="s">
        <v>1329</v>
      </c>
      <c r="N121" s="9">
        <v>5615670215</v>
      </c>
      <c r="O121" s="9">
        <v>30</v>
      </c>
      <c r="P121" s="9">
        <v>0</v>
      </c>
      <c r="Q121" s="9" t="s">
        <v>1262</v>
      </c>
      <c r="R121" s="9" t="s">
        <v>1310</v>
      </c>
      <c r="S121" s="9" t="s">
        <v>1343</v>
      </c>
      <c r="Z121"/>
    </row>
    <row r="122" spans="1:26" hidden="1">
      <c r="A122" s="5">
        <v>544</v>
      </c>
      <c r="B122" s="40" t="s">
        <v>670</v>
      </c>
      <c r="C122" s="24" t="s">
        <v>1838</v>
      </c>
      <c r="D122" s="2" t="s">
        <v>671</v>
      </c>
      <c r="E122" s="2" t="s">
        <v>672</v>
      </c>
      <c r="F122" s="7">
        <v>46034</v>
      </c>
      <c r="G122" s="16" t="s">
        <v>1256</v>
      </c>
      <c r="H122" s="10">
        <v>330.576219178082</v>
      </c>
      <c r="I122" s="28">
        <v>37148</v>
      </c>
      <c r="J122" s="7" t="s">
        <v>1269</v>
      </c>
      <c r="K122" s="11" t="s">
        <v>966</v>
      </c>
      <c r="L122" s="11" t="s">
        <v>1574</v>
      </c>
      <c r="M122" s="9">
        <v>7420</v>
      </c>
      <c r="N122" s="9">
        <v>5615799846</v>
      </c>
      <c r="O122" s="9">
        <v>25</v>
      </c>
      <c r="P122" s="9">
        <v>0</v>
      </c>
      <c r="Q122" s="9" t="s">
        <v>1262</v>
      </c>
      <c r="R122" s="9"/>
      <c r="S122" s="9" t="s">
        <v>1343</v>
      </c>
      <c r="Z122"/>
    </row>
    <row r="123" spans="1:26" hidden="1">
      <c r="A123" s="5">
        <v>537</v>
      </c>
      <c r="B123" s="40" t="s">
        <v>652</v>
      </c>
      <c r="C123" s="24" t="s">
        <v>1835</v>
      </c>
      <c r="D123" s="2" t="s">
        <v>653</v>
      </c>
      <c r="E123" s="2" t="s">
        <v>654</v>
      </c>
      <c r="F123" s="7">
        <v>46034</v>
      </c>
      <c r="G123" s="16" t="s">
        <v>1256</v>
      </c>
      <c r="H123" s="10">
        <v>340.49224657534199</v>
      </c>
      <c r="I123" s="28">
        <v>34023</v>
      </c>
      <c r="J123" s="9" t="s">
        <v>1295</v>
      </c>
      <c r="K123" s="11" t="s">
        <v>960</v>
      </c>
      <c r="L123" s="11" t="s">
        <v>1571</v>
      </c>
      <c r="M123" s="9" t="s">
        <v>1320</v>
      </c>
      <c r="N123" s="21">
        <v>9991156750</v>
      </c>
      <c r="O123" s="9">
        <v>32</v>
      </c>
      <c r="P123" s="9">
        <v>0</v>
      </c>
      <c r="Q123" s="9" t="s">
        <v>1262</v>
      </c>
      <c r="R123" s="9" t="s">
        <v>1310</v>
      </c>
      <c r="S123" s="9" t="s">
        <v>734</v>
      </c>
      <c r="Z123"/>
    </row>
    <row r="124" spans="1:26" hidden="1">
      <c r="A124" s="5">
        <v>69</v>
      </c>
      <c r="B124" s="40" t="s">
        <v>352</v>
      </c>
      <c r="C124" s="24" t="s">
        <v>1647</v>
      </c>
      <c r="D124" s="2" t="s">
        <v>353</v>
      </c>
      <c r="E124" s="2" t="s">
        <v>354</v>
      </c>
      <c r="F124" s="7">
        <v>44657</v>
      </c>
      <c r="G124" s="16" t="s">
        <v>1256</v>
      </c>
      <c r="H124" s="10">
        <v>612.15398181001501</v>
      </c>
      <c r="I124" s="28">
        <v>33884</v>
      </c>
      <c r="J124" s="9" t="s">
        <v>1159</v>
      </c>
      <c r="K124" s="11" t="s">
        <v>860</v>
      </c>
      <c r="L124" s="11" t="s">
        <v>1390</v>
      </c>
      <c r="M124" s="9">
        <v>45407</v>
      </c>
      <c r="N124" s="9">
        <v>3334044961</v>
      </c>
      <c r="O124" s="9">
        <v>33</v>
      </c>
      <c r="P124" s="9">
        <v>3</v>
      </c>
      <c r="Q124" s="9" t="s">
        <v>1262</v>
      </c>
      <c r="R124" s="9" t="s">
        <v>1311</v>
      </c>
      <c r="S124" s="9" t="s">
        <v>1344</v>
      </c>
      <c r="Z124"/>
    </row>
    <row r="125" spans="1:26" hidden="1">
      <c r="A125" s="5">
        <v>186</v>
      </c>
      <c r="B125" s="40" t="s">
        <v>355</v>
      </c>
      <c r="C125" s="24" t="s">
        <v>1703</v>
      </c>
      <c r="D125" s="2" t="s">
        <v>356</v>
      </c>
      <c r="E125" s="2" t="s">
        <v>357</v>
      </c>
      <c r="F125" s="7">
        <v>45870</v>
      </c>
      <c r="G125" s="16" t="s">
        <v>1256</v>
      </c>
      <c r="H125" s="10">
        <v>562.638186391197</v>
      </c>
      <c r="I125" s="28">
        <v>29525</v>
      </c>
      <c r="J125" s="9" t="s">
        <v>1160</v>
      </c>
      <c r="K125" s="11" t="s">
        <v>861</v>
      </c>
      <c r="L125" s="11" t="s">
        <v>1446</v>
      </c>
      <c r="M125" s="9">
        <v>37545</v>
      </c>
      <c r="N125" s="9">
        <v>4772869619</v>
      </c>
      <c r="O125" s="9">
        <v>45</v>
      </c>
      <c r="P125" s="9">
        <v>0</v>
      </c>
      <c r="Q125" s="9" t="s">
        <v>1262</v>
      </c>
      <c r="R125" s="9" t="s">
        <v>1310</v>
      </c>
      <c r="S125" s="9" t="s">
        <v>739</v>
      </c>
      <c r="Z125"/>
    </row>
    <row r="126" spans="1:26" hidden="1">
      <c r="A126" s="5">
        <v>240</v>
      </c>
      <c r="B126" s="40" t="s">
        <v>358</v>
      </c>
      <c r="C126" s="24" t="s">
        <v>1723</v>
      </c>
      <c r="D126" s="2" t="s">
        <v>359</v>
      </c>
      <c r="E126" s="2" t="s">
        <v>360</v>
      </c>
      <c r="F126" s="7">
        <v>45295</v>
      </c>
      <c r="G126" s="16" t="s">
        <v>1256</v>
      </c>
      <c r="H126" s="10">
        <v>551.57445138109097</v>
      </c>
      <c r="I126" s="28">
        <v>34577</v>
      </c>
      <c r="J126" s="9" t="s">
        <v>1161</v>
      </c>
      <c r="K126" s="11" t="s">
        <v>862</v>
      </c>
      <c r="L126" s="11" t="s">
        <v>1466</v>
      </c>
      <c r="M126" s="9">
        <v>72560</v>
      </c>
      <c r="N126" s="9">
        <v>2225283081</v>
      </c>
      <c r="O126" s="9">
        <v>31</v>
      </c>
      <c r="P126" s="9">
        <v>2</v>
      </c>
      <c r="Q126" s="9" t="s">
        <v>1262</v>
      </c>
      <c r="R126" s="9" t="s">
        <v>1311</v>
      </c>
      <c r="S126" s="9" t="s">
        <v>738</v>
      </c>
      <c r="Z126"/>
    </row>
    <row r="127" spans="1:26" hidden="1">
      <c r="A127" s="5">
        <v>465</v>
      </c>
      <c r="B127" s="40" t="s">
        <v>361</v>
      </c>
      <c r="C127" s="24" t="s">
        <v>1799</v>
      </c>
      <c r="D127" s="2" t="s">
        <v>362</v>
      </c>
      <c r="E127" s="2" t="s">
        <v>363</v>
      </c>
      <c r="F127" s="7">
        <v>45798</v>
      </c>
      <c r="G127" s="16" t="s">
        <v>1256</v>
      </c>
      <c r="H127" s="10">
        <v>584.27359622726203</v>
      </c>
      <c r="I127" s="28">
        <v>27782</v>
      </c>
      <c r="J127" s="9" t="s">
        <v>1162</v>
      </c>
      <c r="K127" s="11" t="s">
        <v>863</v>
      </c>
      <c r="L127" s="11" t="s">
        <v>1537</v>
      </c>
      <c r="M127" s="9" t="s">
        <v>1008</v>
      </c>
      <c r="N127" s="9" t="s">
        <v>1025</v>
      </c>
      <c r="O127" s="9">
        <v>49</v>
      </c>
      <c r="P127" s="9">
        <v>0</v>
      </c>
      <c r="Q127" s="9" t="s">
        <v>1262</v>
      </c>
      <c r="R127" s="9" t="s">
        <v>1310</v>
      </c>
      <c r="S127" s="9" t="s">
        <v>1343</v>
      </c>
      <c r="Z127"/>
    </row>
    <row r="128" spans="1:26" hidden="1">
      <c r="A128" s="5">
        <v>499</v>
      </c>
      <c r="B128" s="40" t="s">
        <v>364</v>
      </c>
      <c r="C128" s="24" t="s">
        <v>1815</v>
      </c>
      <c r="D128" s="2" t="s">
        <v>365</v>
      </c>
      <c r="E128" s="2" t="s">
        <v>366</v>
      </c>
      <c r="F128" s="7">
        <v>45870</v>
      </c>
      <c r="G128" s="16" t="s">
        <v>1256</v>
      </c>
      <c r="H128" s="10">
        <v>552.41376016168795</v>
      </c>
      <c r="I128" s="28">
        <v>29718</v>
      </c>
      <c r="J128" s="9" t="s">
        <v>1163</v>
      </c>
      <c r="K128" s="11" t="s">
        <v>864</v>
      </c>
      <c r="L128" s="11" t="s">
        <v>1552</v>
      </c>
      <c r="M128" s="9">
        <v>45410</v>
      </c>
      <c r="N128" s="9">
        <v>3346602615</v>
      </c>
      <c r="O128" s="9">
        <v>44</v>
      </c>
      <c r="P128" s="9">
        <v>0</v>
      </c>
      <c r="Q128" s="9" t="s">
        <v>1262</v>
      </c>
      <c r="R128" s="9" t="s">
        <v>1310</v>
      </c>
      <c r="S128" s="9" t="s">
        <v>1344</v>
      </c>
      <c r="Z128"/>
    </row>
    <row r="129" spans="1:26" hidden="1">
      <c r="A129" s="5">
        <v>336</v>
      </c>
      <c r="B129" s="40" t="s">
        <v>367</v>
      </c>
      <c r="C129" s="24" t="s">
        <v>1753</v>
      </c>
      <c r="D129" s="2" t="s">
        <v>368</v>
      </c>
      <c r="E129" s="2" t="s">
        <v>369</v>
      </c>
      <c r="F129" s="7">
        <v>45482</v>
      </c>
      <c r="G129" s="16" t="s">
        <v>1256</v>
      </c>
      <c r="H129" s="10">
        <v>536.93066629238695</v>
      </c>
      <c r="I129" s="28">
        <v>31028</v>
      </c>
      <c r="J129" s="9" t="s">
        <v>1164</v>
      </c>
      <c r="K129" s="11" t="s">
        <v>865</v>
      </c>
      <c r="L129" s="11" t="s">
        <v>1494</v>
      </c>
      <c r="M129" s="9">
        <v>97370</v>
      </c>
      <c r="N129" s="9">
        <v>9991919541</v>
      </c>
      <c r="O129" s="9">
        <v>40</v>
      </c>
      <c r="P129" s="9">
        <v>1</v>
      </c>
      <c r="Q129" s="9" t="s">
        <v>1262</v>
      </c>
      <c r="R129" s="9" t="s">
        <v>1311</v>
      </c>
      <c r="S129" s="9" t="s">
        <v>1350</v>
      </c>
      <c r="Z129"/>
    </row>
    <row r="130" spans="1:26" hidden="1">
      <c r="A130" s="5">
        <v>401</v>
      </c>
      <c r="B130" s="40" t="s">
        <v>370</v>
      </c>
      <c r="C130" s="24" t="s">
        <v>1773</v>
      </c>
      <c r="D130" s="2" t="s">
        <v>371</v>
      </c>
      <c r="E130" s="2" t="s">
        <v>372</v>
      </c>
      <c r="F130" s="7">
        <v>45660</v>
      </c>
      <c r="G130" s="16" t="s">
        <v>1256</v>
      </c>
      <c r="H130" s="10">
        <v>522.38639636200298</v>
      </c>
      <c r="I130" s="28">
        <v>26973</v>
      </c>
      <c r="J130" s="9" t="s">
        <v>1165</v>
      </c>
      <c r="K130" s="11" t="s">
        <v>866</v>
      </c>
      <c r="L130" s="11" t="s">
        <v>1513</v>
      </c>
      <c r="M130" s="9" t="s">
        <v>1009</v>
      </c>
      <c r="N130" s="9">
        <v>5521787252</v>
      </c>
      <c r="O130" s="9">
        <v>52</v>
      </c>
      <c r="P130" s="9">
        <v>1</v>
      </c>
      <c r="Q130" s="9" t="s">
        <v>1262</v>
      </c>
      <c r="R130" s="9" t="s">
        <v>1310</v>
      </c>
      <c r="S130" s="9" t="s">
        <v>1343</v>
      </c>
      <c r="Z130"/>
    </row>
    <row r="131" spans="1:26" hidden="1">
      <c r="A131" s="5">
        <v>233</v>
      </c>
      <c r="B131" s="40" t="s">
        <v>373</v>
      </c>
      <c r="C131" s="24" t="s">
        <v>1720</v>
      </c>
      <c r="D131" s="2" t="s">
        <v>374</v>
      </c>
      <c r="E131" s="2" t="s">
        <v>375</v>
      </c>
      <c r="F131" s="7">
        <v>45488</v>
      </c>
      <c r="G131" s="16" t="s">
        <v>1256</v>
      </c>
      <c r="H131" s="10">
        <v>531.34967505052703</v>
      </c>
      <c r="I131" s="28">
        <v>35138</v>
      </c>
      <c r="J131" s="9" t="s">
        <v>1166</v>
      </c>
      <c r="K131" s="11" t="s">
        <v>867</v>
      </c>
      <c r="L131" s="11" t="s">
        <v>1463</v>
      </c>
      <c r="M131" s="9">
        <v>44320</v>
      </c>
      <c r="N131" s="9">
        <v>3320818721</v>
      </c>
      <c r="O131" s="9">
        <v>29</v>
      </c>
      <c r="P131" s="9">
        <v>1</v>
      </c>
      <c r="Q131" s="9" t="s">
        <v>1262</v>
      </c>
      <c r="R131" s="9" t="s">
        <v>1037</v>
      </c>
      <c r="S131" s="9" t="s">
        <v>1344</v>
      </c>
      <c r="Z131"/>
    </row>
    <row r="132" spans="1:26" hidden="1">
      <c r="A132" s="5">
        <v>287</v>
      </c>
      <c r="B132" s="40" t="s">
        <v>376</v>
      </c>
      <c r="C132" s="24" t="s">
        <v>1737</v>
      </c>
      <c r="D132" s="2" t="s">
        <v>377</v>
      </c>
      <c r="E132" s="2" t="s">
        <v>378</v>
      </c>
      <c r="F132" s="7">
        <v>45579</v>
      </c>
      <c r="G132" s="16" t="s">
        <v>1256</v>
      </c>
      <c r="H132" s="10">
        <v>565.87737996856004</v>
      </c>
      <c r="I132" s="28">
        <v>34710</v>
      </c>
      <c r="J132" s="9" t="s">
        <v>1167</v>
      </c>
      <c r="K132" s="11" t="s">
        <v>868</v>
      </c>
      <c r="L132" s="11" t="s">
        <v>1478</v>
      </c>
      <c r="M132" s="9">
        <v>57610</v>
      </c>
      <c r="N132" s="9">
        <v>5633135150</v>
      </c>
      <c r="O132" s="9">
        <v>30</v>
      </c>
      <c r="P132" s="9">
        <v>1</v>
      </c>
      <c r="Q132" s="9" t="s">
        <v>1262</v>
      </c>
      <c r="R132" s="9" t="s">
        <v>1310</v>
      </c>
      <c r="S132" s="9" t="s">
        <v>1343</v>
      </c>
      <c r="Z132"/>
    </row>
    <row r="133" spans="1:26" hidden="1">
      <c r="A133" s="5">
        <v>165</v>
      </c>
      <c r="B133" s="40" t="s">
        <v>379</v>
      </c>
      <c r="C133" s="24" t="s">
        <v>1694</v>
      </c>
      <c r="D133" s="2" t="s">
        <v>380</v>
      </c>
      <c r="E133" s="2" t="s">
        <v>381</v>
      </c>
      <c r="F133" s="7">
        <v>45016</v>
      </c>
      <c r="G133" s="16" t="s">
        <v>1256</v>
      </c>
      <c r="H133" s="10">
        <v>581.82150056141904</v>
      </c>
      <c r="I133" s="28">
        <v>30003</v>
      </c>
      <c r="J133" s="9" t="s">
        <v>1168</v>
      </c>
      <c r="K133" s="11" t="s">
        <v>869</v>
      </c>
      <c r="L133" s="11" t="s">
        <v>1437</v>
      </c>
      <c r="M133" s="9">
        <v>55158</v>
      </c>
      <c r="N133" s="9">
        <v>5527222361</v>
      </c>
      <c r="O133" s="9">
        <v>43</v>
      </c>
      <c r="P133" s="9">
        <v>2</v>
      </c>
      <c r="Q133" s="9" t="s">
        <v>1262</v>
      </c>
      <c r="R133" s="9" t="s">
        <v>1311</v>
      </c>
      <c r="S133" s="9" t="s">
        <v>1343</v>
      </c>
      <c r="Z133"/>
    </row>
    <row r="134" spans="1:26" hidden="1">
      <c r="A134" s="5">
        <v>573</v>
      </c>
      <c r="B134" s="40" t="s">
        <v>730</v>
      </c>
      <c r="C134" s="24" t="s">
        <v>1856</v>
      </c>
      <c r="D134" s="2" t="s">
        <v>731</v>
      </c>
      <c r="E134" s="2" t="s">
        <v>732</v>
      </c>
      <c r="F134" s="7">
        <v>46042</v>
      </c>
      <c r="G134" s="16" t="s">
        <v>1256</v>
      </c>
      <c r="H134" s="10">
        <v>330.576219178082</v>
      </c>
      <c r="I134" s="28">
        <v>27478</v>
      </c>
      <c r="J134" s="9" t="s">
        <v>1306</v>
      </c>
      <c r="K134" s="16" t="s">
        <v>1307</v>
      </c>
      <c r="L134" s="11" t="s">
        <v>1587</v>
      </c>
      <c r="M134" s="9" t="s">
        <v>1342</v>
      </c>
      <c r="N134" s="9">
        <v>3334805763</v>
      </c>
      <c r="O134" s="9"/>
      <c r="P134" s="9">
        <v>0</v>
      </c>
      <c r="Q134" s="9" t="s">
        <v>1262</v>
      </c>
      <c r="R134" s="9" t="s">
        <v>1310</v>
      </c>
      <c r="S134" s="9" t="s">
        <v>1344</v>
      </c>
      <c r="Z134"/>
    </row>
    <row r="135" spans="1:26" hidden="1">
      <c r="A135" s="5">
        <v>469</v>
      </c>
      <c r="B135" s="40" t="s">
        <v>382</v>
      </c>
      <c r="C135" s="24" t="s">
        <v>1800</v>
      </c>
      <c r="D135" s="2" t="s">
        <v>383</v>
      </c>
      <c r="E135" s="2" t="s">
        <v>384</v>
      </c>
      <c r="F135" s="7">
        <v>45810</v>
      </c>
      <c r="G135" s="16" t="s">
        <v>1256</v>
      </c>
      <c r="H135" s="10">
        <v>575.53589130922899</v>
      </c>
      <c r="I135" s="28">
        <v>45854</v>
      </c>
      <c r="J135" s="9" t="s">
        <v>1169</v>
      </c>
      <c r="K135" s="11" t="s">
        <v>870</v>
      </c>
      <c r="L135" s="11" t="s">
        <v>1538</v>
      </c>
      <c r="M135" s="9">
        <v>44810</v>
      </c>
      <c r="N135" s="9">
        <v>3335985440</v>
      </c>
      <c r="O135" s="9">
        <v>48</v>
      </c>
      <c r="P135" s="9">
        <v>0</v>
      </c>
      <c r="Q135" s="9" t="s">
        <v>1262</v>
      </c>
      <c r="R135" s="9" t="s">
        <v>1310</v>
      </c>
      <c r="S135" s="9" t="s">
        <v>1344</v>
      </c>
      <c r="Z135"/>
    </row>
    <row r="136" spans="1:26" hidden="1">
      <c r="A136" s="5">
        <v>123</v>
      </c>
      <c r="B136" s="40" t="s">
        <v>385</v>
      </c>
      <c r="C136" s="24" t="s">
        <v>1673</v>
      </c>
      <c r="D136" s="2" t="s">
        <v>386</v>
      </c>
      <c r="E136" s="2" t="s">
        <v>387</v>
      </c>
      <c r="F136" s="7">
        <v>44937</v>
      </c>
      <c r="G136" s="16" t="s">
        <v>1256</v>
      </c>
      <c r="H136" s="10">
        <v>472.87840803952298</v>
      </c>
      <c r="I136" s="28">
        <v>27422</v>
      </c>
      <c r="J136" s="9" t="s">
        <v>1170</v>
      </c>
      <c r="K136" s="11" t="s">
        <v>871</v>
      </c>
      <c r="L136" s="11" t="s">
        <v>1416</v>
      </c>
      <c r="M136" s="9">
        <v>13319</v>
      </c>
      <c r="N136" s="9">
        <v>5616162511</v>
      </c>
      <c r="O136" s="9">
        <v>50</v>
      </c>
      <c r="P136" s="9">
        <v>3</v>
      </c>
      <c r="Q136" s="9" t="s">
        <v>1262</v>
      </c>
      <c r="R136" s="9" t="s">
        <v>1311</v>
      </c>
      <c r="S136" s="9" t="s">
        <v>1343</v>
      </c>
      <c r="Z136"/>
    </row>
    <row r="137" spans="1:26" hidden="1">
      <c r="A137" s="5">
        <v>82</v>
      </c>
      <c r="B137" s="40" t="s">
        <v>388</v>
      </c>
      <c r="C137" s="24" t="s">
        <v>1655</v>
      </c>
      <c r="D137" s="2" t="s">
        <v>389</v>
      </c>
      <c r="E137" s="2" t="s">
        <v>390</v>
      </c>
      <c r="F137" s="7">
        <v>44778</v>
      </c>
      <c r="G137" s="16" t="s">
        <v>1256</v>
      </c>
      <c r="H137" s="10">
        <v>535.29447361329403</v>
      </c>
      <c r="I137" s="28">
        <v>28530</v>
      </c>
      <c r="J137" s="9" t="s">
        <v>1171</v>
      </c>
      <c r="K137" s="11" t="s">
        <v>872</v>
      </c>
      <c r="L137" s="11" t="s">
        <v>1398</v>
      </c>
      <c r="M137" s="9">
        <v>50285</v>
      </c>
      <c r="N137" s="9">
        <v>7292610413</v>
      </c>
      <c r="O137" s="9">
        <v>47</v>
      </c>
      <c r="P137" s="9">
        <v>3</v>
      </c>
      <c r="Q137" s="9" t="s">
        <v>1262</v>
      </c>
      <c r="R137" s="9" t="s">
        <v>1310</v>
      </c>
      <c r="S137" s="9" t="s">
        <v>1345</v>
      </c>
      <c r="Z137"/>
    </row>
    <row r="138" spans="1:26" hidden="1">
      <c r="A138" s="5">
        <v>180</v>
      </c>
      <c r="B138" s="40" t="s">
        <v>391</v>
      </c>
      <c r="C138" s="24" t="s">
        <v>1699</v>
      </c>
      <c r="D138" s="2" t="s">
        <v>392</v>
      </c>
      <c r="E138" s="2" t="s">
        <v>393</v>
      </c>
      <c r="F138" s="7">
        <v>45101</v>
      </c>
      <c r="G138" s="16" t="s">
        <v>1256</v>
      </c>
      <c r="H138" s="10">
        <v>642.38722838535796</v>
      </c>
      <c r="I138" s="28">
        <v>31468</v>
      </c>
      <c r="J138" s="9" t="s">
        <v>1172</v>
      </c>
      <c r="K138" s="11" t="s">
        <v>873</v>
      </c>
      <c r="L138" s="11" t="s">
        <v>1442</v>
      </c>
      <c r="M138" s="9">
        <v>80295</v>
      </c>
      <c r="N138" s="9">
        <v>6674283018</v>
      </c>
      <c r="O138" s="9">
        <v>39</v>
      </c>
      <c r="P138" s="9">
        <v>2</v>
      </c>
      <c r="Q138" s="9" t="s">
        <v>1262</v>
      </c>
      <c r="R138" s="9" t="s">
        <v>1311</v>
      </c>
      <c r="S138" s="9" t="s">
        <v>736</v>
      </c>
      <c r="Z138"/>
    </row>
    <row r="139" spans="1:26" hidden="1">
      <c r="A139" s="5">
        <v>248</v>
      </c>
      <c r="B139" s="40" t="s">
        <v>394</v>
      </c>
      <c r="C139" s="24" t="s">
        <v>1728</v>
      </c>
      <c r="D139" s="2" t="s">
        <v>395</v>
      </c>
      <c r="E139" s="2" t="s">
        <v>396</v>
      </c>
      <c r="F139" s="7">
        <v>45301</v>
      </c>
      <c r="G139" s="16" t="s">
        <v>1256</v>
      </c>
      <c r="H139" s="10">
        <v>588.22822187289398</v>
      </c>
      <c r="I139" s="28">
        <v>37186</v>
      </c>
      <c r="J139" s="9" t="s">
        <v>1173</v>
      </c>
      <c r="K139" s="11" t="s">
        <v>874</v>
      </c>
      <c r="L139" s="11" t="s">
        <v>1471</v>
      </c>
      <c r="M139" s="9">
        <v>10300</v>
      </c>
      <c r="N139" s="9">
        <v>5532660406</v>
      </c>
      <c r="O139" s="9">
        <v>24</v>
      </c>
      <c r="P139" s="9">
        <v>2</v>
      </c>
      <c r="Q139" s="9" t="s">
        <v>1262</v>
      </c>
      <c r="R139" s="9" t="s">
        <v>1037</v>
      </c>
      <c r="S139" s="9" t="s">
        <v>1343</v>
      </c>
      <c r="Z139"/>
    </row>
    <row r="140" spans="1:26" hidden="1">
      <c r="A140" s="5">
        <v>144</v>
      </c>
      <c r="B140" s="40" t="s">
        <v>397</v>
      </c>
      <c r="C140" s="24" t="s">
        <v>1684</v>
      </c>
      <c r="D140" s="2" t="s">
        <v>398</v>
      </c>
      <c r="E140" s="2" t="s">
        <v>399</v>
      </c>
      <c r="F140" s="7">
        <v>44985</v>
      </c>
      <c r="G140" s="16" t="s">
        <v>1256</v>
      </c>
      <c r="H140" s="10">
        <v>632.85526117224299</v>
      </c>
      <c r="I140" s="28">
        <v>27672</v>
      </c>
      <c r="J140" s="9" t="s">
        <v>1174</v>
      </c>
      <c r="K140" s="11" t="s">
        <v>875</v>
      </c>
      <c r="L140" s="11" t="s">
        <v>1427</v>
      </c>
      <c r="M140" s="9">
        <v>62290</v>
      </c>
      <c r="N140" s="9">
        <v>7775019758</v>
      </c>
      <c r="O140" s="9">
        <v>50</v>
      </c>
      <c r="P140" s="9">
        <v>2</v>
      </c>
      <c r="Q140" s="9" t="s">
        <v>1262</v>
      </c>
      <c r="R140" s="9" t="s">
        <v>1311</v>
      </c>
      <c r="S140" s="9" t="s">
        <v>736</v>
      </c>
      <c r="Z140"/>
    </row>
    <row r="141" spans="1:26" hidden="1">
      <c r="A141" s="5">
        <v>112</v>
      </c>
      <c r="B141" s="40" t="s">
        <v>198</v>
      </c>
      <c r="C141" s="24" t="s">
        <v>1668</v>
      </c>
      <c r="D141" s="2" t="s">
        <v>199</v>
      </c>
      <c r="E141" s="2" t="s">
        <v>200</v>
      </c>
      <c r="F141" s="7">
        <v>44869</v>
      </c>
      <c r="G141" s="16" t="s">
        <v>1256</v>
      </c>
      <c r="H141" s="10">
        <v>570.311697304463</v>
      </c>
      <c r="I141" s="28">
        <v>30942</v>
      </c>
      <c r="J141" s="9" t="s">
        <v>1106</v>
      </c>
      <c r="K141" s="11" t="s">
        <v>808</v>
      </c>
      <c r="L141" s="11" t="s">
        <v>1411</v>
      </c>
      <c r="M141" s="9" t="s">
        <v>999</v>
      </c>
      <c r="N141" s="9">
        <v>5574924863</v>
      </c>
      <c r="O141" s="9">
        <v>41</v>
      </c>
      <c r="P141" s="9">
        <v>3</v>
      </c>
      <c r="Q141" s="9" t="s">
        <v>1262</v>
      </c>
      <c r="R141" s="9" t="s">
        <v>1310</v>
      </c>
      <c r="S141" s="9" t="s">
        <v>1343</v>
      </c>
      <c r="Z141"/>
    </row>
    <row r="142" spans="1:26" hidden="1">
      <c r="A142" s="5">
        <v>403</v>
      </c>
      <c r="B142" s="40" t="s">
        <v>409</v>
      </c>
      <c r="C142" s="24" t="s">
        <v>1775</v>
      </c>
      <c r="D142" s="2" t="s">
        <v>410</v>
      </c>
      <c r="E142" s="2" t="s">
        <v>411</v>
      </c>
      <c r="F142" s="7">
        <v>45660</v>
      </c>
      <c r="G142" s="16" t="s">
        <v>1256</v>
      </c>
      <c r="H142" s="10">
        <v>616.54000291937996</v>
      </c>
      <c r="I142" s="28">
        <v>31657</v>
      </c>
      <c r="J142" s="9" t="s">
        <v>1178</v>
      </c>
      <c r="K142" s="11" t="s">
        <v>879</v>
      </c>
      <c r="L142" s="11" t="s">
        <v>1515</v>
      </c>
      <c r="M142" s="9">
        <v>55644</v>
      </c>
      <c r="N142" s="9">
        <v>5574874308</v>
      </c>
      <c r="O142" s="9">
        <v>39</v>
      </c>
      <c r="P142" s="9">
        <v>1</v>
      </c>
      <c r="Q142" s="9" t="s">
        <v>1262</v>
      </c>
      <c r="R142" s="9" t="s">
        <v>1311</v>
      </c>
      <c r="S142" s="9" t="s">
        <v>1343</v>
      </c>
      <c r="Z142"/>
    </row>
    <row r="143" spans="1:26" hidden="1">
      <c r="A143" s="5">
        <v>235</v>
      </c>
      <c r="B143" s="40" t="s">
        <v>412</v>
      </c>
      <c r="C143" s="24" t="s">
        <v>1721</v>
      </c>
      <c r="D143" s="2" t="s">
        <v>413</v>
      </c>
      <c r="E143" s="2" t="s">
        <v>414</v>
      </c>
      <c r="F143" s="7">
        <v>45293</v>
      </c>
      <c r="G143" s="16" t="s">
        <v>1256</v>
      </c>
      <c r="H143" s="10">
        <v>928.52182843027094</v>
      </c>
      <c r="I143" s="28">
        <v>26368</v>
      </c>
      <c r="J143" s="9" t="s">
        <v>1179</v>
      </c>
      <c r="K143" s="11" t="s">
        <v>880</v>
      </c>
      <c r="L143" s="11" t="s">
        <v>1464</v>
      </c>
      <c r="M143" s="9" t="s">
        <v>1012</v>
      </c>
      <c r="N143" s="9">
        <v>5585734450</v>
      </c>
      <c r="O143" s="9">
        <v>53</v>
      </c>
      <c r="P143" s="9">
        <v>3</v>
      </c>
      <c r="Q143" s="9" t="s">
        <v>1262</v>
      </c>
      <c r="R143" s="9" t="s">
        <v>1311</v>
      </c>
      <c r="S143" s="9" t="s">
        <v>1345</v>
      </c>
      <c r="Z143"/>
    </row>
    <row r="144" spans="1:26" hidden="1">
      <c r="A144" s="5">
        <v>120</v>
      </c>
      <c r="B144" s="40" t="s">
        <v>233</v>
      </c>
      <c r="C144" s="24" t="s">
        <v>1671</v>
      </c>
      <c r="D144" s="2" t="s">
        <v>234</v>
      </c>
      <c r="E144" s="2" t="s">
        <v>235</v>
      </c>
      <c r="F144" s="7">
        <v>44930</v>
      </c>
      <c r="G144" s="16" t="s">
        <v>1256</v>
      </c>
      <c r="H144" s="10">
        <v>656.13072956252699</v>
      </c>
      <c r="I144" s="28">
        <v>25261</v>
      </c>
      <c r="J144" s="9" t="s">
        <v>1118</v>
      </c>
      <c r="K144" s="11" t="s">
        <v>820</v>
      </c>
      <c r="L144" s="11" t="s">
        <v>1414</v>
      </c>
      <c r="M144" s="9">
        <v>55023</v>
      </c>
      <c r="N144" s="9">
        <v>5520023767</v>
      </c>
      <c r="O144" s="9">
        <v>56</v>
      </c>
      <c r="P144" s="9">
        <v>3</v>
      </c>
      <c r="Q144" s="9" t="s">
        <v>1262</v>
      </c>
      <c r="R144" s="9" t="s">
        <v>1310</v>
      </c>
      <c r="S144" s="9" t="s">
        <v>1343</v>
      </c>
      <c r="Z144"/>
    </row>
    <row r="145" spans="1:26" hidden="1">
      <c r="A145" s="5">
        <v>293</v>
      </c>
      <c r="B145" s="40" t="s">
        <v>415</v>
      </c>
      <c r="C145" s="24" t="s">
        <v>1739</v>
      </c>
      <c r="D145" s="2" t="s">
        <v>416</v>
      </c>
      <c r="E145" s="2" t="s">
        <v>417</v>
      </c>
      <c r="F145" s="7">
        <v>45383</v>
      </c>
      <c r="G145" s="16" t="s">
        <v>1256</v>
      </c>
      <c r="H145" s="10">
        <v>648.15050235796002</v>
      </c>
      <c r="I145" s="28">
        <v>37108</v>
      </c>
      <c r="J145" s="9" t="s">
        <v>1180</v>
      </c>
      <c r="K145" s="11" t="s">
        <v>881</v>
      </c>
      <c r="L145" s="11" t="s">
        <v>1480</v>
      </c>
      <c r="M145" s="9">
        <v>82165</v>
      </c>
      <c r="N145" s="9">
        <v>9982213183</v>
      </c>
      <c r="O145" s="9">
        <v>24</v>
      </c>
      <c r="P145" s="9">
        <v>1</v>
      </c>
      <c r="Q145" s="9" t="s">
        <v>1262</v>
      </c>
      <c r="R145" s="9" t="s">
        <v>1037</v>
      </c>
      <c r="S145" s="9" t="s">
        <v>1351</v>
      </c>
      <c r="Z145"/>
    </row>
    <row r="146" spans="1:26" hidden="1">
      <c r="A146" s="5">
        <v>345</v>
      </c>
      <c r="B146" s="40" t="s">
        <v>418</v>
      </c>
      <c r="C146" s="24" t="s">
        <v>1756</v>
      </c>
      <c r="D146" s="2" t="s">
        <v>419</v>
      </c>
      <c r="E146" s="2" t="s">
        <v>420</v>
      </c>
      <c r="F146" s="7">
        <v>45489</v>
      </c>
      <c r="G146" s="16" t="s">
        <v>1256</v>
      </c>
      <c r="H146" s="10">
        <v>559.20983898495399</v>
      </c>
      <c r="I146" s="28">
        <v>31508</v>
      </c>
      <c r="J146" s="9" t="s">
        <v>1181</v>
      </c>
      <c r="K146" s="11" t="s">
        <v>882</v>
      </c>
      <c r="L146" s="11" t="s">
        <v>1497</v>
      </c>
      <c r="M146" s="9">
        <v>64233</v>
      </c>
      <c r="N146" s="9">
        <v>8115088973</v>
      </c>
      <c r="O146" s="9">
        <v>39</v>
      </c>
      <c r="P146" s="9">
        <v>1</v>
      </c>
      <c r="Q146" s="9" t="s">
        <v>1262</v>
      </c>
      <c r="R146" s="9" t="s">
        <v>1311</v>
      </c>
      <c r="S146" s="9" t="s">
        <v>1347</v>
      </c>
      <c r="Z146"/>
    </row>
    <row r="147" spans="1:26" hidden="1">
      <c r="A147" s="5">
        <v>93</v>
      </c>
      <c r="B147" s="40" t="s">
        <v>421</v>
      </c>
      <c r="C147" s="24" t="s">
        <v>1660</v>
      </c>
      <c r="D147" s="2" t="s">
        <v>422</v>
      </c>
      <c r="E147" s="2" t="s">
        <v>423</v>
      </c>
      <c r="F147" s="7">
        <v>44798</v>
      </c>
      <c r="G147" s="16" t="s">
        <v>1256</v>
      </c>
      <c r="H147" s="10">
        <v>595.35070312149105</v>
      </c>
      <c r="I147" s="28">
        <v>30158</v>
      </c>
      <c r="J147" s="9" t="s">
        <v>1182</v>
      </c>
      <c r="K147" s="11" t="s">
        <v>883</v>
      </c>
      <c r="L147" s="11" t="s">
        <v>1403</v>
      </c>
      <c r="M147" s="9">
        <v>45428</v>
      </c>
      <c r="N147" s="9">
        <v>3311756059</v>
      </c>
      <c r="O147" s="9">
        <v>43</v>
      </c>
      <c r="P147" s="9">
        <v>3</v>
      </c>
      <c r="Q147" s="9" t="s">
        <v>1262</v>
      </c>
      <c r="R147" s="9" t="s">
        <v>1311</v>
      </c>
      <c r="S147" s="9" t="s">
        <v>1344</v>
      </c>
      <c r="Z147"/>
    </row>
    <row r="148" spans="1:26" hidden="1">
      <c r="A148" s="5">
        <v>252</v>
      </c>
      <c r="B148" s="40" t="s">
        <v>424</v>
      </c>
      <c r="C148" s="24" t="s">
        <v>1729</v>
      </c>
      <c r="D148" s="2" t="s">
        <v>425</v>
      </c>
      <c r="E148" s="2" t="s">
        <v>426</v>
      </c>
      <c r="F148" s="7">
        <v>45306</v>
      </c>
      <c r="G148" s="16" t="s">
        <v>1256</v>
      </c>
      <c r="H148" s="10">
        <v>631.49248416797604</v>
      </c>
      <c r="I148" s="28">
        <v>33259</v>
      </c>
      <c r="J148" s="9" t="s">
        <v>1183</v>
      </c>
      <c r="K148" s="11" t="s">
        <v>884</v>
      </c>
      <c r="L148" s="11" t="s">
        <v>1472</v>
      </c>
      <c r="M148" s="9">
        <v>76115</v>
      </c>
      <c r="N148" s="9">
        <v>4461232166</v>
      </c>
      <c r="O148" s="9">
        <v>34</v>
      </c>
      <c r="P148" s="9">
        <v>2</v>
      </c>
      <c r="Q148" s="9" t="s">
        <v>1262</v>
      </c>
      <c r="R148" s="9" t="s">
        <v>1311</v>
      </c>
      <c r="S148" s="9" t="s">
        <v>740</v>
      </c>
      <c r="Z148"/>
    </row>
    <row r="149" spans="1:26" hidden="1">
      <c r="A149" s="5">
        <v>452</v>
      </c>
      <c r="B149" s="40" t="s">
        <v>427</v>
      </c>
      <c r="C149" s="24" t="s">
        <v>1792</v>
      </c>
      <c r="D149" s="2" t="s">
        <v>428</v>
      </c>
      <c r="E149" s="2" t="s">
        <v>429</v>
      </c>
      <c r="F149" s="7">
        <v>45758</v>
      </c>
      <c r="G149" s="16" t="s">
        <v>1256</v>
      </c>
      <c r="H149" s="10">
        <v>611.74769458791798</v>
      </c>
      <c r="I149" s="28">
        <v>33145</v>
      </c>
      <c r="J149" s="9" t="s">
        <v>1184</v>
      </c>
      <c r="K149" s="11" t="s">
        <v>885</v>
      </c>
      <c r="L149" s="11" t="s">
        <v>1530</v>
      </c>
      <c r="M149" s="9">
        <v>55796</v>
      </c>
      <c r="N149" s="9">
        <v>5637066726</v>
      </c>
      <c r="O149" s="9">
        <v>35</v>
      </c>
      <c r="P149" s="9">
        <v>0</v>
      </c>
      <c r="Q149" s="9" t="s">
        <v>1262</v>
      </c>
      <c r="R149" s="9" t="s">
        <v>1311</v>
      </c>
      <c r="S149" s="9" t="s">
        <v>1345</v>
      </c>
      <c r="Z149"/>
    </row>
    <row r="150" spans="1:26" hidden="1">
      <c r="A150" s="20">
        <v>156</v>
      </c>
      <c r="B150" s="41" t="s">
        <v>302</v>
      </c>
      <c r="C150" s="32" t="s">
        <v>1691</v>
      </c>
      <c r="D150" s="19" t="s">
        <v>303</v>
      </c>
      <c r="E150" s="19" t="s">
        <v>304</v>
      </c>
      <c r="F150" s="7">
        <v>44995</v>
      </c>
      <c r="G150" s="16" t="s">
        <v>1256</v>
      </c>
      <c r="H150" s="10">
        <v>471.80543498764803</v>
      </c>
      <c r="I150" s="28">
        <v>29496</v>
      </c>
      <c r="J150" s="9" t="s">
        <v>1142</v>
      </c>
      <c r="K150" s="11" t="s">
        <v>843</v>
      </c>
      <c r="L150" s="11" t="s">
        <v>1434</v>
      </c>
      <c r="M150" s="9" t="s">
        <v>1005</v>
      </c>
      <c r="N150" s="18">
        <v>5562333784</v>
      </c>
      <c r="O150" s="9">
        <v>45</v>
      </c>
      <c r="P150" s="9">
        <v>2</v>
      </c>
      <c r="Q150" s="9" t="s">
        <v>1262</v>
      </c>
      <c r="R150" s="9" t="s">
        <v>1311</v>
      </c>
      <c r="S150" s="9" t="s">
        <v>1343</v>
      </c>
      <c r="Z150"/>
    </row>
    <row r="151" spans="1:26" hidden="1">
      <c r="A151" s="5">
        <v>485</v>
      </c>
      <c r="B151" s="40" t="s">
        <v>433</v>
      </c>
      <c r="C151" s="24" t="s">
        <v>1809</v>
      </c>
      <c r="D151" s="2" t="s">
        <v>434</v>
      </c>
      <c r="E151" s="2" t="s">
        <v>435</v>
      </c>
      <c r="F151" s="7">
        <v>45840</v>
      </c>
      <c r="G151" s="16" t="s">
        <v>1256</v>
      </c>
      <c r="H151" s="10">
        <v>768.41661621378796</v>
      </c>
      <c r="I151" s="28">
        <v>35512</v>
      </c>
      <c r="J151" s="9" t="s">
        <v>1186</v>
      </c>
      <c r="K151" s="11" t="s">
        <v>887</v>
      </c>
      <c r="L151" s="11" t="s">
        <v>1546</v>
      </c>
      <c r="M151" s="9">
        <v>22207</v>
      </c>
      <c r="N151" s="9">
        <v>6647550875</v>
      </c>
      <c r="O151" s="9">
        <v>28</v>
      </c>
      <c r="P151" s="9">
        <v>0</v>
      </c>
      <c r="Q151" s="9" t="s">
        <v>1262</v>
      </c>
      <c r="R151" s="9" t="s">
        <v>1037</v>
      </c>
      <c r="S151" s="9" t="s">
        <v>736</v>
      </c>
      <c r="Z151"/>
    </row>
    <row r="152" spans="1:26" hidden="1">
      <c r="A152" s="5">
        <v>509</v>
      </c>
      <c r="B152" s="40" t="s">
        <v>436</v>
      </c>
      <c r="C152" s="24" t="s">
        <v>1824</v>
      </c>
      <c r="D152" s="2" t="s">
        <v>437</v>
      </c>
      <c r="E152" s="2" t="s">
        <v>438</v>
      </c>
      <c r="F152" s="7">
        <v>45883</v>
      </c>
      <c r="G152" s="16" t="s">
        <v>1256</v>
      </c>
      <c r="H152" s="10">
        <v>590.91703885021298</v>
      </c>
      <c r="I152" s="28">
        <v>24881</v>
      </c>
      <c r="J152" s="9" t="s">
        <v>1187</v>
      </c>
      <c r="K152" s="11" t="s">
        <v>888</v>
      </c>
      <c r="L152" s="11" t="s">
        <v>1560</v>
      </c>
      <c r="M152" s="9">
        <v>55767</v>
      </c>
      <c r="N152" s="9">
        <v>5567534350</v>
      </c>
      <c r="O152" s="9">
        <v>57</v>
      </c>
      <c r="P152" s="9">
        <v>0</v>
      </c>
      <c r="Q152" s="9" t="s">
        <v>1262</v>
      </c>
      <c r="R152" s="9" t="s">
        <v>1037</v>
      </c>
      <c r="S152" s="9" t="s">
        <v>1343</v>
      </c>
      <c r="Z152"/>
    </row>
    <row r="153" spans="1:26" hidden="1">
      <c r="A153" s="5">
        <v>121</v>
      </c>
      <c r="B153" s="40" t="s">
        <v>439</v>
      </c>
      <c r="C153" s="24" t="s">
        <v>1672</v>
      </c>
      <c r="D153" s="2" t="s">
        <v>440</v>
      </c>
      <c r="E153" s="2" t="s">
        <v>441</v>
      </c>
      <c r="F153" s="7">
        <v>44935</v>
      </c>
      <c r="G153" s="16" t="s">
        <v>1256</v>
      </c>
      <c r="H153" s="10">
        <v>565.33185066247404</v>
      </c>
      <c r="I153" s="28">
        <v>24876</v>
      </c>
      <c r="J153" s="9" t="s">
        <v>1188</v>
      </c>
      <c r="K153" s="11" t="s">
        <v>889</v>
      </c>
      <c r="L153" s="11" t="s">
        <v>1415</v>
      </c>
      <c r="M153" s="9" t="s">
        <v>1013</v>
      </c>
      <c r="N153" s="9">
        <v>5554929685</v>
      </c>
      <c r="O153" s="9">
        <v>57</v>
      </c>
      <c r="P153" s="9">
        <v>3</v>
      </c>
      <c r="Q153" s="9" t="s">
        <v>1262</v>
      </c>
      <c r="R153" s="9" t="s">
        <v>1037</v>
      </c>
      <c r="S153" s="9" t="s">
        <v>1343</v>
      </c>
      <c r="Z153"/>
    </row>
    <row r="154" spans="1:26" hidden="1">
      <c r="A154" s="5">
        <v>76</v>
      </c>
      <c r="B154" s="40" t="s">
        <v>442</v>
      </c>
      <c r="C154" s="24" t="s">
        <v>1652</v>
      </c>
      <c r="D154" s="2" t="s">
        <v>443</v>
      </c>
      <c r="E154" s="2" t="s">
        <v>444</v>
      </c>
      <c r="F154" s="7">
        <v>44776</v>
      </c>
      <c r="G154" s="16" t="s">
        <v>1256</v>
      </c>
      <c r="H154" s="10">
        <v>611.97939164608101</v>
      </c>
      <c r="I154" s="28">
        <v>28473</v>
      </c>
      <c r="J154" s="9" t="s">
        <v>1189</v>
      </c>
      <c r="K154" s="11" t="s">
        <v>890</v>
      </c>
      <c r="L154" s="11" t="s">
        <v>1395</v>
      </c>
      <c r="M154" s="9">
        <v>56410</v>
      </c>
      <c r="N154" s="9">
        <v>5631055568</v>
      </c>
      <c r="O154" s="9">
        <v>47</v>
      </c>
      <c r="P154" s="9">
        <v>3</v>
      </c>
      <c r="Q154" s="9" t="s">
        <v>1262</v>
      </c>
      <c r="R154" s="9" t="s">
        <v>1310</v>
      </c>
      <c r="S154" s="9" t="s">
        <v>1343</v>
      </c>
      <c r="Z154"/>
    </row>
    <row r="155" spans="1:26" hidden="1">
      <c r="A155" s="5">
        <v>199</v>
      </c>
      <c r="B155" s="40" t="s">
        <v>445</v>
      </c>
      <c r="C155" s="24" t="s">
        <v>1707</v>
      </c>
      <c r="D155" s="2" t="s">
        <v>446</v>
      </c>
      <c r="E155" s="2" t="s">
        <v>447</v>
      </c>
      <c r="F155" s="7">
        <v>45140</v>
      </c>
      <c r="G155" s="16" t="s">
        <v>1256</v>
      </c>
      <c r="H155" s="10">
        <v>532.10232023355002</v>
      </c>
      <c r="I155" s="28">
        <v>30763</v>
      </c>
      <c r="J155" s="9" t="s">
        <v>1190</v>
      </c>
      <c r="K155" s="11" t="s">
        <v>891</v>
      </c>
      <c r="L155" s="11" t="s">
        <v>1450</v>
      </c>
      <c r="M155" s="9">
        <v>72730</v>
      </c>
      <c r="N155" s="9">
        <v>2271002231</v>
      </c>
      <c r="O155" s="9">
        <v>41</v>
      </c>
      <c r="P155" s="9">
        <v>2</v>
      </c>
      <c r="Q155" s="9" t="s">
        <v>1262</v>
      </c>
      <c r="R155" s="9" t="s">
        <v>1311</v>
      </c>
      <c r="S155" s="9" t="s">
        <v>1351</v>
      </c>
      <c r="Z155"/>
    </row>
    <row r="156" spans="1:26" hidden="1">
      <c r="A156" s="5">
        <v>523</v>
      </c>
      <c r="B156" s="40" t="s">
        <v>673</v>
      </c>
      <c r="C156" s="24" t="s">
        <v>1829</v>
      </c>
      <c r="D156" s="2" t="s">
        <v>674</v>
      </c>
      <c r="E156" s="2" t="s">
        <v>675</v>
      </c>
      <c r="F156" s="7">
        <v>46024</v>
      </c>
      <c r="G156" s="16" t="s">
        <v>1256</v>
      </c>
      <c r="H156" s="10">
        <v>330.576219178082</v>
      </c>
      <c r="I156" s="28">
        <v>32874</v>
      </c>
      <c r="J156" s="9" t="s">
        <v>1299</v>
      </c>
      <c r="K156" s="11" t="s">
        <v>967</v>
      </c>
      <c r="L156" s="11" t="s">
        <v>1565</v>
      </c>
      <c r="M156" s="9" t="s">
        <v>1319</v>
      </c>
      <c r="N156" s="9">
        <v>2214454403</v>
      </c>
      <c r="O156" s="9">
        <v>36</v>
      </c>
      <c r="P156" s="9">
        <v>0</v>
      </c>
      <c r="Q156" s="9" t="s">
        <v>1262</v>
      </c>
      <c r="R156" s="9" t="s">
        <v>1310</v>
      </c>
      <c r="S156" s="9" t="s">
        <v>738</v>
      </c>
      <c r="Z156"/>
    </row>
    <row r="157" spans="1:26" hidden="1">
      <c r="A157" s="5">
        <v>143</v>
      </c>
      <c r="B157" s="40" t="s">
        <v>448</v>
      </c>
      <c r="C157" s="24" t="s">
        <v>1683</v>
      </c>
      <c r="D157" s="2" t="s">
        <v>449</v>
      </c>
      <c r="E157" s="2" t="s">
        <v>450</v>
      </c>
      <c r="F157" s="7">
        <v>44985</v>
      </c>
      <c r="G157" s="16" t="s">
        <v>1256</v>
      </c>
      <c r="H157" s="10">
        <v>605.89313002470203</v>
      </c>
      <c r="I157" s="28">
        <v>32957</v>
      </c>
      <c r="J157" s="9" t="s">
        <v>1191</v>
      </c>
      <c r="K157" s="11" t="s">
        <v>892</v>
      </c>
      <c r="L157" s="11" t="s">
        <v>1426</v>
      </c>
      <c r="M157" s="9">
        <v>62320</v>
      </c>
      <c r="N157" s="9">
        <v>7773284997</v>
      </c>
      <c r="O157" s="9">
        <v>35</v>
      </c>
      <c r="P157" s="9">
        <v>2</v>
      </c>
      <c r="Q157" s="9" t="s">
        <v>1262</v>
      </c>
      <c r="R157" s="9" t="s">
        <v>1311</v>
      </c>
      <c r="S157" s="9" t="s">
        <v>1352</v>
      </c>
      <c r="Z157"/>
    </row>
    <row r="158" spans="1:26" hidden="1">
      <c r="A158" s="5">
        <v>316</v>
      </c>
      <c r="B158" s="40" t="s">
        <v>451</v>
      </c>
      <c r="C158" s="24" t="s">
        <v>1748</v>
      </c>
      <c r="D158" s="2" t="s">
        <v>452</v>
      </c>
      <c r="E158" s="2" t="s">
        <v>453</v>
      </c>
      <c r="F158" s="7">
        <v>45444</v>
      </c>
      <c r="G158" s="16" t="s">
        <v>1256</v>
      </c>
      <c r="H158" s="10">
        <v>580.323445542331</v>
      </c>
      <c r="I158" s="28">
        <v>28499</v>
      </c>
      <c r="J158" s="9" t="s">
        <v>1192</v>
      </c>
      <c r="K158" s="11" t="s">
        <v>893</v>
      </c>
      <c r="L158" s="11" t="s">
        <v>1489</v>
      </c>
      <c r="M158" s="9">
        <v>55030</v>
      </c>
      <c r="N158" s="9">
        <v>5511942544</v>
      </c>
      <c r="O158" s="9">
        <v>47</v>
      </c>
      <c r="P158" s="9">
        <v>1</v>
      </c>
      <c r="Q158" s="9" t="s">
        <v>1262</v>
      </c>
      <c r="R158" s="9" t="s">
        <v>1311</v>
      </c>
      <c r="S158" s="9" t="s">
        <v>1345</v>
      </c>
      <c r="Z158"/>
    </row>
    <row r="159" spans="1:26" hidden="1">
      <c r="A159" s="5">
        <v>138</v>
      </c>
      <c r="B159" s="40" t="s">
        <v>454</v>
      </c>
      <c r="C159" s="24" t="s">
        <v>1680</v>
      </c>
      <c r="D159" s="2" t="s">
        <v>455</v>
      </c>
      <c r="E159" s="2" t="s">
        <v>456</v>
      </c>
      <c r="F159" s="7">
        <v>44984</v>
      </c>
      <c r="G159" s="16" t="s">
        <v>1256</v>
      </c>
      <c r="H159" s="10">
        <v>614.38726999558105</v>
      </c>
      <c r="I159" s="28">
        <v>30567</v>
      </c>
      <c r="J159" s="9" t="s">
        <v>1193</v>
      </c>
      <c r="K159" s="11" t="s">
        <v>894</v>
      </c>
      <c r="L159" s="11" t="s">
        <v>1423</v>
      </c>
      <c r="M159" s="9">
        <v>53716</v>
      </c>
      <c r="N159" s="9">
        <v>5610113856</v>
      </c>
      <c r="O159" s="9">
        <v>42</v>
      </c>
      <c r="P159" s="9">
        <v>2</v>
      </c>
      <c r="Q159" s="9" t="s">
        <v>1262</v>
      </c>
      <c r="R159" s="9" t="s">
        <v>1311</v>
      </c>
      <c r="S159" s="9" t="s">
        <v>1345</v>
      </c>
      <c r="Z159"/>
    </row>
    <row r="160" spans="1:26" hidden="1">
      <c r="A160" s="5">
        <v>503</v>
      </c>
      <c r="B160" s="40" t="s">
        <v>457</v>
      </c>
      <c r="C160" s="24" t="s">
        <v>1819</v>
      </c>
      <c r="D160" s="2" t="s">
        <v>458</v>
      </c>
      <c r="E160" s="2" t="s">
        <v>459</v>
      </c>
      <c r="F160" s="7">
        <v>45876</v>
      </c>
      <c r="G160" s="16" t="s">
        <v>1256</v>
      </c>
      <c r="H160" s="10">
        <v>595.62572737480298</v>
      </c>
      <c r="I160" s="28">
        <v>25683</v>
      </c>
      <c r="J160" s="9" t="s">
        <v>1194</v>
      </c>
      <c r="K160" s="11" t="s">
        <v>895</v>
      </c>
      <c r="L160" s="11" t="s">
        <v>1556</v>
      </c>
      <c r="M160" s="9">
        <v>45670</v>
      </c>
      <c r="N160" s="9">
        <v>3312196178</v>
      </c>
      <c r="O160" s="9">
        <v>55</v>
      </c>
      <c r="P160" s="9">
        <v>0</v>
      </c>
      <c r="Q160" s="9" t="s">
        <v>1262</v>
      </c>
      <c r="R160" s="9" t="s">
        <v>1311</v>
      </c>
      <c r="S160" s="9" t="s">
        <v>1343</v>
      </c>
      <c r="Z160"/>
    </row>
    <row r="161" spans="1:26" hidden="1">
      <c r="A161" s="5">
        <v>575</v>
      </c>
      <c r="B161" s="40" t="s">
        <v>676</v>
      </c>
      <c r="C161" s="24" t="s">
        <v>1857</v>
      </c>
      <c r="D161" s="2" t="s">
        <v>677</v>
      </c>
      <c r="E161" s="2" t="s">
        <v>678</v>
      </c>
      <c r="F161" s="7">
        <v>46043</v>
      </c>
      <c r="G161" s="16" t="s">
        <v>1256</v>
      </c>
      <c r="H161" s="10">
        <v>330.576219178082</v>
      </c>
      <c r="I161" s="28">
        <v>31683</v>
      </c>
      <c r="J161" s="9" t="s">
        <v>1300</v>
      </c>
      <c r="K161" s="11" t="s">
        <v>968</v>
      </c>
      <c r="L161" s="11" t="s">
        <v>1588</v>
      </c>
      <c r="M161" s="9" t="s">
        <v>1331</v>
      </c>
      <c r="N161" s="9">
        <v>5614224221</v>
      </c>
      <c r="O161" s="9">
        <v>39</v>
      </c>
      <c r="P161" s="9">
        <v>0</v>
      </c>
      <c r="Q161" s="9" t="s">
        <v>1262</v>
      </c>
      <c r="R161" s="9" t="s">
        <v>1310</v>
      </c>
      <c r="S161" s="9" t="s">
        <v>1343</v>
      </c>
      <c r="Z161"/>
    </row>
    <row r="162" spans="1:26" hidden="1">
      <c r="A162" s="5">
        <v>441</v>
      </c>
      <c r="B162" s="40" t="s">
        <v>460</v>
      </c>
      <c r="C162" s="24" t="s">
        <v>1789</v>
      </c>
      <c r="D162" s="2" t="s">
        <v>461</v>
      </c>
      <c r="E162" s="2" t="s">
        <v>462</v>
      </c>
      <c r="F162" s="7">
        <v>45737</v>
      </c>
      <c r="G162" s="16" t="s">
        <v>1256</v>
      </c>
      <c r="H162" s="10">
        <v>611.88556344037704</v>
      </c>
      <c r="I162" s="28">
        <v>27568</v>
      </c>
      <c r="J162" s="9" t="s">
        <v>1195</v>
      </c>
      <c r="K162" s="11" t="s">
        <v>896</v>
      </c>
      <c r="L162" s="11" t="s">
        <v>1527</v>
      </c>
      <c r="M162" s="9">
        <v>76087</v>
      </c>
      <c r="N162" s="9">
        <v>4422732403</v>
      </c>
      <c r="O162" s="9">
        <v>50</v>
      </c>
      <c r="P162" s="9">
        <v>0</v>
      </c>
      <c r="Q162" s="9" t="s">
        <v>1262</v>
      </c>
      <c r="R162" s="9" t="s">
        <v>1311</v>
      </c>
      <c r="S162" s="9" t="s">
        <v>740</v>
      </c>
      <c r="Z162"/>
    </row>
    <row r="163" spans="1:26" hidden="1">
      <c r="A163" s="5">
        <v>184</v>
      </c>
      <c r="B163" s="40" t="s">
        <v>463</v>
      </c>
      <c r="C163" s="24" t="s">
        <v>1701</v>
      </c>
      <c r="D163" s="2" t="s">
        <v>464</v>
      </c>
      <c r="E163" s="2" t="s">
        <v>465</v>
      </c>
      <c r="F163" s="7">
        <v>45125</v>
      </c>
      <c r="G163" s="16" t="s">
        <v>1256</v>
      </c>
      <c r="H163" s="10">
        <v>573.50674646305799</v>
      </c>
      <c r="I163" s="28">
        <v>30063</v>
      </c>
      <c r="J163" s="9" t="s">
        <v>1196</v>
      </c>
      <c r="K163" s="11" t="s">
        <v>897</v>
      </c>
      <c r="L163" s="11" t="s">
        <v>1444</v>
      </c>
      <c r="M163" s="9">
        <v>55720</v>
      </c>
      <c r="N163" s="9">
        <v>5532410792</v>
      </c>
      <c r="O163" s="9">
        <v>43</v>
      </c>
      <c r="P163" s="9">
        <v>2</v>
      </c>
      <c r="Q163" s="9" t="s">
        <v>1262</v>
      </c>
      <c r="R163" s="9" t="s">
        <v>1311</v>
      </c>
      <c r="S163" s="9" t="s">
        <v>1345</v>
      </c>
      <c r="Z163"/>
    </row>
    <row r="164" spans="1:26" hidden="1">
      <c r="A164" s="5">
        <v>481</v>
      </c>
      <c r="B164" s="40" t="s">
        <v>331</v>
      </c>
      <c r="C164" s="24" t="s">
        <v>1806</v>
      </c>
      <c r="D164" s="2" t="s">
        <v>332</v>
      </c>
      <c r="E164" s="2" t="s">
        <v>333</v>
      </c>
      <c r="F164" s="7">
        <v>45750</v>
      </c>
      <c r="G164" s="16" t="s">
        <v>1256</v>
      </c>
      <c r="H164" s="10">
        <v>560.35160141405197</v>
      </c>
      <c r="I164" s="28">
        <v>38062</v>
      </c>
      <c r="J164" s="9" t="s">
        <v>1152</v>
      </c>
      <c r="K164" s="11" t="s">
        <v>853</v>
      </c>
      <c r="L164" s="11" t="s">
        <v>1543</v>
      </c>
      <c r="M164" s="9">
        <v>82139</v>
      </c>
      <c r="N164" s="9">
        <v>6692600925</v>
      </c>
      <c r="O164" s="9">
        <v>21</v>
      </c>
      <c r="P164" s="9">
        <v>0</v>
      </c>
      <c r="Q164" s="9" t="s">
        <v>1263</v>
      </c>
      <c r="R164" s="9" t="s">
        <v>1045</v>
      </c>
      <c r="S164" s="9" t="s">
        <v>736</v>
      </c>
      <c r="Z164"/>
    </row>
    <row r="165" spans="1:26" hidden="1">
      <c r="A165" s="5">
        <v>278</v>
      </c>
      <c r="B165" s="40" t="s">
        <v>469</v>
      </c>
      <c r="C165" s="24" t="s">
        <v>1733</v>
      </c>
      <c r="D165" s="2" t="s">
        <v>470</v>
      </c>
      <c r="E165" s="2" t="s">
        <v>471</v>
      </c>
      <c r="F165" s="7">
        <v>46034</v>
      </c>
      <c r="G165" s="16" t="s">
        <v>1256</v>
      </c>
      <c r="H165" s="10">
        <v>330.576219178082</v>
      </c>
      <c r="I165" s="28">
        <v>28989</v>
      </c>
      <c r="J165" s="9" t="s">
        <v>1199</v>
      </c>
      <c r="K165" s="11" t="s">
        <v>899</v>
      </c>
      <c r="L165" s="11" t="s">
        <v>979</v>
      </c>
      <c r="M165" s="9" t="s">
        <v>1325</v>
      </c>
      <c r="N165" s="9">
        <v>5622105658</v>
      </c>
      <c r="O165" s="9">
        <v>46</v>
      </c>
      <c r="P165" s="9">
        <v>1</v>
      </c>
      <c r="Q165" s="9" t="s">
        <v>1262</v>
      </c>
      <c r="R165" s="9" t="s">
        <v>1310</v>
      </c>
      <c r="S165" s="9" t="s">
        <v>1343</v>
      </c>
      <c r="Z165"/>
    </row>
    <row r="166" spans="1:26" hidden="1">
      <c r="A166" s="5">
        <v>396</v>
      </c>
      <c r="B166" s="40" t="s">
        <v>472</v>
      </c>
      <c r="C166" s="24" t="s">
        <v>1771</v>
      </c>
      <c r="D166" s="2" t="s">
        <v>473</v>
      </c>
      <c r="E166" s="2" t="s">
        <v>474</v>
      </c>
      <c r="F166" s="7">
        <v>45644</v>
      </c>
      <c r="G166" s="16" t="s">
        <v>1256</v>
      </c>
      <c r="H166" s="10">
        <v>612.60557668987201</v>
      </c>
      <c r="I166" s="28">
        <v>33216</v>
      </c>
      <c r="J166" s="9" t="s">
        <v>1200</v>
      </c>
      <c r="K166" s="11" t="s">
        <v>900</v>
      </c>
      <c r="L166" s="11" t="s">
        <v>1511</v>
      </c>
      <c r="M166" s="9">
        <v>44769</v>
      </c>
      <c r="N166" s="9">
        <v>3311722508</v>
      </c>
      <c r="O166" s="9">
        <v>34</v>
      </c>
      <c r="P166" s="9">
        <v>1</v>
      </c>
      <c r="Q166" s="9" t="s">
        <v>1262</v>
      </c>
      <c r="R166" s="9" t="s">
        <v>1311</v>
      </c>
      <c r="S166" s="9" t="s">
        <v>1344</v>
      </c>
      <c r="Z166"/>
    </row>
    <row r="167" spans="1:26" hidden="1">
      <c r="A167" s="5">
        <v>131</v>
      </c>
      <c r="B167" s="40" t="s">
        <v>475</v>
      </c>
      <c r="C167" s="24" t="s">
        <v>1677</v>
      </c>
      <c r="D167" s="2" t="s">
        <v>476</v>
      </c>
      <c r="E167" s="2" t="s">
        <v>477</v>
      </c>
      <c r="F167" s="7">
        <v>44977</v>
      </c>
      <c r="G167" s="16" t="s">
        <v>1256</v>
      </c>
      <c r="H167" s="10">
        <v>673.81017920502995</v>
      </c>
      <c r="I167" s="28">
        <v>33628</v>
      </c>
      <c r="J167" s="9" t="s">
        <v>1201</v>
      </c>
      <c r="K167" s="11" t="s">
        <v>901</v>
      </c>
      <c r="L167" s="11" t="s">
        <v>1420</v>
      </c>
      <c r="M167" s="9">
        <v>83170</v>
      </c>
      <c r="N167" s="9">
        <v>6622883775</v>
      </c>
      <c r="O167" s="9">
        <v>33</v>
      </c>
      <c r="P167" s="9">
        <v>2</v>
      </c>
      <c r="Q167" s="9" t="s">
        <v>1262</v>
      </c>
      <c r="R167" s="9" t="s">
        <v>1311</v>
      </c>
      <c r="S167" s="9" t="s">
        <v>737</v>
      </c>
      <c r="Z167"/>
    </row>
    <row r="168" spans="1:26" hidden="1">
      <c r="A168" s="5">
        <v>202</v>
      </c>
      <c r="B168" s="40" t="s">
        <v>400</v>
      </c>
      <c r="C168" s="24" t="s">
        <v>1708</v>
      </c>
      <c r="D168" s="2" t="s">
        <v>401</v>
      </c>
      <c r="E168" s="2" t="s">
        <v>402</v>
      </c>
      <c r="F168" s="7">
        <v>45147</v>
      </c>
      <c r="G168" s="16" t="s">
        <v>1256</v>
      </c>
      <c r="H168" s="10">
        <v>557.56049580203205</v>
      </c>
      <c r="I168" s="28">
        <v>31360</v>
      </c>
      <c r="J168" s="9" t="s">
        <v>1175</v>
      </c>
      <c r="K168" s="11" t="s">
        <v>876</v>
      </c>
      <c r="L168" s="11" t="s">
        <v>1451</v>
      </c>
      <c r="M168" s="9">
        <v>54477</v>
      </c>
      <c r="N168" s="9">
        <v>5621449883</v>
      </c>
      <c r="O168" s="9">
        <v>40</v>
      </c>
      <c r="P168" s="9">
        <v>2</v>
      </c>
      <c r="Q168" s="9" t="s">
        <v>1262</v>
      </c>
      <c r="R168" s="9" t="s">
        <v>1310</v>
      </c>
      <c r="S168" s="9" t="s">
        <v>1345</v>
      </c>
      <c r="Z168"/>
    </row>
    <row r="169" spans="1:26" hidden="1">
      <c r="A169" s="5">
        <v>87</v>
      </c>
      <c r="B169" s="40" t="s">
        <v>481</v>
      </c>
      <c r="C169" s="24" t="s">
        <v>1658</v>
      </c>
      <c r="D169" s="2" t="s">
        <v>482</v>
      </c>
      <c r="E169" s="2" t="s">
        <v>483</v>
      </c>
      <c r="F169" s="7">
        <v>44798</v>
      </c>
      <c r="G169" s="16" t="s">
        <v>1256</v>
      </c>
      <c r="H169" s="10">
        <v>638.99775230181899</v>
      </c>
      <c r="I169" s="28">
        <v>32926</v>
      </c>
      <c r="J169" s="9" t="s">
        <v>1203</v>
      </c>
      <c r="K169" s="11" t="s">
        <v>903</v>
      </c>
      <c r="L169" s="11" t="s">
        <v>1401</v>
      </c>
      <c r="M169" s="9">
        <v>72494</v>
      </c>
      <c r="N169" s="9">
        <v>2229175933</v>
      </c>
      <c r="O169" s="9">
        <v>35</v>
      </c>
      <c r="P169" s="9">
        <v>3</v>
      </c>
      <c r="Q169" s="9" t="s">
        <v>1262</v>
      </c>
      <c r="R169" s="9" t="s">
        <v>1310</v>
      </c>
      <c r="S169" s="9" t="s">
        <v>738</v>
      </c>
      <c r="Z169"/>
    </row>
    <row r="170" spans="1:26" hidden="1">
      <c r="A170" s="5">
        <v>535</v>
      </c>
      <c r="B170" s="40" t="s">
        <v>679</v>
      </c>
      <c r="C170" s="24" t="s">
        <v>1833</v>
      </c>
      <c r="D170" s="2" t="s">
        <v>680</v>
      </c>
      <c r="E170" s="2" t="s">
        <v>681</v>
      </c>
      <c r="F170" s="7">
        <v>46032</v>
      </c>
      <c r="G170" s="16" t="s">
        <v>1256</v>
      </c>
      <c r="H170" s="10">
        <v>330.576219178082</v>
      </c>
      <c r="I170" s="28">
        <v>32660</v>
      </c>
      <c r="J170" s="7" t="s">
        <v>1264</v>
      </c>
      <c r="K170" s="11" t="s">
        <v>969</v>
      </c>
      <c r="L170" s="11" t="s">
        <v>1569</v>
      </c>
      <c r="M170" s="9" t="s">
        <v>1332</v>
      </c>
      <c r="N170" s="9">
        <v>8184729626</v>
      </c>
      <c r="O170" s="9">
        <v>36</v>
      </c>
      <c r="P170" s="9">
        <v>0</v>
      </c>
      <c r="Q170" s="9" t="s">
        <v>1262</v>
      </c>
      <c r="R170" s="9" t="s">
        <v>1310</v>
      </c>
      <c r="S170" s="9" t="s">
        <v>1347</v>
      </c>
      <c r="Z170"/>
    </row>
    <row r="171" spans="1:26" hidden="1">
      <c r="A171" s="5">
        <v>364</v>
      </c>
      <c r="B171" s="40" t="s">
        <v>484</v>
      </c>
      <c r="C171" s="24" t="s">
        <v>1764</v>
      </c>
      <c r="D171" s="2" t="s">
        <v>485</v>
      </c>
      <c r="E171" s="2" t="s">
        <v>486</v>
      </c>
      <c r="F171" s="7">
        <v>45537</v>
      </c>
      <c r="G171" s="16" t="s">
        <v>1256</v>
      </c>
      <c r="H171" s="10">
        <v>660.32131439478997</v>
      </c>
      <c r="I171" s="28">
        <v>30306</v>
      </c>
      <c r="J171" s="9" t="s">
        <v>1204</v>
      </c>
      <c r="K171" s="11" t="s">
        <v>904</v>
      </c>
      <c r="L171" s="11" t="s">
        <v>1504</v>
      </c>
      <c r="M171" s="9">
        <v>76140</v>
      </c>
      <c r="N171" s="9">
        <v>4423942293</v>
      </c>
      <c r="O171" s="9">
        <v>42</v>
      </c>
      <c r="P171" s="9">
        <v>1</v>
      </c>
      <c r="Q171" s="9" t="s">
        <v>1262</v>
      </c>
      <c r="R171" s="9" t="s">
        <v>1311</v>
      </c>
      <c r="S171" s="9" t="s">
        <v>740</v>
      </c>
      <c r="Z171"/>
    </row>
    <row r="172" spans="1:26" hidden="1">
      <c r="A172" s="5">
        <v>548</v>
      </c>
      <c r="B172" s="40" t="s">
        <v>700</v>
      </c>
      <c r="C172" s="24" t="s">
        <v>1842</v>
      </c>
      <c r="D172" s="2" t="s">
        <v>701</v>
      </c>
      <c r="E172" s="2" t="s">
        <v>702</v>
      </c>
      <c r="F172" s="7">
        <v>46034</v>
      </c>
      <c r="G172" s="16" t="s">
        <v>1256</v>
      </c>
      <c r="H172" s="10">
        <v>330.576219178082</v>
      </c>
      <c r="I172" s="28">
        <v>32420</v>
      </c>
      <c r="J172" s="9" t="s">
        <v>1298</v>
      </c>
      <c r="K172" s="16" t="s">
        <v>1260</v>
      </c>
      <c r="L172" s="11" t="s">
        <v>1577</v>
      </c>
      <c r="M172" s="9" t="s">
        <v>1330</v>
      </c>
      <c r="N172" s="9">
        <v>5631992306</v>
      </c>
      <c r="O172" s="9">
        <v>37</v>
      </c>
      <c r="P172" s="9">
        <v>0</v>
      </c>
      <c r="Q172" s="9" t="s">
        <v>1263</v>
      </c>
      <c r="R172" s="9" t="s">
        <v>1310</v>
      </c>
      <c r="S172" s="9" t="s">
        <v>1349</v>
      </c>
      <c r="Z172"/>
    </row>
    <row r="173" spans="1:26" hidden="1">
      <c r="A173" s="5">
        <v>153</v>
      </c>
      <c r="B173" s="40" t="s">
        <v>490</v>
      </c>
      <c r="C173" s="24" t="s">
        <v>1689</v>
      </c>
      <c r="D173" s="2" t="s">
        <v>491</v>
      </c>
      <c r="E173" s="2" t="s">
        <v>492</v>
      </c>
      <c r="F173" s="7">
        <v>44995</v>
      </c>
      <c r="G173" s="16" t="s">
        <v>1256</v>
      </c>
      <c r="H173" s="10">
        <v>623.69592679092705</v>
      </c>
      <c r="I173" s="28">
        <v>30962</v>
      </c>
      <c r="J173" s="9" t="s">
        <v>1206</v>
      </c>
      <c r="K173" s="11" t="s">
        <v>906</v>
      </c>
      <c r="L173" s="11" t="s">
        <v>1432</v>
      </c>
      <c r="M173" s="9">
        <v>45412</v>
      </c>
      <c r="N173" s="9">
        <v>3334512840</v>
      </c>
      <c r="O173" s="9">
        <v>41</v>
      </c>
      <c r="P173" s="9">
        <v>2</v>
      </c>
      <c r="Q173" s="9" t="s">
        <v>1262</v>
      </c>
      <c r="R173" s="9" t="s">
        <v>1311</v>
      </c>
      <c r="S173" s="9" t="s">
        <v>1344</v>
      </c>
      <c r="Z173"/>
    </row>
    <row r="174" spans="1:26" hidden="1">
      <c r="A174" s="5">
        <v>365</v>
      </c>
      <c r="B174" s="40" t="s">
        <v>493</v>
      </c>
      <c r="C174" s="24" t="s">
        <v>1765</v>
      </c>
      <c r="D174" s="2" t="s">
        <v>494</v>
      </c>
      <c r="E174" s="2" t="s">
        <v>495</v>
      </c>
      <c r="F174" s="7">
        <v>45548</v>
      </c>
      <c r="G174" s="16" t="s">
        <v>1256</v>
      </c>
      <c r="H174" s="10">
        <v>580.79115046036304</v>
      </c>
      <c r="I174" s="28">
        <v>29814</v>
      </c>
      <c r="J174" s="9" t="s">
        <v>1207</v>
      </c>
      <c r="K174" s="11" t="s">
        <v>907</v>
      </c>
      <c r="L174" s="11" t="s">
        <v>1505</v>
      </c>
      <c r="M174" s="9">
        <v>57150</v>
      </c>
      <c r="N174" s="9">
        <v>5516243960</v>
      </c>
      <c r="O174" s="9">
        <v>44</v>
      </c>
      <c r="P174" s="9">
        <v>1</v>
      </c>
      <c r="Q174" s="9" t="s">
        <v>1262</v>
      </c>
      <c r="R174" s="9" t="s">
        <v>1311</v>
      </c>
      <c r="S174" s="9" t="s">
        <v>1352</v>
      </c>
      <c r="Z174"/>
    </row>
    <row r="175" spans="1:26" hidden="1">
      <c r="A175" s="5">
        <v>166</v>
      </c>
      <c r="B175" s="40" t="s">
        <v>496</v>
      </c>
      <c r="C175" s="24" t="s">
        <v>1695</v>
      </c>
      <c r="D175" s="2" t="s">
        <v>497</v>
      </c>
      <c r="E175" s="2" t="s">
        <v>498</v>
      </c>
      <c r="F175" s="7">
        <v>45016</v>
      </c>
      <c r="G175" s="16" t="s">
        <v>1256</v>
      </c>
      <c r="H175" s="10">
        <v>559.61576285650096</v>
      </c>
      <c r="I175" s="28">
        <v>37737</v>
      </c>
      <c r="J175" s="9" t="s">
        <v>1208</v>
      </c>
      <c r="K175" s="11" t="s">
        <v>908</v>
      </c>
      <c r="L175" s="11" t="s">
        <v>1438</v>
      </c>
      <c r="M175" s="9" t="s">
        <v>999</v>
      </c>
      <c r="N175" s="9">
        <v>5610335242</v>
      </c>
      <c r="O175" s="9">
        <v>22</v>
      </c>
      <c r="P175" s="9">
        <v>2</v>
      </c>
      <c r="Q175" s="9" t="s">
        <v>1262</v>
      </c>
      <c r="R175" s="9" t="s">
        <v>1037</v>
      </c>
      <c r="S175" s="9" t="s">
        <v>1343</v>
      </c>
      <c r="Z175"/>
    </row>
    <row r="176" spans="1:26" hidden="1">
      <c r="A176" s="5">
        <v>73</v>
      </c>
      <c r="B176" s="40" t="s">
        <v>499</v>
      </c>
      <c r="C176" s="24" t="s">
        <v>1649</v>
      </c>
      <c r="D176" s="2" t="s">
        <v>500</v>
      </c>
      <c r="E176" s="2" t="s">
        <v>501</v>
      </c>
      <c r="F176" s="7">
        <v>46034</v>
      </c>
      <c r="G176" s="16" t="s">
        <v>1256</v>
      </c>
      <c r="H176" s="10">
        <v>330.576219178082</v>
      </c>
      <c r="I176" s="28">
        <v>35801</v>
      </c>
      <c r="J176" s="9" t="s">
        <v>1209</v>
      </c>
      <c r="K176" s="11" t="s">
        <v>909</v>
      </c>
      <c r="L176" s="11" t="s">
        <v>1392</v>
      </c>
      <c r="M176" s="9" t="s">
        <v>1333</v>
      </c>
      <c r="N176" s="9">
        <v>5583271204</v>
      </c>
      <c r="O176" s="9">
        <v>27</v>
      </c>
      <c r="P176" s="9">
        <v>3</v>
      </c>
      <c r="Q176" s="9" t="s">
        <v>1262</v>
      </c>
      <c r="R176" s="9" t="s">
        <v>1037</v>
      </c>
      <c r="S176" s="9" t="s">
        <v>1343</v>
      </c>
      <c r="Z176"/>
    </row>
    <row r="177" spans="1:26" hidden="1">
      <c r="A177" s="5">
        <v>195</v>
      </c>
      <c r="B177" s="40" t="s">
        <v>505</v>
      </c>
      <c r="C177" s="24" t="s">
        <v>1704</v>
      </c>
      <c r="D177" s="2" t="s">
        <v>506</v>
      </c>
      <c r="E177" s="2" t="s">
        <v>507</v>
      </c>
      <c r="F177" s="7">
        <v>45140</v>
      </c>
      <c r="G177" s="16" t="s">
        <v>1256</v>
      </c>
      <c r="H177" s="10">
        <v>486.42494318437002</v>
      </c>
      <c r="I177" s="28">
        <v>34570</v>
      </c>
      <c r="J177" s="9" t="s">
        <v>1211</v>
      </c>
      <c r="K177" s="11" t="s">
        <v>911</v>
      </c>
      <c r="L177" s="11" t="s">
        <v>1447</v>
      </c>
      <c r="M177" s="9" t="s">
        <v>1015</v>
      </c>
      <c r="N177" s="9">
        <v>5573235533</v>
      </c>
      <c r="O177" s="9">
        <v>31</v>
      </c>
      <c r="P177" s="9">
        <v>2</v>
      </c>
      <c r="Q177" s="9" t="s">
        <v>1262</v>
      </c>
      <c r="R177" s="9" t="s">
        <v>1311</v>
      </c>
      <c r="S177" s="9" t="s">
        <v>1343</v>
      </c>
      <c r="Z177"/>
    </row>
    <row r="178" spans="1:26" hidden="1">
      <c r="A178" s="5">
        <v>237</v>
      </c>
      <c r="B178" s="40" t="s">
        <v>508</v>
      </c>
      <c r="C178" s="24" t="s">
        <v>1722</v>
      </c>
      <c r="D178" s="2" t="s">
        <v>509</v>
      </c>
      <c r="E178" s="2" t="s">
        <v>510</v>
      </c>
      <c r="F178" s="7">
        <v>46030</v>
      </c>
      <c r="G178" s="16" t="s">
        <v>1256</v>
      </c>
      <c r="H178" s="10">
        <v>330.576219178082</v>
      </c>
      <c r="I178" s="28">
        <v>25803</v>
      </c>
      <c r="J178" s="9" t="s">
        <v>1212</v>
      </c>
      <c r="K178" s="11" t="s">
        <v>912</v>
      </c>
      <c r="L178" s="11" t="s">
        <v>1465</v>
      </c>
      <c r="M178" s="9" t="s">
        <v>1334</v>
      </c>
      <c r="N178" s="9">
        <v>8135814136</v>
      </c>
      <c r="O178" s="9">
        <v>55</v>
      </c>
      <c r="P178" s="9">
        <v>2</v>
      </c>
      <c r="Q178" s="9" t="s">
        <v>1262</v>
      </c>
      <c r="R178" s="9" t="s">
        <v>1310</v>
      </c>
      <c r="S178" s="9" t="s">
        <v>1347</v>
      </c>
      <c r="Z178"/>
    </row>
    <row r="179" spans="1:26" hidden="1">
      <c r="A179" s="5">
        <v>99</v>
      </c>
      <c r="B179" s="40" t="s">
        <v>511</v>
      </c>
      <c r="C179" s="24" t="s">
        <v>1663</v>
      </c>
      <c r="D179" s="2" t="s">
        <v>512</v>
      </c>
      <c r="E179" s="2" t="s">
        <v>513</v>
      </c>
      <c r="F179" s="7">
        <v>44835</v>
      </c>
      <c r="G179" s="16" t="s">
        <v>1256</v>
      </c>
      <c r="H179" s="10">
        <v>563.41644082640903</v>
      </c>
      <c r="I179" s="28">
        <v>26271</v>
      </c>
      <c r="J179" s="9" t="s">
        <v>1213</v>
      </c>
      <c r="K179" s="11" t="s">
        <v>913</v>
      </c>
      <c r="L179" s="11" t="s">
        <v>1406</v>
      </c>
      <c r="M179" s="9">
        <v>54910</v>
      </c>
      <c r="N179" s="9">
        <v>5572181802</v>
      </c>
      <c r="O179" s="9">
        <v>54</v>
      </c>
      <c r="P179" s="9">
        <v>3</v>
      </c>
      <c r="Q179" s="9" t="s">
        <v>1262</v>
      </c>
      <c r="R179" s="9" t="s">
        <v>1311</v>
      </c>
      <c r="S179" s="9" t="s">
        <v>1343</v>
      </c>
      <c r="Z179"/>
    </row>
    <row r="180" spans="1:26" hidden="1">
      <c r="A180" s="5">
        <v>413</v>
      </c>
      <c r="B180" s="40" t="s">
        <v>514</v>
      </c>
      <c r="C180" s="24" t="s">
        <v>1777</v>
      </c>
      <c r="D180" s="2" t="s">
        <v>515</v>
      </c>
      <c r="E180" s="2" t="s">
        <v>516</v>
      </c>
      <c r="F180" s="7">
        <v>45672</v>
      </c>
      <c r="G180" s="16" t="s">
        <v>1256</v>
      </c>
      <c r="H180" s="10">
        <v>598.62574062429803</v>
      </c>
      <c r="I180" s="28">
        <v>29828</v>
      </c>
      <c r="J180" s="9" t="s">
        <v>1214</v>
      </c>
      <c r="K180" s="11" t="s">
        <v>914</v>
      </c>
      <c r="L180" s="11" t="s">
        <v>1517</v>
      </c>
      <c r="M180" s="9">
        <v>45412</v>
      </c>
      <c r="N180" s="9">
        <v>3331180879</v>
      </c>
      <c r="O180" s="9">
        <v>44</v>
      </c>
      <c r="P180" s="9">
        <v>1</v>
      </c>
      <c r="Q180" s="9" t="s">
        <v>1262</v>
      </c>
      <c r="R180" s="9" t="s">
        <v>1310</v>
      </c>
      <c r="S180" s="9" t="s">
        <v>1247</v>
      </c>
      <c r="Z180"/>
    </row>
    <row r="181" spans="1:26" hidden="1">
      <c r="A181" s="5">
        <v>126</v>
      </c>
      <c r="B181" s="40" t="s">
        <v>682</v>
      </c>
      <c r="C181" s="24" t="s">
        <v>1676</v>
      </c>
      <c r="D181" s="2" t="s">
        <v>683</v>
      </c>
      <c r="E181" s="2" t="s">
        <v>684</v>
      </c>
      <c r="F181" s="7">
        <v>46034</v>
      </c>
      <c r="G181" s="16" t="s">
        <v>1256</v>
      </c>
      <c r="H181" s="10">
        <v>330.576219178082</v>
      </c>
      <c r="I181" s="28">
        <v>34578</v>
      </c>
      <c r="J181" s="9" t="s">
        <v>1259</v>
      </c>
      <c r="K181" s="11" t="s">
        <v>970</v>
      </c>
      <c r="L181" s="11" t="s">
        <v>1419</v>
      </c>
      <c r="M181" s="9">
        <v>9780</v>
      </c>
      <c r="N181" s="9">
        <v>5541285404</v>
      </c>
      <c r="O181" s="9">
        <v>31</v>
      </c>
      <c r="P181" s="9">
        <v>0</v>
      </c>
      <c r="Q181" s="9" t="s">
        <v>1262</v>
      </c>
      <c r="R181" s="9" t="s">
        <v>1310</v>
      </c>
      <c r="S181" s="9" t="s">
        <v>1343</v>
      </c>
      <c r="Z181"/>
    </row>
    <row r="182" spans="1:26" hidden="1">
      <c r="A182" s="5">
        <v>173</v>
      </c>
      <c r="B182" s="40" t="s">
        <v>517</v>
      </c>
      <c r="C182" s="24" t="s">
        <v>1697</v>
      </c>
      <c r="D182" s="2" t="s">
        <v>518</v>
      </c>
      <c r="E182" s="2" t="s">
        <v>519</v>
      </c>
      <c r="F182" s="7">
        <v>45034</v>
      </c>
      <c r="G182" s="16" t="s">
        <v>1256</v>
      </c>
      <c r="H182" s="10">
        <v>625.56952806009701</v>
      </c>
      <c r="I182" s="28">
        <v>26312</v>
      </c>
      <c r="J182" s="9" t="s">
        <v>1215</v>
      </c>
      <c r="K182" s="11" t="s">
        <v>915</v>
      </c>
      <c r="L182" s="11" t="s">
        <v>1440</v>
      </c>
      <c r="M182" s="9">
        <v>11200</v>
      </c>
      <c r="N182" s="9">
        <v>5554522041</v>
      </c>
      <c r="O182" s="9">
        <v>53</v>
      </c>
      <c r="P182" s="9">
        <v>2</v>
      </c>
      <c r="Q182" s="9" t="s">
        <v>1262</v>
      </c>
      <c r="R182" s="9" t="s">
        <v>1311</v>
      </c>
      <c r="S182" s="9" t="s">
        <v>1343</v>
      </c>
      <c r="Z182"/>
    </row>
    <row r="183" spans="1:26" hidden="1">
      <c r="A183" s="5">
        <v>394</v>
      </c>
      <c r="B183" s="40" t="s">
        <v>523</v>
      </c>
      <c r="C183" s="24" t="s">
        <v>1770</v>
      </c>
      <c r="D183" s="2" t="s">
        <v>524</v>
      </c>
      <c r="E183" s="2" t="s">
        <v>525</v>
      </c>
      <c r="F183" s="7">
        <v>45643</v>
      </c>
      <c r="G183" s="16" t="s">
        <v>1256</v>
      </c>
      <c r="H183" s="10">
        <v>692.41983898495403</v>
      </c>
      <c r="I183" s="28">
        <v>29040</v>
      </c>
      <c r="J183" s="9" t="s">
        <v>1217</v>
      </c>
      <c r="K183" s="11" t="s">
        <v>917</v>
      </c>
      <c r="L183" s="11" t="s">
        <v>1510</v>
      </c>
      <c r="M183" s="9">
        <v>72590</v>
      </c>
      <c r="N183" s="9">
        <v>2223131732</v>
      </c>
      <c r="O183" s="9">
        <v>46</v>
      </c>
      <c r="P183" s="9">
        <v>1</v>
      </c>
      <c r="Q183" s="9" t="s">
        <v>1262</v>
      </c>
      <c r="R183" s="9" t="s">
        <v>1311</v>
      </c>
      <c r="S183" s="9" t="s">
        <v>738</v>
      </c>
      <c r="Z183"/>
    </row>
    <row r="184" spans="1:26" hidden="1">
      <c r="A184" s="5">
        <v>307</v>
      </c>
      <c r="B184" s="40" t="s">
        <v>526</v>
      </c>
      <c r="C184" s="24" t="s">
        <v>1745</v>
      </c>
      <c r="D184" s="2" t="s">
        <v>527</v>
      </c>
      <c r="E184" s="2" t="s">
        <v>528</v>
      </c>
      <c r="F184" s="7">
        <v>45401</v>
      </c>
      <c r="G184" s="16" t="s">
        <v>1256</v>
      </c>
      <c r="H184" s="10">
        <v>512.53016685380601</v>
      </c>
      <c r="I184" s="28">
        <v>29493</v>
      </c>
      <c r="J184" s="9" t="s">
        <v>1218</v>
      </c>
      <c r="K184" s="11" t="s">
        <v>918</v>
      </c>
      <c r="L184" s="11" t="s">
        <v>1486</v>
      </c>
      <c r="M184" s="9">
        <v>52920</v>
      </c>
      <c r="N184" s="9">
        <v>5533526292</v>
      </c>
      <c r="O184" s="9">
        <v>45</v>
      </c>
      <c r="P184" s="9">
        <v>1</v>
      </c>
      <c r="Q184" s="9" t="s">
        <v>1262</v>
      </c>
      <c r="R184" s="9" t="s">
        <v>1311</v>
      </c>
      <c r="S184" s="9" t="s">
        <v>1121</v>
      </c>
      <c r="Z184"/>
    </row>
    <row r="185" spans="1:26" hidden="1">
      <c r="A185" s="5">
        <v>470</v>
      </c>
      <c r="B185" s="40" t="s">
        <v>529</v>
      </c>
      <c r="C185" s="24" t="s">
        <v>1801</v>
      </c>
      <c r="D185" s="2" t="s">
        <v>530</v>
      </c>
      <c r="E185" s="2" t="s">
        <v>531</v>
      </c>
      <c r="F185" s="7">
        <v>46037</v>
      </c>
      <c r="G185" s="16" t="s">
        <v>1256</v>
      </c>
      <c r="H185" s="10">
        <v>330.576219178082</v>
      </c>
      <c r="I185" s="28">
        <v>27707</v>
      </c>
      <c r="J185" s="9" t="s">
        <v>1219</v>
      </c>
      <c r="K185" s="11" t="s">
        <v>919</v>
      </c>
      <c r="L185" s="11" t="s">
        <v>982</v>
      </c>
      <c r="M185" s="9">
        <v>44770</v>
      </c>
      <c r="N185" s="9" t="s">
        <v>1026</v>
      </c>
      <c r="O185" s="9">
        <v>50</v>
      </c>
      <c r="P185" s="9">
        <v>0</v>
      </c>
      <c r="Q185" s="9" t="s">
        <v>1262</v>
      </c>
      <c r="R185" s="9" t="s">
        <v>1310</v>
      </c>
      <c r="S185" s="9" t="s">
        <v>1344</v>
      </c>
      <c r="Z185"/>
    </row>
    <row r="186" spans="1:26" hidden="1">
      <c r="A186" s="5">
        <v>135</v>
      </c>
      <c r="B186" s="40" t="s">
        <v>532</v>
      </c>
      <c r="C186" s="24" t="s">
        <v>1678</v>
      </c>
      <c r="D186" s="2" t="s">
        <v>533</v>
      </c>
      <c r="E186" s="2" t="s">
        <v>534</v>
      </c>
      <c r="F186" s="7">
        <v>44979</v>
      </c>
      <c r="G186" s="16" t="s">
        <v>1256</v>
      </c>
      <c r="H186" s="10">
        <v>635.48133662699297</v>
      </c>
      <c r="I186" s="28">
        <v>27548</v>
      </c>
      <c r="J186" s="9" t="s">
        <v>1220</v>
      </c>
      <c r="K186" s="11" t="s">
        <v>920</v>
      </c>
      <c r="L186" s="11" t="s">
        <v>1421</v>
      </c>
      <c r="M186" s="9">
        <v>64117</v>
      </c>
      <c r="N186" s="9">
        <v>8123124187</v>
      </c>
      <c r="O186" s="9">
        <v>50</v>
      </c>
      <c r="P186" s="9">
        <v>2</v>
      </c>
      <c r="Q186" s="9" t="s">
        <v>1262</v>
      </c>
      <c r="R186" s="9" t="s">
        <v>1311</v>
      </c>
      <c r="S186" s="9" t="s">
        <v>1347</v>
      </c>
      <c r="Z186"/>
    </row>
    <row r="187" spans="1:26" hidden="1">
      <c r="A187" s="5">
        <v>48</v>
      </c>
      <c r="B187" s="40" t="s">
        <v>535</v>
      </c>
      <c r="C187" s="24" t="s">
        <v>1636</v>
      </c>
      <c r="D187" s="2" t="s">
        <v>536</v>
      </c>
      <c r="E187" s="2" t="s">
        <v>537</v>
      </c>
      <c r="F187" s="7">
        <v>44413</v>
      </c>
      <c r="G187" s="16" t="s">
        <v>1256</v>
      </c>
      <c r="H187" s="10">
        <v>603.69187289467698</v>
      </c>
      <c r="I187" s="28">
        <v>26954</v>
      </c>
      <c r="J187" s="9" t="s">
        <v>1221</v>
      </c>
      <c r="K187" s="11" t="s">
        <v>921</v>
      </c>
      <c r="L187" s="11" t="s">
        <v>1379</v>
      </c>
      <c r="M187" s="9">
        <v>44810</v>
      </c>
      <c r="N187" s="9">
        <v>3328214635</v>
      </c>
      <c r="O187" s="9">
        <v>52</v>
      </c>
      <c r="P187" s="9">
        <v>4</v>
      </c>
      <c r="Q187" s="9" t="s">
        <v>1262</v>
      </c>
      <c r="R187" s="9" t="s">
        <v>1310</v>
      </c>
      <c r="S187" s="9" t="s">
        <v>1344</v>
      </c>
      <c r="Z187"/>
    </row>
    <row r="188" spans="1:26" hidden="1">
      <c r="A188" s="5">
        <v>482</v>
      </c>
      <c r="B188" s="40" t="s">
        <v>430</v>
      </c>
      <c r="C188" s="24" t="s">
        <v>1807</v>
      </c>
      <c r="D188" s="2" t="s">
        <v>431</v>
      </c>
      <c r="E188" s="2" t="s">
        <v>432</v>
      </c>
      <c r="F188" s="7">
        <v>45776</v>
      </c>
      <c r="G188" s="16" t="s">
        <v>1256</v>
      </c>
      <c r="H188" s="10">
        <v>512.82425196496695</v>
      </c>
      <c r="I188" s="28">
        <v>29330</v>
      </c>
      <c r="J188" s="9" t="s">
        <v>1185</v>
      </c>
      <c r="K188" s="11" t="s">
        <v>886</v>
      </c>
      <c r="L188" s="11" t="s">
        <v>1544</v>
      </c>
      <c r="M188" s="9">
        <v>55764</v>
      </c>
      <c r="N188" s="9">
        <v>5634633563</v>
      </c>
      <c r="O188" s="9">
        <v>45</v>
      </c>
      <c r="P188" s="9">
        <v>0</v>
      </c>
      <c r="Q188" s="9" t="s">
        <v>1262</v>
      </c>
      <c r="R188" s="9" t="s">
        <v>1311</v>
      </c>
      <c r="S188" s="9" t="s">
        <v>1343</v>
      </c>
      <c r="Z188"/>
    </row>
    <row r="189" spans="1:26" hidden="1">
      <c r="A189" s="5">
        <v>280</v>
      </c>
      <c r="B189" s="40" t="s">
        <v>478</v>
      </c>
      <c r="C189" s="24" t="s">
        <v>1734</v>
      </c>
      <c r="D189" s="2" t="s">
        <v>479</v>
      </c>
      <c r="E189" s="2" t="s">
        <v>480</v>
      </c>
      <c r="F189" s="7">
        <v>46034</v>
      </c>
      <c r="G189" s="16" t="s">
        <v>1256</v>
      </c>
      <c r="H189" s="10">
        <v>340.49224657534199</v>
      </c>
      <c r="I189" s="28">
        <v>29743</v>
      </c>
      <c r="J189" s="9" t="s">
        <v>1202</v>
      </c>
      <c r="K189" s="11" t="s">
        <v>902</v>
      </c>
      <c r="L189" s="11" t="s">
        <v>980</v>
      </c>
      <c r="M189" s="9">
        <v>97370</v>
      </c>
      <c r="N189" s="9">
        <v>9999024040</v>
      </c>
      <c r="O189" s="9">
        <v>44</v>
      </c>
      <c r="P189" s="9">
        <v>1</v>
      </c>
      <c r="Q189" s="9" t="s">
        <v>1262</v>
      </c>
      <c r="R189" s="9" t="s">
        <v>1310</v>
      </c>
      <c r="S189" s="9" t="s">
        <v>734</v>
      </c>
      <c r="Z189"/>
    </row>
    <row r="190" spans="1:26" hidden="1">
      <c r="A190" s="5">
        <v>494</v>
      </c>
      <c r="B190" s="40" t="s">
        <v>487</v>
      </c>
      <c r="C190" s="24" t="s">
        <v>1813</v>
      </c>
      <c r="D190" s="2" t="s">
        <v>488</v>
      </c>
      <c r="E190" s="2" t="s">
        <v>489</v>
      </c>
      <c r="F190" s="7">
        <v>45861</v>
      </c>
      <c r="G190" s="16" t="s">
        <v>1256</v>
      </c>
      <c r="H190" s="10">
        <v>668.02272849764199</v>
      </c>
      <c r="I190" s="28">
        <v>25524</v>
      </c>
      <c r="J190" s="9" t="s">
        <v>1205</v>
      </c>
      <c r="K190" s="11" t="s">
        <v>905</v>
      </c>
      <c r="L190" s="11" t="s">
        <v>1550</v>
      </c>
      <c r="M190" s="9" t="s">
        <v>1014</v>
      </c>
      <c r="N190" s="9">
        <v>5541277956</v>
      </c>
      <c r="O190" s="9">
        <v>56</v>
      </c>
      <c r="P190" s="9">
        <v>0</v>
      </c>
      <c r="Q190" s="9" t="s">
        <v>1262</v>
      </c>
      <c r="R190" s="9" t="s">
        <v>1311</v>
      </c>
      <c r="S190" s="9" t="s">
        <v>1343</v>
      </c>
      <c r="Z190"/>
    </row>
    <row r="191" spans="1:26" hidden="1">
      <c r="A191" s="5">
        <v>65</v>
      </c>
      <c r="B191" s="40" t="s">
        <v>547</v>
      </c>
      <c r="C191" s="24" t="s">
        <v>1644</v>
      </c>
      <c r="D191" s="2" t="s">
        <v>548</v>
      </c>
      <c r="E191" s="2" t="s">
        <v>549</v>
      </c>
      <c r="F191" s="7">
        <v>44652</v>
      </c>
      <c r="G191" s="16" t="s">
        <v>1256</v>
      </c>
      <c r="H191" s="10">
        <v>614.19742443296605</v>
      </c>
      <c r="I191" s="28">
        <v>28100</v>
      </c>
      <c r="J191" s="9" t="s">
        <v>1225</v>
      </c>
      <c r="K191" s="11" t="s">
        <v>925</v>
      </c>
      <c r="L191" s="11" t="s">
        <v>1387</v>
      </c>
      <c r="M191" s="9">
        <v>43816</v>
      </c>
      <c r="N191" s="9">
        <v>5540118014</v>
      </c>
      <c r="O191" s="9">
        <v>48</v>
      </c>
      <c r="P191" s="9">
        <v>4</v>
      </c>
      <c r="Q191" s="9" t="s">
        <v>1262</v>
      </c>
      <c r="R191" s="9" t="s">
        <v>1310</v>
      </c>
      <c r="S191" s="9" t="s">
        <v>1343</v>
      </c>
      <c r="Z191"/>
    </row>
    <row r="192" spans="1:26" hidden="1">
      <c r="A192" s="5">
        <v>241</v>
      </c>
      <c r="B192" s="40" t="s">
        <v>550</v>
      </c>
      <c r="C192" s="24" t="s">
        <v>1724</v>
      </c>
      <c r="D192" s="2" t="s">
        <v>551</v>
      </c>
      <c r="E192" s="2" t="s">
        <v>552</v>
      </c>
      <c r="F192" s="7">
        <v>45295</v>
      </c>
      <c r="G192" s="16" t="s">
        <v>1256</v>
      </c>
      <c r="H192" s="10">
        <v>661.67017322138702</v>
      </c>
      <c r="I192" s="28">
        <v>25575</v>
      </c>
      <c r="J192" s="9" t="s">
        <v>1226</v>
      </c>
      <c r="K192" s="11" t="s">
        <v>926</v>
      </c>
      <c r="L192" s="11" t="s">
        <v>1467</v>
      </c>
      <c r="M192" s="9">
        <v>50900</v>
      </c>
      <c r="N192" s="9">
        <v>7291207252</v>
      </c>
      <c r="O192" s="9">
        <v>55</v>
      </c>
      <c r="P192" s="9">
        <v>2</v>
      </c>
      <c r="Q192" s="9" t="s">
        <v>1262</v>
      </c>
      <c r="R192" s="9" t="s">
        <v>1310</v>
      </c>
      <c r="S192" s="9" t="s">
        <v>1343</v>
      </c>
      <c r="Z192"/>
    </row>
    <row r="193" spans="1:26" hidden="1">
      <c r="A193" s="5">
        <v>455</v>
      </c>
      <c r="B193" s="40" t="s">
        <v>553</v>
      </c>
      <c r="C193" s="24" t="s">
        <v>1793</v>
      </c>
      <c r="D193" s="2" t="s">
        <v>554</v>
      </c>
      <c r="E193" s="2" t="s">
        <v>555</v>
      </c>
      <c r="F193" s="7">
        <v>45770</v>
      </c>
      <c r="G193" s="16" t="s">
        <v>1256</v>
      </c>
      <c r="H193" s="10">
        <v>632.79087850887004</v>
      </c>
      <c r="I193" s="28">
        <v>32198</v>
      </c>
      <c r="J193" s="9" t="s">
        <v>1227</v>
      </c>
      <c r="K193" s="11" t="s">
        <v>927</v>
      </c>
      <c r="L193" s="11" t="s">
        <v>1531</v>
      </c>
      <c r="M193" s="9">
        <v>25016</v>
      </c>
      <c r="N193" s="9">
        <v>8443001030</v>
      </c>
      <c r="O193" s="9">
        <v>37</v>
      </c>
      <c r="P193" s="9">
        <v>0</v>
      </c>
      <c r="Q193" s="9" t="s">
        <v>1262</v>
      </c>
      <c r="R193" s="9" t="s">
        <v>1311</v>
      </c>
      <c r="S193" s="9" t="s">
        <v>1348</v>
      </c>
      <c r="Z193"/>
    </row>
    <row r="194" spans="1:26" hidden="1">
      <c r="A194" s="5">
        <v>500</v>
      </c>
      <c r="B194" s="40" t="s">
        <v>556</v>
      </c>
      <c r="C194" s="24" t="s">
        <v>1816</v>
      </c>
      <c r="D194" s="2" t="s">
        <v>557</v>
      </c>
      <c r="E194" s="2" t="s">
        <v>558</v>
      </c>
      <c r="F194" s="7">
        <v>45870</v>
      </c>
      <c r="G194" s="16" t="s">
        <v>1256</v>
      </c>
      <c r="H194" s="10">
        <v>595.81654704693403</v>
      </c>
      <c r="I194" s="28">
        <v>33149</v>
      </c>
      <c r="J194" s="9" t="s">
        <v>1228</v>
      </c>
      <c r="K194" s="11" t="s">
        <v>928</v>
      </c>
      <c r="L194" s="11" t="s">
        <v>1553</v>
      </c>
      <c r="M194" s="9">
        <v>45402</v>
      </c>
      <c r="N194" s="9">
        <v>3314152157</v>
      </c>
      <c r="O194" s="9">
        <v>35</v>
      </c>
      <c r="P194" s="9">
        <v>0</v>
      </c>
      <c r="Q194" s="9" t="s">
        <v>1262</v>
      </c>
      <c r="R194" s="9" t="s">
        <v>1311</v>
      </c>
      <c r="S194" s="9" t="s">
        <v>1344</v>
      </c>
      <c r="Z194"/>
    </row>
    <row r="195" spans="1:26" hidden="1">
      <c r="A195" s="5">
        <v>545</v>
      </c>
      <c r="B195" s="40" t="s">
        <v>724</v>
      </c>
      <c r="C195" s="24" t="s">
        <v>1839</v>
      </c>
      <c r="D195" s="2" t="s">
        <v>725</v>
      </c>
      <c r="E195" s="2" t="s">
        <v>726</v>
      </c>
      <c r="F195" s="7">
        <v>46034</v>
      </c>
      <c r="G195" s="16" t="s">
        <v>1256</v>
      </c>
      <c r="H195" s="10">
        <v>330.576219178082</v>
      </c>
      <c r="I195" s="28">
        <v>35088</v>
      </c>
      <c r="J195" s="7" t="s">
        <v>1265</v>
      </c>
      <c r="K195" s="22" t="s">
        <v>1266</v>
      </c>
      <c r="L195" s="11" t="s">
        <v>1575</v>
      </c>
      <c r="M195" s="9">
        <v>57741</v>
      </c>
      <c r="N195" s="9">
        <v>5515768640</v>
      </c>
      <c r="O195" s="9">
        <v>30</v>
      </c>
      <c r="P195" s="9">
        <v>0</v>
      </c>
      <c r="Q195" s="9" t="s">
        <v>1263</v>
      </c>
      <c r="R195" s="9" t="s">
        <v>1310</v>
      </c>
      <c r="S195" s="9" t="s">
        <v>1343</v>
      </c>
      <c r="Z195"/>
    </row>
    <row r="196" spans="1:26" hidden="1">
      <c r="A196" s="5">
        <v>85</v>
      </c>
      <c r="B196" s="40" t="s">
        <v>559</v>
      </c>
      <c r="C196" s="24" t="s">
        <v>1657</v>
      </c>
      <c r="D196" s="2" t="s">
        <v>560</v>
      </c>
      <c r="E196" s="2" t="s">
        <v>561</v>
      </c>
      <c r="F196" s="7">
        <v>44798</v>
      </c>
      <c r="G196" s="16" t="s">
        <v>1256</v>
      </c>
      <c r="H196" s="10">
        <v>720.17070312149099</v>
      </c>
      <c r="I196" s="28">
        <v>27609</v>
      </c>
      <c r="J196" s="9" t="s">
        <v>1229</v>
      </c>
      <c r="K196" s="11" t="s">
        <v>929</v>
      </c>
      <c r="L196" s="11" t="s">
        <v>1400</v>
      </c>
      <c r="M196" s="9">
        <v>76116</v>
      </c>
      <c r="N196" s="9">
        <v>7207351296</v>
      </c>
      <c r="O196" s="9">
        <v>50</v>
      </c>
      <c r="P196" s="9">
        <v>3</v>
      </c>
      <c r="Q196" s="9" t="s">
        <v>1262</v>
      </c>
      <c r="R196" s="9" t="s">
        <v>1311</v>
      </c>
      <c r="S196" s="9" t="s">
        <v>1047</v>
      </c>
      <c r="Z196"/>
    </row>
    <row r="197" spans="1:26" hidden="1">
      <c r="A197" s="5">
        <v>109</v>
      </c>
      <c r="B197" s="40" t="s">
        <v>562</v>
      </c>
      <c r="C197" s="24" t="s">
        <v>1666</v>
      </c>
      <c r="D197" s="2" t="s">
        <v>563</v>
      </c>
      <c r="E197" s="2" t="s">
        <v>564</v>
      </c>
      <c r="F197" s="7">
        <v>44866</v>
      </c>
      <c r="G197" s="16" t="s">
        <v>1256</v>
      </c>
      <c r="H197" s="10">
        <v>619.19857197395004</v>
      </c>
      <c r="I197" s="28">
        <v>28294</v>
      </c>
      <c r="J197" s="9" t="s">
        <v>1230</v>
      </c>
      <c r="K197" s="11" t="s">
        <v>930</v>
      </c>
      <c r="L197" s="11" t="s">
        <v>1409</v>
      </c>
      <c r="M197" s="9">
        <v>56535</v>
      </c>
      <c r="N197" s="9">
        <v>5615409354</v>
      </c>
      <c r="O197" s="9">
        <v>48</v>
      </c>
      <c r="P197" s="9">
        <v>3</v>
      </c>
      <c r="Q197" s="9" t="s">
        <v>1262</v>
      </c>
      <c r="R197" s="9" t="s">
        <v>1310</v>
      </c>
      <c r="S197" s="9" t="s">
        <v>1345</v>
      </c>
      <c r="Z197"/>
    </row>
    <row r="198" spans="1:26" hidden="1">
      <c r="A198" s="5">
        <v>502</v>
      </c>
      <c r="B198" s="40" t="s">
        <v>565</v>
      </c>
      <c r="C198" s="24" t="s">
        <v>1818</v>
      </c>
      <c r="D198" s="2" t="s">
        <v>566</v>
      </c>
      <c r="E198" s="2" t="s">
        <v>567</v>
      </c>
      <c r="F198" s="7">
        <v>45876</v>
      </c>
      <c r="G198" s="16" t="s">
        <v>1256</v>
      </c>
      <c r="H198" s="10">
        <v>564.66884212890102</v>
      </c>
      <c r="I198" s="28">
        <v>27714</v>
      </c>
      <c r="J198" s="9" t="s">
        <v>1231</v>
      </c>
      <c r="K198" s="11" t="s">
        <v>931</v>
      </c>
      <c r="L198" s="11" t="s">
        <v>1555</v>
      </c>
      <c r="M198" s="9">
        <v>8700</v>
      </c>
      <c r="N198" s="9">
        <v>5613806479</v>
      </c>
      <c r="O198" s="9">
        <v>50</v>
      </c>
      <c r="P198" s="9">
        <v>0</v>
      </c>
      <c r="Q198" s="9" t="s">
        <v>1262</v>
      </c>
      <c r="R198" s="9" t="s">
        <v>1311</v>
      </c>
      <c r="S198" s="9" t="s">
        <v>1343</v>
      </c>
      <c r="Z198"/>
    </row>
    <row r="199" spans="1:26" hidden="1">
      <c r="A199" s="5">
        <v>306</v>
      </c>
      <c r="B199" s="40" t="s">
        <v>568</v>
      </c>
      <c r="C199" s="24" t="s">
        <v>1744</v>
      </c>
      <c r="D199" s="2" t="s">
        <v>569</v>
      </c>
      <c r="E199" s="2" t="s">
        <v>570</v>
      </c>
      <c r="F199" s="7">
        <v>46034</v>
      </c>
      <c r="G199" s="16" t="s">
        <v>1256</v>
      </c>
      <c r="H199" s="10">
        <v>330.576219178082</v>
      </c>
      <c r="I199" s="28">
        <v>26919</v>
      </c>
      <c r="J199" s="9" t="s">
        <v>1232</v>
      </c>
      <c r="K199" s="11" t="s">
        <v>932</v>
      </c>
      <c r="L199" s="11" t="s">
        <v>1485</v>
      </c>
      <c r="M199" s="9" t="s">
        <v>1336</v>
      </c>
      <c r="N199" s="9">
        <v>5618541933</v>
      </c>
      <c r="O199" s="9">
        <v>52</v>
      </c>
      <c r="P199" s="9">
        <v>1</v>
      </c>
      <c r="Q199" s="9" t="s">
        <v>1262</v>
      </c>
      <c r="R199" s="9" t="s">
        <v>1311</v>
      </c>
      <c r="S199" s="9" t="s">
        <v>1343</v>
      </c>
      <c r="Z199"/>
    </row>
    <row r="200" spans="1:26" hidden="1">
      <c r="A200" s="5">
        <v>31</v>
      </c>
      <c r="B200" s="40" t="s">
        <v>571</v>
      </c>
      <c r="C200" s="24" t="s">
        <v>1629</v>
      </c>
      <c r="D200" s="2" t="s">
        <v>572</v>
      </c>
      <c r="E200" s="2" t="s">
        <v>573</v>
      </c>
      <c r="F200" s="7">
        <v>44197</v>
      </c>
      <c r="G200" s="16" t="s">
        <v>1256</v>
      </c>
      <c r="H200" s="10">
        <v>587.85041971704402</v>
      </c>
      <c r="I200" s="28">
        <v>26347</v>
      </c>
      <c r="J200" s="9" t="s">
        <v>1233</v>
      </c>
      <c r="K200" s="11" t="s">
        <v>933</v>
      </c>
      <c r="L200" s="11" t="s">
        <v>1372</v>
      </c>
      <c r="M200" s="9">
        <v>50010</v>
      </c>
      <c r="N200" s="9">
        <v>7224760405</v>
      </c>
      <c r="O200" s="9">
        <v>53</v>
      </c>
      <c r="P200" s="9">
        <v>5</v>
      </c>
      <c r="Q200" s="9" t="s">
        <v>1262</v>
      </c>
      <c r="R200" s="9" t="s">
        <v>1310</v>
      </c>
      <c r="S200" s="9" t="s">
        <v>1343</v>
      </c>
      <c r="Z200"/>
    </row>
    <row r="201" spans="1:26" hidden="1">
      <c r="A201" s="5">
        <v>457</v>
      </c>
      <c r="B201" s="40" t="s">
        <v>574</v>
      </c>
      <c r="C201" s="24" t="s">
        <v>1795</v>
      </c>
      <c r="D201" s="2" t="s">
        <v>575</v>
      </c>
      <c r="E201" s="2" t="s">
        <v>576</v>
      </c>
      <c r="F201" s="7">
        <v>45782</v>
      </c>
      <c r="G201" s="16" t="s">
        <v>1256</v>
      </c>
      <c r="H201" s="10">
        <v>571.68671098135997</v>
      </c>
      <c r="I201" s="28">
        <v>39169</v>
      </c>
      <c r="J201" s="9" t="s">
        <v>1234</v>
      </c>
      <c r="K201" s="11" t="s">
        <v>934</v>
      </c>
      <c r="L201" s="11" t="s">
        <v>1533</v>
      </c>
      <c r="M201" s="9">
        <v>45140</v>
      </c>
      <c r="N201" s="9">
        <v>3327926081</v>
      </c>
      <c r="O201" s="9">
        <v>18</v>
      </c>
      <c r="P201" s="9">
        <v>0</v>
      </c>
      <c r="Q201" s="9" t="s">
        <v>1262</v>
      </c>
      <c r="R201" s="9" t="s">
        <v>1037</v>
      </c>
      <c r="S201" s="9" t="s">
        <v>1344</v>
      </c>
      <c r="Z201"/>
    </row>
    <row r="202" spans="1:26" hidden="1">
      <c r="A202" s="5">
        <v>264</v>
      </c>
      <c r="B202" s="40" t="s">
        <v>577</v>
      </c>
      <c r="C202" s="24" t="s">
        <v>1731</v>
      </c>
      <c r="D202" s="2" t="s">
        <v>578</v>
      </c>
      <c r="E202" s="2" t="s">
        <v>579</v>
      </c>
      <c r="F202" s="7">
        <v>46037</v>
      </c>
      <c r="G202" s="16" t="s">
        <v>1256</v>
      </c>
      <c r="H202" s="10">
        <v>330.576219178082</v>
      </c>
      <c r="I202" s="28">
        <v>24239</v>
      </c>
      <c r="J202" s="9" t="s">
        <v>1235</v>
      </c>
      <c r="K202" s="11" t="s">
        <v>935</v>
      </c>
      <c r="L202" s="11" t="s">
        <v>1474</v>
      </c>
      <c r="M202" s="9" t="s">
        <v>1338</v>
      </c>
      <c r="N202" s="9">
        <v>8117021310</v>
      </c>
      <c r="O202" s="9">
        <v>59</v>
      </c>
      <c r="P202" s="9">
        <v>0</v>
      </c>
      <c r="Q202" s="9" t="s">
        <v>1262</v>
      </c>
      <c r="R202" s="9" t="s">
        <v>1310</v>
      </c>
      <c r="S202" s="9" t="s">
        <v>1347</v>
      </c>
      <c r="Z202"/>
    </row>
    <row r="203" spans="1:26" hidden="1">
      <c r="A203" s="5">
        <v>440</v>
      </c>
      <c r="B203" s="40" t="s">
        <v>580</v>
      </c>
      <c r="C203" s="24" t="s">
        <v>1788</v>
      </c>
      <c r="D203" s="2" t="s">
        <v>581</v>
      </c>
      <c r="E203" s="2" t="s">
        <v>582</v>
      </c>
      <c r="F203" s="7">
        <v>46035</v>
      </c>
      <c r="G203" s="16" t="s">
        <v>1256</v>
      </c>
      <c r="H203" s="10">
        <v>330.576219178082</v>
      </c>
      <c r="I203" s="28">
        <v>33164</v>
      </c>
      <c r="J203" s="9" t="s">
        <v>1236</v>
      </c>
      <c r="K203" s="11" t="s">
        <v>936</v>
      </c>
      <c r="L203" s="11" t="s">
        <v>1526</v>
      </c>
      <c r="M203" s="9" t="s">
        <v>1337</v>
      </c>
      <c r="N203" s="9" t="s">
        <v>1027</v>
      </c>
      <c r="O203" s="9">
        <v>35</v>
      </c>
      <c r="P203" s="9">
        <v>0</v>
      </c>
      <c r="Q203" s="9" t="s">
        <v>1262</v>
      </c>
      <c r="R203" s="9" t="s">
        <v>1311</v>
      </c>
      <c r="S203" s="9" t="s">
        <v>1347</v>
      </c>
      <c r="Z203"/>
    </row>
    <row r="204" spans="1:26" hidden="1">
      <c r="A204" s="5">
        <v>542</v>
      </c>
      <c r="B204" s="40" t="s">
        <v>703</v>
      </c>
      <c r="C204" s="24" t="s">
        <v>1836</v>
      </c>
      <c r="D204" s="2" t="s">
        <v>704</v>
      </c>
      <c r="E204" s="2" t="s">
        <v>705</v>
      </c>
      <c r="F204" s="7">
        <v>46034</v>
      </c>
      <c r="G204" s="16" t="s">
        <v>1256</v>
      </c>
      <c r="H204" s="10">
        <v>330.576219178082</v>
      </c>
      <c r="I204" s="28">
        <v>30306</v>
      </c>
      <c r="J204" s="9" t="s">
        <v>1276</v>
      </c>
      <c r="K204" s="16" t="s">
        <v>1277</v>
      </c>
      <c r="L204" s="11" t="s">
        <v>1572</v>
      </c>
      <c r="M204" s="14" t="s">
        <v>1275</v>
      </c>
      <c r="N204" s="9">
        <v>5636508959</v>
      </c>
      <c r="O204" s="9"/>
      <c r="P204" s="9">
        <v>0</v>
      </c>
      <c r="Q204" s="9" t="s">
        <v>1262</v>
      </c>
      <c r="R204" s="9" t="s">
        <v>1311</v>
      </c>
      <c r="S204" s="9" t="s">
        <v>1343</v>
      </c>
      <c r="Z204"/>
    </row>
    <row r="205" spans="1:26" hidden="1">
      <c r="A205" s="5">
        <v>549</v>
      </c>
      <c r="B205" s="40" t="s">
        <v>688</v>
      </c>
      <c r="C205" s="24" t="s">
        <v>1843</v>
      </c>
      <c r="D205" s="2" t="s">
        <v>689</v>
      </c>
      <c r="E205" s="2" t="s">
        <v>690</v>
      </c>
      <c r="F205" s="7">
        <v>46034</v>
      </c>
      <c r="G205" s="16" t="s">
        <v>1256</v>
      </c>
      <c r="H205" s="10">
        <v>330.576219178082</v>
      </c>
      <c r="I205" s="28">
        <v>32023</v>
      </c>
      <c r="J205" s="7" t="s">
        <v>1270</v>
      </c>
      <c r="K205" s="11" t="s">
        <v>972</v>
      </c>
      <c r="L205" s="11" t="s">
        <v>1578</v>
      </c>
      <c r="M205" s="9">
        <v>6060</v>
      </c>
      <c r="N205" s="9">
        <v>5513113191</v>
      </c>
      <c r="O205" s="9">
        <v>38</v>
      </c>
      <c r="P205" s="9">
        <v>0</v>
      </c>
      <c r="Q205" s="9" t="s">
        <v>1262</v>
      </c>
      <c r="R205" s="9" t="s">
        <v>1310</v>
      </c>
      <c r="S205" s="9" t="s">
        <v>1343</v>
      </c>
      <c r="Z205"/>
    </row>
    <row r="206" spans="1:26" hidden="1">
      <c r="A206" s="5">
        <v>215</v>
      </c>
      <c r="B206" s="40" t="s">
        <v>583</v>
      </c>
      <c r="C206" s="24" t="s">
        <v>1713</v>
      </c>
      <c r="D206" s="2" t="s">
        <v>584</v>
      </c>
      <c r="E206" s="2" t="s">
        <v>585</v>
      </c>
      <c r="F206" s="7">
        <v>45233</v>
      </c>
      <c r="G206" s="16" t="s">
        <v>1256</v>
      </c>
      <c r="H206" s="10">
        <v>581.05756613518895</v>
      </c>
      <c r="I206" s="28">
        <v>25335</v>
      </c>
      <c r="J206" s="9" t="s">
        <v>1237</v>
      </c>
      <c r="K206" s="11" t="s">
        <v>937</v>
      </c>
      <c r="L206" s="11" t="s">
        <v>1456</v>
      </c>
      <c r="M206" s="9" t="s">
        <v>1018</v>
      </c>
      <c r="N206" s="9">
        <v>5635969892</v>
      </c>
      <c r="O206" s="9">
        <v>56</v>
      </c>
      <c r="P206" s="9">
        <v>2</v>
      </c>
      <c r="Q206" s="9" t="s">
        <v>1262</v>
      </c>
      <c r="R206" s="9" t="s">
        <v>1311</v>
      </c>
      <c r="S206" s="9" t="s">
        <v>1343</v>
      </c>
      <c r="Z206"/>
    </row>
    <row r="207" spans="1:26" hidden="1">
      <c r="A207" s="5">
        <v>77</v>
      </c>
      <c r="B207" s="40" t="s">
        <v>586</v>
      </c>
      <c r="C207" s="24" t="s">
        <v>1653</v>
      </c>
      <c r="D207" s="2" t="s">
        <v>587</v>
      </c>
      <c r="E207" s="2" t="s">
        <v>588</v>
      </c>
      <c r="F207" s="7">
        <v>44777</v>
      </c>
      <c r="G207" s="16" t="s">
        <v>1256</v>
      </c>
      <c r="H207" s="10">
        <v>549.98168672804798</v>
      </c>
      <c r="I207" s="28">
        <v>32725</v>
      </c>
      <c r="J207" s="9" t="s">
        <v>1238</v>
      </c>
      <c r="K207" s="11" t="s">
        <v>938</v>
      </c>
      <c r="L207" s="11" t="s">
        <v>1396</v>
      </c>
      <c r="M207" s="9">
        <v>16450</v>
      </c>
      <c r="N207" s="9">
        <v>5521575692</v>
      </c>
      <c r="O207" s="9">
        <v>36</v>
      </c>
      <c r="P207" s="9">
        <v>3</v>
      </c>
      <c r="Q207" s="9" t="s">
        <v>1262</v>
      </c>
      <c r="R207" s="9" t="s">
        <v>1311</v>
      </c>
      <c r="S207" s="9" t="s">
        <v>1349</v>
      </c>
      <c r="Z207"/>
    </row>
    <row r="208" spans="1:26" hidden="1">
      <c r="A208" s="5">
        <v>335</v>
      </c>
      <c r="B208" s="40" t="s">
        <v>589</v>
      </c>
      <c r="C208" s="24" t="s">
        <v>1752</v>
      </c>
      <c r="D208" s="2" t="s">
        <v>590</v>
      </c>
      <c r="E208" s="2" t="s">
        <v>591</v>
      </c>
      <c r="F208" s="7">
        <v>46029</v>
      </c>
      <c r="G208" s="16" t="s">
        <v>1256</v>
      </c>
      <c r="H208" s="10">
        <v>330.576219178082</v>
      </c>
      <c r="I208" s="28">
        <v>30349</v>
      </c>
      <c r="J208" s="9" t="s">
        <v>1239</v>
      </c>
      <c r="K208" s="11" t="s">
        <v>939</v>
      </c>
      <c r="L208" s="11" t="s">
        <v>1493</v>
      </c>
      <c r="M208" s="9" t="s">
        <v>1014</v>
      </c>
      <c r="N208" s="9">
        <v>6565654827</v>
      </c>
      <c r="O208" s="9">
        <v>42</v>
      </c>
      <c r="P208" s="9">
        <v>1</v>
      </c>
      <c r="Q208" s="9" t="s">
        <v>1262</v>
      </c>
      <c r="R208" s="9" t="s">
        <v>1310</v>
      </c>
      <c r="S208" s="9" t="s">
        <v>1343</v>
      </c>
      <c r="Z208"/>
    </row>
    <row r="209" spans="1:26" hidden="1">
      <c r="A209" s="5">
        <v>557</v>
      </c>
      <c r="B209" s="40" t="s">
        <v>712</v>
      </c>
      <c r="C209" s="24" t="s">
        <v>1850</v>
      </c>
      <c r="D209" s="2" t="s">
        <v>713</v>
      </c>
      <c r="E209" s="2" t="s">
        <v>714</v>
      </c>
      <c r="F209" s="7">
        <v>46037</v>
      </c>
      <c r="G209" s="16" t="s">
        <v>1256</v>
      </c>
      <c r="H209" s="10">
        <v>330.576219178082</v>
      </c>
      <c r="I209" s="28">
        <v>38212</v>
      </c>
      <c r="J209" s="9" t="s">
        <v>1283</v>
      </c>
      <c r="K209" s="16" t="s">
        <v>1284</v>
      </c>
      <c r="L209" s="11" t="s">
        <v>1285</v>
      </c>
      <c r="M209" s="9">
        <v>57200</v>
      </c>
      <c r="N209" s="9">
        <v>5516480262</v>
      </c>
      <c r="O209" s="9"/>
      <c r="P209" s="9">
        <v>0</v>
      </c>
      <c r="Q209" s="9" t="s">
        <v>1262</v>
      </c>
      <c r="R209" s="9" t="s">
        <v>1311</v>
      </c>
      <c r="S209" s="9" t="s">
        <v>1345</v>
      </c>
      <c r="Z209"/>
    </row>
    <row r="210" spans="1:26" hidden="1">
      <c r="A210" s="5">
        <v>560</v>
      </c>
      <c r="B210" s="40" t="s">
        <v>691</v>
      </c>
      <c r="C210" s="24" t="s">
        <v>1852</v>
      </c>
      <c r="D210" s="2" t="s">
        <v>692</v>
      </c>
      <c r="E210" s="2" t="s">
        <v>693</v>
      </c>
      <c r="F210" s="7">
        <v>46037</v>
      </c>
      <c r="G210" s="16" t="s">
        <v>1256</v>
      </c>
      <c r="H210" s="10">
        <v>330.576219178082</v>
      </c>
      <c r="I210" s="28">
        <v>25842</v>
      </c>
      <c r="J210" s="9" t="s">
        <v>1302</v>
      </c>
      <c r="K210" s="11" t="s">
        <v>973</v>
      </c>
      <c r="L210" s="11" t="s">
        <v>1585</v>
      </c>
      <c r="M210" s="9" t="s">
        <v>1339</v>
      </c>
      <c r="N210" s="9">
        <v>8124478788</v>
      </c>
      <c r="O210" s="9">
        <v>55</v>
      </c>
      <c r="P210" s="9">
        <v>0</v>
      </c>
      <c r="Q210" s="9" t="s">
        <v>1262</v>
      </c>
      <c r="R210" s="9" t="s">
        <v>1310</v>
      </c>
      <c r="S210" s="9" t="s">
        <v>1347</v>
      </c>
      <c r="Z210"/>
    </row>
    <row r="211" spans="1:26" hidden="1">
      <c r="A211" s="5">
        <v>303</v>
      </c>
      <c r="B211" s="40" t="s">
        <v>592</v>
      </c>
      <c r="C211" s="24" t="s">
        <v>1742</v>
      </c>
      <c r="D211" s="2" t="s">
        <v>593</v>
      </c>
      <c r="E211" s="2" t="s">
        <v>594</v>
      </c>
      <c r="F211" s="7">
        <v>45394</v>
      </c>
      <c r="G211" s="16" t="s">
        <v>1256</v>
      </c>
      <c r="H211" s="10">
        <v>523.85557668987201</v>
      </c>
      <c r="I211" s="28">
        <v>28703</v>
      </c>
      <c r="J211" s="9" t="s">
        <v>1240</v>
      </c>
      <c r="K211" s="11" t="s">
        <v>940</v>
      </c>
      <c r="L211" s="11" t="s">
        <v>1483</v>
      </c>
      <c r="M211" s="9">
        <v>13270</v>
      </c>
      <c r="N211" s="9">
        <v>5626264675</v>
      </c>
      <c r="O211" s="9">
        <v>47</v>
      </c>
      <c r="P211" s="9">
        <v>1</v>
      </c>
      <c r="Q211" s="9" t="s">
        <v>1262</v>
      </c>
      <c r="R211" s="9" t="s">
        <v>1311</v>
      </c>
      <c r="S211" s="9" t="s">
        <v>1343</v>
      </c>
      <c r="Z211"/>
    </row>
    <row r="212" spans="1:26" hidden="1">
      <c r="A212" s="5">
        <v>137</v>
      </c>
      <c r="B212" s="40" t="s">
        <v>595</v>
      </c>
      <c r="C212" s="24" t="s">
        <v>1679</v>
      </c>
      <c r="D212" s="2" t="s">
        <v>596</v>
      </c>
      <c r="E212" s="2" t="s">
        <v>597</v>
      </c>
      <c r="F212" s="7">
        <v>44984</v>
      </c>
      <c r="G212" s="16" t="s">
        <v>1256</v>
      </c>
      <c r="H212" s="10">
        <v>569.96215629912399</v>
      </c>
      <c r="I212" s="28">
        <v>26686</v>
      </c>
      <c r="J212" s="9" t="s">
        <v>1241</v>
      </c>
      <c r="K212" s="11" t="s">
        <v>941</v>
      </c>
      <c r="L212" s="11" t="s">
        <v>1422</v>
      </c>
      <c r="M212" s="9">
        <v>14420</v>
      </c>
      <c r="N212" s="9">
        <v>5510170360</v>
      </c>
      <c r="O212" s="9">
        <v>52</v>
      </c>
      <c r="P212" s="9">
        <v>2</v>
      </c>
      <c r="Q212" s="9" t="s">
        <v>1262</v>
      </c>
      <c r="R212" s="9" t="s">
        <v>1310</v>
      </c>
      <c r="S212" s="9" t="s">
        <v>1343</v>
      </c>
      <c r="Z212"/>
    </row>
    <row r="213" spans="1:26" hidden="1">
      <c r="A213" s="5">
        <v>117</v>
      </c>
      <c r="B213" s="40" t="s">
        <v>598</v>
      </c>
      <c r="C213" s="24" t="s">
        <v>1670</v>
      </c>
      <c r="D213" s="2" t="s">
        <v>599</v>
      </c>
      <c r="E213" s="2" t="s">
        <v>600</v>
      </c>
      <c r="F213" s="7">
        <v>44927</v>
      </c>
      <c r="G213" s="16" t="s">
        <v>1256</v>
      </c>
      <c r="H213" s="10">
        <v>580.36283426903196</v>
      </c>
      <c r="I213" s="28">
        <v>29898</v>
      </c>
      <c r="J213" s="9" t="s">
        <v>1242</v>
      </c>
      <c r="K213" s="11" t="s">
        <v>942</v>
      </c>
      <c r="L213" s="11" t="s">
        <v>1413</v>
      </c>
      <c r="M213" s="9" t="s">
        <v>1019</v>
      </c>
      <c r="N213" s="9">
        <v>5548850887</v>
      </c>
      <c r="O213" s="9">
        <v>44</v>
      </c>
      <c r="P213" s="9">
        <v>3</v>
      </c>
      <c r="Q213" s="9" t="s">
        <v>1262</v>
      </c>
      <c r="R213" s="9" t="s">
        <v>1311</v>
      </c>
      <c r="S213" s="9" t="s">
        <v>1343</v>
      </c>
      <c r="Z213"/>
    </row>
    <row r="214" spans="1:26" hidden="1">
      <c r="A214" s="5">
        <v>375</v>
      </c>
      <c r="B214" s="40" t="s">
        <v>601</v>
      </c>
      <c r="C214" s="24" t="s">
        <v>1768</v>
      </c>
      <c r="D214" s="2" t="s">
        <v>602</v>
      </c>
      <c r="E214" s="2" t="s">
        <v>603</v>
      </c>
      <c r="F214" s="7">
        <v>45581</v>
      </c>
      <c r="G214" s="16" t="s">
        <v>1256</v>
      </c>
      <c r="H214" s="10">
        <v>672.90803570626497</v>
      </c>
      <c r="I214" s="28">
        <v>33039</v>
      </c>
      <c r="J214" s="9" t="s">
        <v>1243</v>
      </c>
      <c r="K214" s="11" t="s">
        <v>943</v>
      </c>
      <c r="L214" s="11" t="s">
        <v>1508</v>
      </c>
      <c r="M214" s="9">
        <v>72595</v>
      </c>
      <c r="N214" s="9">
        <v>2212209808</v>
      </c>
      <c r="O214" s="9">
        <v>35</v>
      </c>
      <c r="P214" s="9">
        <v>1</v>
      </c>
      <c r="Q214" s="9" t="s">
        <v>1262</v>
      </c>
      <c r="R214" s="9" t="s">
        <v>1311</v>
      </c>
      <c r="S214" s="9" t="s">
        <v>738</v>
      </c>
      <c r="Z214"/>
    </row>
    <row r="215" spans="1:26" hidden="1">
      <c r="A215" s="5">
        <v>26</v>
      </c>
      <c r="B215" s="40" t="s">
        <v>604</v>
      </c>
      <c r="C215" s="24" t="s">
        <v>1626</v>
      </c>
      <c r="D215" s="2" t="s">
        <v>605</v>
      </c>
      <c r="E215" s="2" t="s">
        <v>606</v>
      </c>
      <c r="F215" s="7">
        <v>44105</v>
      </c>
      <c r="G215" s="16" t="s">
        <v>1256</v>
      </c>
      <c r="H215" s="10">
        <v>558.04140332360203</v>
      </c>
      <c r="I215" s="28">
        <v>26527</v>
      </c>
      <c r="J215" s="9" t="s">
        <v>1244</v>
      </c>
      <c r="K215" s="11" t="s">
        <v>944</v>
      </c>
      <c r="L215" s="11" t="s">
        <v>1369</v>
      </c>
      <c r="M215" s="9">
        <v>66359</v>
      </c>
      <c r="N215" s="9">
        <v>8132733919</v>
      </c>
      <c r="O215" s="9">
        <v>53</v>
      </c>
      <c r="P215" s="9">
        <v>5</v>
      </c>
      <c r="Q215" s="9" t="s">
        <v>1262</v>
      </c>
      <c r="R215" s="9" t="s">
        <v>1310</v>
      </c>
      <c r="S215" s="9" t="s">
        <v>1347</v>
      </c>
      <c r="Z215"/>
    </row>
    <row r="216" spans="1:26" hidden="1">
      <c r="A216" s="5">
        <v>505</v>
      </c>
      <c r="B216" s="40" t="s">
        <v>607</v>
      </c>
      <c r="C216" s="24" t="s">
        <v>1821</v>
      </c>
      <c r="D216" s="2" t="s">
        <v>608</v>
      </c>
      <c r="E216" s="2" t="s">
        <v>609</v>
      </c>
      <c r="F216" s="7">
        <v>45877</v>
      </c>
      <c r="G216" s="16" t="s">
        <v>1256</v>
      </c>
      <c r="H216" s="10">
        <v>586.76064540759</v>
      </c>
      <c r="I216" s="28">
        <v>28713</v>
      </c>
      <c r="J216" s="9" t="s">
        <v>1245</v>
      </c>
      <c r="K216" s="11" t="s">
        <v>945</v>
      </c>
      <c r="L216" s="11" t="s">
        <v>983</v>
      </c>
      <c r="M216" s="9" t="s">
        <v>1340</v>
      </c>
      <c r="N216" s="9" t="s">
        <v>1028</v>
      </c>
      <c r="O216" s="9">
        <v>47</v>
      </c>
      <c r="P216" s="9">
        <v>0</v>
      </c>
      <c r="Q216" s="9" t="s">
        <v>1262</v>
      </c>
      <c r="R216" s="9" t="s">
        <v>1311</v>
      </c>
      <c r="S216" s="9" t="s">
        <v>1343</v>
      </c>
      <c r="Z216"/>
    </row>
    <row r="217" spans="1:26" hidden="1">
      <c r="A217" s="5">
        <v>243</v>
      </c>
      <c r="B217" s="40" t="s">
        <v>610</v>
      </c>
      <c r="C217" s="24" t="s">
        <v>1726</v>
      </c>
      <c r="D217" s="2" t="s">
        <v>611</v>
      </c>
      <c r="E217" s="2" t="s">
        <v>612</v>
      </c>
      <c r="F217" s="7">
        <v>45296</v>
      </c>
      <c r="G217" s="16" t="s">
        <v>1256</v>
      </c>
      <c r="H217" s="10">
        <v>646.59759257622602</v>
      </c>
      <c r="I217" s="28">
        <v>30644</v>
      </c>
      <c r="J217" s="9" t="s">
        <v>1246</v>
      </c>
      <c r="K217" s="11" t="s">
        <v>946</v>
      </c>
      <c r="L217" s="11" t="s">
        <v>1469</v>
      </c>
      <c r="M217" s="9" t="s">
        <v>995</v>
      </c>
      <c r="N217" s="9">
        <v>5612693879</v>
      </c>
      <c r="O217" s="9">
        <v>42</v>
      </c>
      <c r="P217" s="9">
        <v>2</v>
      </c>
      <c r="Q217" s="9" t="s">
        <v>1262</v>
      </c>
      <c r="R217" s="9" t="s">
        <v>1311</v>
      </c>
      <c r="S217" s="9" t="s">
        <v>1343</v>
      </c>
      <c r="Z217"/>
    </row>
    <row r="218" spans="1:26" hidden="1">
      <c r="A218" s="5">
        <v>374</v>
      </c>
      <c r="B218" s="40" t="s">
        <v>613</v>
      </c>
      <c r="C218" s="24" t="s">
        <v>1767</v>
      </c>
      <c r="D218" s="2" t="s">
        <v>614</v>
      </c>
      <c r="E218" s="2" t="s">
        <v>615</v>
      </c>
      <c r="F218" s="7">
        <v>45574</v>
      </c>
      <c r="G218" s="16" t="s">
        <v>1256</v>
      </c>
      <c r="H218" s="10">
        <v>694.93787940714105</v>
      </c>
      <c r="I218" s="28">
        <v>28980</v>
      </c>
      <c r="J218" s="9" t="s">
        <v>1248</v>
      </c>
      <c r="K218" s="11" t="s">
        <v>947</v>
      </c>
      <c r="L218" s="11" t="s">
        <v>1507</v>
      </c>
      <c r="M218" s="9">
        <v>62010</v>
      </c>
      <c r="N218" s="9">
        <v>5653058482</v>
      </c>
      <c r="O218" s="9">
        <v>46</v>
      </c>
      <c r="P218" s="9">
        <v>1</v>
      </c>
      <c r="Q218" s="9" t="s">
        <v>1262</v>
      </c>
      <c r="R218" s="9" t="s">
        <v>1310</v>
      </c>
      <c r="S218" s="9" t="s">
        <v>1352</v>
      </c>
      <c r="Z218"/>
    </row>
    <row r="219" spans="1:26" hidden="1">
      <c r="A219" s="5">
        <v>146</v>
      </c>
      <c r="B219" s="40" t="s">
        <v>616</v>
      </c>
      <c r="C219" s="24" t="s">
        <v>1685</v>
      </c>
      <c r="D219" s="2" t="s">
        <v>617</v>
      </c>
      <c r="E219" s="2" t="s">
        <v>618</v>
      </c>
      <c r="F219" s="7">
        <v>44985</v>
      </c>
      <c r="G219" s="16" t="s">
        <v>1256</v>
      </c>
      <c r="H219" s="10">
        <v>562.42527105322199</v>
      </c>
      <c r="I219" s="28">
        <v>35458</v>
      </c>
      <c r="J219" s="9" t="s">
        <v>1249</v>
      </c>
      <c r="K219" s="11" t="s">
        <v>948</v>
      </c>
      <c r="L219" s="11" t="s">
        <v>1428</v>
      </c>
      <c r="M219" s="9">
        <v>20263</v>
      </c>
      <c r="N219" s="9">
        <v>4494051676</v>
      </c>
      <c r="O219" s="9">
        <v>28</v>
      </c>
      <c r="P219" s="9">
        <v>2</v>
      </c>
      <c r="Q219" s="9" t="s">
        <v>1262</v>
      </c>
      <c r="R219" s="9" t="s">
        <v>1037</v>
      </c>
      <c r="S219" s="9" t="s">
        <v>1355</v>
      </c>
      <c r="Z219"/>
    </row>
    <row r="220" spans="1:26" hidden="1">
      <c r="A220" s="5">
        <v>74</v>
      </c>
      <c r="B220" s="40" t="s">
        <v>619</v>
      </c>
      <c r="C220" s="24" t="s">
        <v>1650</v>
      </c>
      <c r="D220" s="2" t="s">
        <v>620</v>
      </c>
      <c r="E220" s="2" t="s">
        <v>621</v>
      </c>
      <c r="F220" s="7">
        <v>44747</v>
      </c>
      <c r="G220" s="16" t="s">
        <v>1256</v>
      </c>
      <c r="H220" s="10">
        <v>547.41217853132696</v>
      </c>
      <c r="I220" s="28">
        <v>27033</v>
      </c>
      <c r="J220" s="9" t="s">
        <v>1250</v>
      </c>
      <c r="K220" s="11" t="s">
        <v>949</v>
      </c>
      <c r="L220" s="11" t="s">
        <v>1393</v>
      </c>
      <c r="M220" s="9">
        <v>64330</v>
      </c>
      <c r="N220" s="9">
        <v>8127616363</v>
      </c>
      <c r="O220" s="9">
        <v>51</v>
      </c>
      <c r="P220" s="9">
        <v>3</v>
      </c>
      <c r="Q220" s="9" t="s">
        <v>1262</v>
      </c>
      <c r="R220" s="9" t="s">
        <v>1310</v>
      </c>
      <c r="S220" s="9" t="s">
        <v>1347</v>
      </c>
      <c r="Z220"/>
    </row>
    <row r="221" spans="1:26" hidden="1">
      <c r="A221" s="5">
        <v>371</v>
      </c>
      <c r="B221" s="40" t="s">
        <v>622</v>
      </c>
      <c r="C221" s="24" t="s">
        <v>1766</v>
      </c>
      <c r="D221" s="2" t="s">
        <v>623</v>
      </c>
      <c r="E221" s="2" t="s">
        <v>624</v>
      </c>
      <c r="F221" s="7">
        <v>45572</v>
      </c>
      <c r="G221" s="16" t="s">
        <v>1256</v>
      </c>
      <c r="H221" s="10">
        <v>827.41190590612996</v>
      </c>
      <c r="I221" s="28">
        <v>46108</v>
      </c>
      <c r="J221" s="9" t="s">
        <v>1251</v>
      </c>
      <c r="K221" s="11" t="s">
        <v>950</v>
      </c>
      <c r="L221" s="11" t="s">
        <v>1506</v>
      </c>
      <c r="M221" s="9">
        <v>22564</v>
      </c>
      <c r="N221" s="9">
        <v>6631099531</v>
      </c>
      <c r="O221" s="9">
        <v>40</v>
      </c>
      <c r="P221" s="9">
        <v>1</v>
      </c>
      <c r="Q221" s="9" t="s">
        <v>1262</v>
      </c>
      <c r="R221" s="9" t="s">
        <v>1310</v>
      </c>
      <c r="S221" s="9" t="s">
        <v>1047</v>
      </c>
      <c r="Z221"/>
    </row>
    <row r="222" spans="1:26" hidden="1">
      <c r="A222" s="5">
        <v>558</v>
      </c>
      <c r="B222" s="40" t="s">
        <v>694</v>
      </c>
      <c r="C222" s="24" t="s">
        <v>1851</v>
      </c>
      <c r="D222" s="2" t="s">
        <v>695</v>
      </c>
      <c r="E222" s="2" t="s">
        <v>696</v>
      </c>
      <c r="F222" s="7">
        <v>46037</v>
      </c>
      <c r="G222" s="16" t="s">
        <v>1256</v>
      </c>
      <c r="H222" s="10">
        <v>330.576219178082</v>
      </c>
      <c r="I222" s="28">
        <v>33803</v>
      </c>
      <c r="J222" s="7" t="s">
        <v>1271</v>
      </c>
      <c r="K222" s="11" t="s">
        <v>974</v>
      </c>
      <c r="L222" s="11" t="s">
        <v>1584</v>
      </c>
      <c r="M222" s="9" t="s">
        <v>1341</v>
      </c>
      <c r="N222" s="9">
        <v>5626765342</v>
      </c>
      <c r="O222" s="9">
        <v>33</v>
      </c>
      <c r="P222" s="9">
        <v>0</v>
      </c>
      <c r="Q222" s="9" t="s">
        <v>1262</v>
      </c>
      <c r="R222" s="9" t="s">
        <v>1310</v>
      </c>
      <c r="S222" s="9" t="s">
        <v>1343</v>
      </c>
      <c r="Z222"/>
    </row>
    <row r="223" spans="1:26" hidden="1">
      <c r="A223" s="5">
        <v>327</v>
      </c>
      <c r="B223" s="40" t="s">
        <v>625</v>
      </c>
      <c r="C223" s="24" t="s">
        <v>1750</v>
      </c>
      <c r="D223" s="2" t="s">
        <v>626</v>
      </c>
      <c r="E223" s="2" t="s">
        <v>627</v>
      </c>
      <c r="F223" s="7">
        <v>45461</v>
      </c>
      <c r="G223" s="16" t="s">
        <v>1256</v>
      </c>
      <c r="H223" s="10">
        <v>613.29115046036304</v>
      </c>
      <c r="I223" s="28">
        <v>27255</v>
      </c>
      <c r="J223" s="9" t="s">
        <v>1252</v>
      </c>
      <c r="K223" s="11" t="s">
        <v>951</v>
      </c>
      <c r="L223" s="11" t="s">
        <v>1491</v>
      </c>
      <c r="M223" s="9" t="s">
        <v>1020</v>
      </c>
      <c r="N223" s="9">
        <v>5544623563</v>
      </c>
      <c r="O223" s="9">
        <v>51</v>
      </c>
      <c r="P223" s="9">
        <v>1</v>
      </c>
      <c r="Q223" s="9" t="s">
        <v>1262</v>
      </c>
      <c r="R223" s="9" t="s">
        <v>1310</v>
      </c>
      <c r="S223" s="9" t="s">
        <v>1343</v>
      </c>
      <c r="Z223"/>
    </row>
    <row r="224" spans="1:26" hidden="1">
      <c r="A224" s="5">
        <v>208</v>
      </c>
      <c r="B224" s="40" t="s">
        <v>628</v>
      </c>
      <c r="C224" s="24" t="s">
        <v>1710</v>
      </c>
      <c r="D224" s="2" t="s">
        <v>629</v>
      </c>
      <c r="E224" s="2" t="s">
        <v>630</v>
      </c>
      <c r="F224" s="7">
        <v>45189</v>
      </c>
      <c r="G224" s="16" t="s">
        <v>1256</v>
      </c>
      <c r="H224" s="10">
        <v>602.64232023354998</v>
      </c>
      <c r="I224" s="28">
        <v>30372</v>
      </c>
      <c r="J224" s="9" t="s">
        <v>1253</v>
      </c>
      <c r="K224" s="11" t="s">
        <v>952</v>
      </c>
      <c r="L224" s="11" t="s">
        <v>1453</v>
      </c>
      <c r="M224" s="9">
        <v>72767</v>
      </c>
      <c r="N224" s="9">
        <v>2212309104</v>
      </c>
      <c r="O224" s="9">
        <v>42</v>
      </c>
      <c r="P224" s="9">
        <v>2</v>
      </c>
      <c r="Q224" s="9" t="s">
        <v>1262</v>
      </c>
      <c r="R224" s="9" t="s">
        <v>1311</v>
      </c>
      <c r="S224" s="9" t="s">
        <v>738</v>
      </c>
      <c r="Z224"/>
    </row>
    <row r="225" spans="1:26" hidden="1">
      <c r="A225" s="5">
        <v>98</v>
      </c>
      <c r="B225" s="40" t="s">
        <v>631</v>
      </c>
      <c r="C225" s="24" t="s">
        <v>1662</v>
      </c>
      <c r="D225" s="2" t="s">
        <v>632</v>
      </c>
      <c r="E225" s="2" t="s">
        <v>633</v>
      </c>
      <c r="F225" s="7">
        <v>44826</v>
      </c>
      <c r="G225" s="16" t="s">
        <v>1256</v>
      </c>
      <c r="H225" s="10">
        <v>494.70562115427799</v>
      </c>
      <c r="I225" s="28">
        <v>27913</v>
      </c>
      <c r="J225" s="9" t="s">
        <v>1254</v>
      </c>
      <c r="K225" s="11" t="s">
        <v>953</v>
      </c>
      <c r="L225" s="11" t="s">
        <v>1405</v>
      </c>
      <c r="M225" s="9" t="s">
        <v>1021</v>
      </c>
      <c r="N225" s="9">
        <v>5518615706</v>
      </c>
      <c r="O225" s="9">
        <v>49</v>
      </c>
      <c r="P225" s="9">
        <v>3</v>
      </c>
      <c r="Q225" s="9" t="s">
        <v>1262</v>
      </c>
      <c r="R225" s="9" t="s">
        <v>1311</v>
      </c>
      <c r="S225" s="9" t="s">
        <v>1343</v>
      </c>
      <c r="Z225"/>
    </row>
    <row r="226" spans="1:26" hidden="1">
      <c r="A226" s="5">
        <v>414</v>
      </c>
      <c r="B226" s="40" t="s">
        <v>634</v>
      </c>
      <c r="C226" s="24" t="s">
        <v>1778</v>
      </c>
      <c r="D226" s="2" t="s">
        <v>635</v>
      </c>
      <c r="E226" s="2" t="s">
        <v>636</v>
      </c>
      <c r="F226" s="7">
        <v>45672</v>
      </c>
      <c r="G226" s="16" t="s">
        <v>1256</v>
      </c>
      <c r="H226" s="10">
        <v>577.98967505052701</v>
      </c>
      <c r="I226" s="28">
        <v>35256</v>
      </c>
      <c r="J226" s="9" t="s">
        <v>1255</v>
      </c>
      <c r="K226" s="11" t="s">
        <v>954</v>
      </c>
      <c r="L226" s="11" t="s">
        <v>1518</v>
      </c>
      <c r="M226" s="9" t="s">
        <v>1022</v>
      </c>
      <c r="N226" s="9">
        <v>5586889865</v>
      </c>
      <c r="O226" s="9">
        <v>29</v>
      </c>
      <c r="P226" s="9">
        <v>1</v>
      </c>
      <c r="Q226" s="9" t="s">
        <v>1263</v>
      </c>
      <c r="R226" s="9" t="s">
        <v>1105</v>
      </c>
      <c r="S226" s="9" t="s">
        <v>1343</v>
      </c>
      <c r="Z226"/>
    </row>
    <row r="227" spans="1:26" hidden="1">
      <c r="A227" s="5">
        <v>580</v>
      </c>
      <c r="B227" s="44" t="s">
        <v>1610</v>
      </c>
      <c r="C227" s="24" t="s">
        <v>1861</v>
      </c>
      <c r="D227" s="25" t="s">
        <v>1592</v>
      </c>
      <c r="E227" s="24"/>
      <c r="F227" s="7">
        <v>46055</v>
      </c>
      <c r="G227" s="16" t="s">
        <v>1256</v>
      </c>
      <c r="H227" s="10"/>
      <c r="I227" s="28">
        <v>26828</v>
      </c>
      <c r="J227" s="10" t="s">
        <v>1601</v>
      </c>
      <c r="K227" t="s">
        <v>1602</v>
      </c>
      <c r="L227" s="11" t="str">
        <f>VLOOKUP(Tabla1[[#This Row],[id_nomina]],[1]Empleados!$A$1:$AH$252,10,0)</f>
        <v>Carretera al desierto de los leones #50; colonia Santa Rosa Xochiac; Cuajimalpa de Morelos, Ciudad de México</v>
      </c>
      <c r="M227" s="11" t="str">
        <f>VLOOKUP(Tabla1[[#This Row],[id_nomina]],[1]Empleados!$A$1:$AH$252,4,0)</f>
        <v>01830</v>
      </c>
      <c r="N227" s="11" t="str">
        <f>VLOOKUP(Tabla1[[#This Row],[id_nomina]],[1]Empleados!$A$1:$AH$252,32,0)</f>
        <v>5636047108</v>
      </c>
      <c r="O227" s="9"/>
      <c r="P227" s="9">
        <v>0</v>
      </c>
      <c r="Q227" s="9" t="s">
        <v>1262</v>
      </c>
      <c r="R227" s="11" t="str">
        <f>VLOOKUP(Tabla1[[#This Row],[id_nomina]],[1]Empleados!$A$1:$AH$252,13,0)</f>
        <v>SOLTERO/A</v>
      </c>
      <c r="S227" s="10" t="str">
        <f>VLOOKUP(Tabla1[[#This Row],[id_nomina]],[1]Empleados!$A$1:$AH$252,23,0)</f>
        <v>CIUDAD DE MEXICO</v>
      </c>
      <c r="Z227"/>
    </row>
    <row r="228" spans="1:26" hidden="1">
      <c r="A228" s="5">
        <v>579</v>
      </c>
      <c r="B228" s="44" t="s">
        <v>1609</v>
      </c>
      <c r="C228" s="24" t="s">
        <v>1860</v>
      </c>
      <c r="D228" s="25" t="s">
        <v>1591</v>
      </c>
      <c r="E228" s="24"/>
      <c r="F228" s="7">
        <v>46055</v>
      </c>
      <c r="G228" s="16" t="s">
        <v>1256</v>
      </c>
      <c r="H228" s="10"/>
      <c r="I228" s="28">
        <v>30308</v>
      </c>
      <c r="J228" s="10" t="s">
        <v>1599</v>
      </c>
      <c r="K228" t="s">
        <v>1600</v>
      </c>
      <c r="L228" s="11" t="str">
        <f>VLOOKUP(Tabla1[[#This Row],[id_nomina]],[1]Empleados!$A$1:$AH$252,10,0)</f>
        <v>C. COMISION TRIPARTITA 210, COL. VALLE DE INFONAVIT 5TO SECTOR, MONTERREY, NUEVO LEÓN</v>
      </c>
      <c r="M228" s="11" t="str">
        <f>VLOOKUP(Tabla1[[#This Row],[id_nomina]],[1]Empleados!$A$1:$AH$252,4,0)</f>
        <v>64350</v>
      </c>
      <c r="N228" s="11" t="str">
        <f>VLOOKUP(Tabla1[[#This Row],[id_nomina]],[1]Empleados!$A$1:$AH$252,32,0)</f>
        <v>8139680381</v>
      </c>
      <c r="O228" s="9"/>
      <c r="P228" s="9">
        <v>0</v>
      </c>
      <c r="Q228" s="9" t="s">
        <v>1262</v>
      </c>
      <c r="R228" s="11" t="str">
        <f>VLOOKUP(Tabla1[[#This Row],[id_nomina]],[1]Empleados!$A$1:$AH$252,13,0)</f>
        <v>CASADO/A</v>
      </c>
      <c r="S228" s="10" t="str">
        <f>VLOOKUP(Tabla1[[#This Row],[id_nomina]],[1]Empleados!$A$1:$AH$252,23,0)</f>
        <v>NUEVO LEON</v>
      </c>
      <c r="Z228"/>
    </row>
    <row r="229" spans="1:26" hidden="1">
      <c r="A229" s="5">
        <v>581</v>
      </c>
      <c r="B229" s="44" t="s">
        <v>1612</v>
      </c>
      <c r="C229" s="24" t="s">
        <v>1863</v>
      </c>
      <c r="D229" s="25" t="s">
        <v>1594</v>
      </c>
      <c r="E229" s="24"/>
      <c r="F229" s="7">
        <v>46061</v>
      </c>
      <c r="G229" s="16" t="s">
        <v>1256</v>
      </c>
      <c r="H229" s="10"/>
      <c r="I229" s="28">
        <v>38379</v>
      </c>
      <c r="J229" s="10" t="s">
        <v>1605</v>
      </c>
      <c r="K229" t="s">
        <v>1606</v>
      </c>
      <c r="L229" s="11" t="str">
        <f>VLOOKUP(Tabla1[[#This Row],[id_nomina]],[1]Empleados!$A$1:$AH$252,10,0)</f>
        <v>SOSTENES ROCHA 3883, JUAN ESCOTO, COL. RANCHO NUEVO, GUADALAJARA, JALISCO</v>
      </c>
      <c r="M229" s="11" t="str">
        <f>VLOOKUP(Tabla1[[#This Row],[id_nomina]],[1]Empleados!$A$1:$AH$252,4,0)</f>
        <v>44240</v>
      </c>
      <c r="N229" s="11" t="str">
        <f>VLOOKUP(Tabla1[[#This Row],[id_nomina]],[1]Empleados!$A$1:$AH$252,32,0)</f>
        <v>3329720348</v>
      </c>
      <c r="O229" s="9"/>
      <c r="P229" s="9">
        <v>0</v>
      </c>
      <c r="Q229" s="9" t="s">
        <v>1262</v>
      </c>
      <c r="R229" s="11" t="str">
        <f>VLOOKUP(Tabla1[[#This Row],[id_nomina]],[1]Empleados!$A$1:$AH$252,13,0)</f>
        <v>SOLTERO/A</v>
      </c>
      <c r="S229" s="10" t="str">
        <f>VLOOKUP(Tabla1[[#This Row],[id_nomina]],[1]Empleados!$A$1:$AH$252,23,0)</f>
        <v>JALISCO</v>
      </c>
      <c r="Z229"/>
    </row>
    <row r="230" spans="1:26" hidden="1">
      <c r="A230" s="5">
        <v>583</v>
      </c>
      <c r="B230" s="44" t="s">
        <v>1611</v>
      </c>
      <c r="C230" s="24" t="s">
        <v>1862</v>
      </c>
      <c r="D230" s="25" t="s">
        <v>1593</v>
      </c>
      <c r="E230" s="24"/>
      <c r="F230" s="7">
        <v>46068</v>
      </c>
      <c r="G230" s="16" t="s">
        <v>1256</v>
      </c>
      <c r="H230" s="10"/>
      <c r="I230" s="28">
        <v>38418</v>
      </c>
      <c r="J230" s="10" t="s">
        <v>1603</v>
      </c>
      <c r="K230" t="s">
        <v>1604</v>
      </c>
      <c r="L230" s="11" t="str">
        <f>VLOOKUP(Tabla1[[#This Row],[id_nomina]],[1]Empleados!$A$1:$AH$252,10,0)</f>
        <v>OXIGENO 807, COL. VALLE DE SEÑORA, LEÓN, GUANAJUATO</v>
      </c>
      <c r="M230" s="11" t="str">
        <f>VLOOKUP(Tabla1[[#This Row],[id_nomina]],[1]Empleados!$A$1:$AH$252,4,0)</f>
        <v>37205</v>
      </c>
      <c r="N230" s="11" t="str">
        <f>VLOOKUP(Tabla1[[#This Row],[id_nomina]],[1]Empleados!$A$1:$AH$252,32,0)</f>
        <v>4772743234</v>
      </c>
      <c r="O230" s="9"/>
      <c r="P230" s="9">
        <v>0</v>
      </c>
      <c r="Q230" s="9" t="s">
        <v>1262</v>
      </c>
      <c r="R230" s="11" t="str">
        <f>VLOOKUP(Tabla1[[#This Row],[id_nomina]],[1]Empleados!$A$1:$AH$252,13,0)</f>
        <v>SOLTERO/A</v>
      </c>
      <c r="S230" s="10" t="str">
        <f>VLOOKUP(Tabla1[[#This Row],[id_nomina]],[1]Empleados!$A$1:$AH$252,23,0)</f>
        <v>GUANAJUATO</v>
      </c>
      <c r="Z230"/>
    </row>
    <row r="231" spans="1:26" hidden="1">
      <c r="A231" s="5">
        <v>114</v>
      </c>
      <c r="B231" s="44" t="s">
        <v>1613</v>
      </c>
      <c r="C231" s="24" t="s">
        <v>1864</v>
      </c>
      <c r="D231" s="25" t="s">
        <v>1595</v>
      </c>
      <c r="E231" s="24"/>
      <c r="F231" s="7">
        <v>46071</v>
      </c>
      <c r="G231" s="16" t="s">
        <v>1256</v>
      </c>
      <c r="H231" s="10"/>
      <c r="I231" s="28">
        <v>26401</v>
      </c>
      <c r="J231" s="10" t="s">
        <v>1607</v>
      </c>
      <c r="K231" t="s">
        <v>1608</v>
      </c>
      <c r="L231" s="11" t="str">
        <f>VLOOKUP(Tabla1[[#This Row],[id_nomina]],[1]Empleados!$A$1:$AH$252,10,0)</f>
        <v>1 CERRADA DE LA CRUZ #8, COLONIA LOMAS DE MEMETLA, CUAJIMALPA DE MORELOS, CIUDAD DE MÉXICO</v>
      </c>
      <c r="M231" s="11" t="str">
        <f>VLOOKUP(Tabla1[[#This Row],[id_nomina]],[1]Empleados!$A$1:$AH$252,4,0)</f>
        <v>05330</v>
      </c>
      <c r="N231" s="11" t="str">
        <f>VLOOKUP(Tabla1[[#This Row],[id_nomina]],[1]Empleados!$A$1:$AH$252,32,0)</f>
        <v>5522491879</v>
      </c>
      <c r="O231" s="9"/>
      <c r="P231" s="9">
        <v>0</v>
      </c>
      <c r="Q231" s="9" t="s">
        <v>1262</v>
      </c>
      <c r="R231" s="11" t="str">
        <f>VLOOKUP(Tabla1[[#This Row],[id_nomina]],[1]Empleados!$A$1:$AH$252,13,0)</f>
        <v>SOLTERO/A</v>
      </c>
      <c r="S231" s="10" t="str">
        <f>VLOOKUP(Tabla1[[#This Row],[id_nomina]],[1]Empleados!$A$1:$AH$252,23,0)</f>
        <v>CIUDAD DE MEXICO</v>
      </c>
      <c r="Z231"/>
    </row>
    <row r="232" spans="1:26" hidden="1">
      <c r="A232" s="5">
        <v>570</v>
      </c>
      <c r="B232" s="40" t="s">
        <v>655</v>
      </c>
      <c r="C232" s="24" t="s">
        <v>1855</v>
      </c>
      <c r="D232" s="2" t="s">
        <v>656</v>
      </c>
      <c r="E232" s="2" t="s">
        <v>657</v>
      </c>
      <c r="F232" s="7">
        <v>46038</v>
      </c>
      <c r="G232" s="16" t="s">
        <v>1867</v>
      </c>
      <c r="H232" s="10">
        <v>495.45468493150599</v>
      </c>
      <c r="I232" s="28">
        <v>27049</v>
      </c>
      <c r="J232" s="9" t="s">
        <v>1257</v>
      </c>
      <c r="K232" s="11" t="s">
        <v>961</v>
      </c>
      <c r="L232" s="11" t="s">
        <v>984</v>
      </c>
      <c r="M232" s="9" t="s">
        <v>1321</v>
      </c>
      <c r="N232" s="9">
        <v>5518136454</v>
      </c>
      <c r="O232" s="9">
        <v>52</v>
      </c>
      <c r="P232" s="9">
        <v>0</v>
      </c>
      <c r="Q232" s="9" t="s">
        <v>1262</v>
      </c>
      <c r="R232" s="9" t="s">
        <v>1310</v>
      </c>
      <c r="S232" s="9" t="s">
        <v>1343</v>
      </c>
      <c r="Z232"/>
    </row>
    <row r="233" spans="1:26" hidden="1">
      <c r="A233" s="5">
        <v>3002</v>
      </c>
      <c r="B233" s="44"/>
      <c r="C233" s="24" t="s">
        <v>1865</v>
      </c>
      <c r="D233" s="25" t="s">
        <v>1596</v>
      </c>
      <c r="E233" s="24"/>
      <c r="F233" s="7"/>
      <c r="G233" s="16" t="s">
        <v>1598</v>
      </c>
      <c r="H233" s="10"/>
      <c r="I233" s="28"/>
      <c r="J233" s="10" t="s">
        <v>1590</v>
      </c>
      <c r="K233" t="s">
        <v>1590</v>
      </c>
      <c r="L233" s="11"/>
      <c r="M233" s="11"/>
      <c r="N233" s="9"/>
      <c r="O233" s="9"/>
      <c r="P233" s="9"/>
      <c r="Q233" s="9" t="s">
        <v>1262</v>
      </c>
      <c r="R233" s="9"/>
      <c r="S233" s="9"/>
      <c r="Z233"/>
    </row>
    <row r="234" spans="1:26" hidden="1">
      <c r="A234" s="5">
        <v>567</v>
      </c>
      <c r="B234" s="40" t="s">
        <v>664</v>
      </c>
      <c r="C234" s="24" t="s">
        <v>1854</v>
      </c>
      <c r="D234" s="2" t="s">
        <v>665</v>
      </c>
      <c r="E234" s="2" t="s">
        <v>666</v>
      </c>
      <c r="F234" s="7">
        <v>46038</v>
      </c>
      <c r="G234" s="16" t="s">
        <v>1866</v>
      </c>
      <c r="H234" s="10">
        <v>497.45342465753401</v>
      </c>
      <c r="I234" s="28">
        <v>26750</v>
      </c>
      <c r="J234" s="9" t="s">
        <v>1258</v>
      </c>
      <c r="K234" s="11" t="s">
        <v>964</v>
      </c>
      <c r="L234" s="11" t="s">
        <v>985</v>
      </c>
      <c r="M234" s="9" t="s">
        <v>1327</v>
      </c>
      <c r="N234" s="9" t="s">
        <v>1291</v>
      </c>
      <c r="O234" s="9">
        <v>52</v>
      </c>
      <c r="P234" s="9">
        <v>0</v>
      </c>
      <c r="Q234" s="9" t="s">
        <v>1262</v>
      </c>
      <c r="R234" s="9" t="s">
        <v>1310</v>
      </c>
      <c r="S234" s="9" t="s">
        <v>1343</v>
      </c>
      <c r="Z234"/>
    </row>
    <row r="235" spans="1:26" hidden="1">
      <c r="A235" s="5">
        <v>2</v>
      </c>
      <c r="B235" s="40" t="s">
        <v>18</v>
      </c>
      <c r="C235" s="24" t="s">
        <v>1616</v>
      </c>
      <c r="D235" s="2" t="s">
        <v>19</v>
      </c>
      <c r="E235" s="2" t="s">
        <v>20</v>
      </c>
      <c r="F235" s="7">
        <v>44016</v>
      </c>
      <c r="G235" s="16" t="s">
        <v>1597</v>
      </c>
      <c r="H235" s="10">
        <v>523.32945205479405</v>
      </c>
      <c r="I235" s="28">
        <v>30178</v>
      </c>
      <c r="J235" s="9" t="s">
        <v>1042</v>
      </c>
      <c r="K235" s="11" t="s">
        <v>748</v>
      </c>
      <c r="L235" s="11" t="s">
        <v>1360</v>
      </c>
      <c r="M235" s="9">
        <v>56644</v>
      </c>
      <c r="N235" s="9">
        <v>5532077869</v>
      </c>
      <c r="O235" s="9">
        <v>43</v>
      </c>
      <c r="P235" s="9">
        <v>5</v>
      </c>
      <c r="Q235" s="9" t="s">
        <v>1262</v>
      </c>
      <c r="R235" s="9" t="s">
        <v>1311</v>
      </c>
      <c r="S235" s="9" t="s">
        <v>1343</v>
      </c>
      <c r="Z235"/>
    </row>
    <row r="236" spans="1:26" hidden="1">
      <c r="A236" s="5">
        <v>350</v>
      </c>
      <c r="B236" s="40" t="s">
        <v>45</v>
      </c>
      <c r="C236" s="24" t="s">
        <v>1761</v>
      </c>
      <c r="D236" s="2" t="s">
        <v>46</v>
      </c>
      <c r="E236" s="2" t="s">
        <v>47</v>
      </c>
      <c r="F236" s="7">
        <v>45516</v>
      </c>
      <c r="G236" s="16" t="s">
        <v>1597</v>
      </c>
      <c r="H236" s="10">
        <v>520.61438356164297</v>
      </c>
      <c r="I236" s="28">
        <v>27966</v>
      </c>
      <c r="J236" s="9" t="s">
        <v>1053</v>
      </c>
      <c r="K236" s="11" t="s">
        <v>757</v>
      </c>
      <c r="L236" s="11" t="s">
        <v>1501</v>
      </c>
      <c r="M236" s="9" t="s">
        <v>1313</v>
      </c>
      <c r="N236" s="9">
        <v>8115398079</v>
      </c>
      <c r="O236" s="9">
        <v>49</v>
      </c>
      <c r="P236" s="9">
        <v>1</v>
      </c>
      <c r="Q236" s="9" t="s">
        <v>1262</v>
      </c>
      <c r="R236" s="9" t="s">
        <v>1311</v>
      </c>
      <c r="S236" s="9" t="s">
        <v>1348</v>
      </c>
      <c r="Z236"/>
    </row>
    <row r="237" spans="1:26" hidden="1">
      <c r="A237" s="5">
        <v>209</v>
      </c>
      <c r="B237" s="40" t="s">
        <v>69</v>
      </c>
      <c r="C237" s="24" t="s">
        <v>1711</v>
      </c>
      <c r="D237" s="2" t="s">
        <v>70</v>
      </c>
      <c r="E237" s="2" t="s">
        <v>71</v>
      </c>
      <c r="F237" s="7">
        <v>45191</v>
      </c>
      <c r="G237" s="16" t="s">
        <v>1597</v>
      </c>
      <c r="H237" s="10">
        <v>521.29315068493099</v>
      </c>
      <c r="I237" s="28">
        <v>32957</v>
      </c>
      <c r="J237" s="9" t="s">
        <v>1061</v>
      </c>
      <c r="K237" s="11" t="s">
        <v>765</v>
      </c>
      <c r="L237" s="11" t="s">
        <v>1454</v>
      </c>
      <c r="M237" s="9">
        <v>82170</v>
      </c>
      <c r="N237" s="9">
        <v>6692545277</v>
      </c>
      <c r="O237" s="9">
        <v>35</v>
      </c>
      <c r="P237" s="9">
        <v>2</v>
      </c>
      <c r="Q237" s="9" t="s">
        <v>1262</v>
      </c>
      <c r="R237" s="9" t="s">
        <v>1311</v>
      </c>
      <c r="S237" s="9" t="s">
        <v>736</v>
      </c>
      <c r="Z237"/>
    </row>
    <row r="238" spans="1:26" hidden="1">
      <c r="A238" s="5">
        <v>38</v>
      </c>
      <c r="B238" s="40" t="s">
        <v>93</v>
      </c>
      <c r="C238" s="24" t="s">
        <v>1633</v>
      </c>
      <c r="D238" s="2" t="s">
        <v>94</v>
      </c>
      <c r="E238" s="2" t="s">
        <v>95</v>
      </c>
      <c r="F238" s="7">
        <v>44293</v>
      </c>
      <c r="G238" s="16" t="s">
        <v>1597</v>
      </c>
      <c r="H238" s="10">
        <v>522.65068493150602</v>
      </c>
      <c r="I238" s="28">
        <v>30718</v>
      </c>
      <c r="J238" s="9" t="s">
        <v>1069</v>
      </c>
      <c r="K238" s="11" t="s">
        <v>773</v>
      </c>
      <c r="L238" s="11" t="s">
        <v>1376</v>
      </c>
      <c r="M238" s="9">
        <v>72470</v>
      </c>
      <c r="N238" s="9">
        <v>2229092400</v>
      </c>
      <c r="O238" s="9">
        <v>41</v>
      </c>
      <c r="P238" s="9">
        <v>4</v>
      </c>
      <c r="Q238" s="9" t="s">
        <v>1262</v>
      </c>
      <c r="R238" s="9" t="s">
        <v>1311</v>
      </c>
      <c r="S238" s="9" t="s">
        <v>738</v>
      </c>
      <c r="Z238"/>
    </row>
    <row r="239" spans="1:26" hidden="1">
      <c r="A239" s="5">
        <v>17</v>
      </c>
      <c r="B239" s="40" t="s">
        <v>123</v>
      </c>
      <c r="C239" s="24" t="s">
        <v>1622</v>
      </c>
      <c r="D239" s="2" t="s">
        <v>124</v>
      </c>
      <c r="E239" s="2" t="s">
        <v>125</v>
      </c>
      <c r="F239" s="7">
        <v>44896</v>
      </c>
      <c r="G239" s="16" t="s">
        <v>1597</v>
      </c>
      <c r="H239" s="10">
        <v>521.97191780821902</v>
      </c>
      <c r="I239" s="28">
        <v>27654</v>
      </c>
      <c r="J239" s="9" t="s">
        <v>1079</v>
      </c>
      <c r="K239" s="11" t="s">
        <v>783</v>
      </c>
      <c r="L239" s="11" t="s">
        <v>1365</v>
      </c>
      <c r="M239" s="9">
        <v>81238</v>
      </c>
      <c r="N239" s="9">
        <v>6681835270</v>
      </c>
      <c r="O239" s="9">
        <v>50</v>
      </c>
      <c r="P239" s="9">
        <v>3</v>
      </c>
      <c r="Q239" s="9" t="s">
        <v>1262</v>
      </c>
      <c r="R239" s="9" t="s">
        <v>1311</v>
      </c>
      <c r="S239" s="9" t="s">
        <v>736</v>
      </c>
      <c r="Z239"/>
    </row>
    <row r="240" spans="1:26" hidden="1">
      <c r="A240" s="5">
        <v>553</v>
      </c>
      <c r="B240" s="40" t="s">
        <v>658</v>
      </c>
      <c r="C240" s="24" t="s">
        <v>1847</v>
      </c>
      <c r="D240" s="2" t="s">
        <v>659</v>
      </c>
      <c r="E240" s="2" t="s">
        <v>660</v>
      </c>
      <c r="F240" s="7">
        <v>46034</v>
      </c>
      <c r="G240" s="16" t="s">
        <v>1597</v>
      </c>
      <c r="H240" s="10">
        <v>495.18227397260199</v>
      </c>
      <c r="I240" s="28">
        <v>31380</v>
      </c>
      <c r="J240" s="9" t="s">
        <v>1296</v>
      </c>
      <c r="K240" s="11" t="s">
        <v>962</v>
      </c>
      <c r="L240" s="11" t="s">
        <v>1581</v>
      </c>
      <c r="M240" s="9" t="s">
        <v>1322</v>
      </c>
      <c r="N240" s="21">
        <v>5518160539</v>
      </c>
      <c r="O240" s="9">
        <v>40</v>
      </c>
      <c r="P240" s="9">
        <v>0</v>
      </c>
      <c r="Q240" s="9" t="s">
        <v>1262</v>
      </c>
      <c r="R240" s="9" t="s">
        <v>1310</v>
      </c>
      <c r="S240" s="9" t="s">
        <v>1345</v>
      </c>
      <c r="Z240"/>
    </row>
    <row r="241" spans="1:27" hidden="1">
      <c r="A241" s="5">
        <v>9</v>
      </c>
      <c r="B241" s="40" t="s">
        <v>132</v>
      </c>
      <c r="C241" s="24" t="s">
        <v>1620</v>
      </c>
      <c r="D241" s="2" t="s">
        <v>133</v>
      </c>
      <c r="E241" s="2" t="s">
        <v>134</v>
      </c>
      <c r="F241" s="7">
        <v>44060</v>
      </c>
      <c r="G241" s="16" t="s">
        <v>1597</v>
      </c>
      <c r="H241" s="10">
        <v>523.32945205479405</v>
      </c>
      <c r="I241" s="28">
        <v>30390</v>
      </c>
      <c r="J241" s="9" t="s">
        <v>1082</v>
      </c>
      <c r="K241" s="11" t="s">
        <v>786</v>
      </c>
      <c r="L241" s="11" t="s">
        <v>1364</v>
      </c>
      <c r="M241" s="9" t="s">
        <v>996</v>
      </c>
      <c r="N241" s="9">
        <v>2291759394</v>
      </c>
      <c r="O241" s="9">
        <v>42</v>
      </c>
      <c r="P241" s="9">
        <v>5</v>
      </c>
      <c r="Q241" s="9" t="s">
        <v>1263</v>
      </c>
      <c r="R241" s="9" t="s">
        <v>1311</v>
      </c>
      <c r="S241" s="9" t="s">
        <v>1343</v>
      </c>
      <c r="Z241"/>
    </row>
    <row r="242" spans="1:27" hidden="1">
      <c r="A242" s="5">
        <v>498</v>
      </c>
      <c r="B242" s="40" t="s">
        <v>183</v>
      </c>
      <c r="C242" s="24" t="s">
        <v>1814</v>
      </c>
      <c r="D242" s="2" t="s">
        <v>184</v>
      </c>
      <c r="E242" s="2" t="s">
        <v>185</v>
      </c>
      <c r="F242" s="7">
        <v>45870</v>
      </c>
      <c r="G242" s="16" t="s">
        <v>1597</v>
      </c>
      <c r="H242" s="10">
        <v>495.18227397260199</v>
      </c>
      <c r="I242" s="28">
        <v>30480</v>
      </c>
      <c r="J242" s="9" t="s">
        <v>1099</v>
      </c>
      <c r="K242" s="11" t="s">
        <v>803</v>
      </c>
      <c r="L242" s="11" t="s">
        <v>1551</v>
      </c>
      <c r="M242" s="9">
        <v>56516</v>
      </c>
      <c r="N242" s="9">
        <v>5510508836</v>
      </c>
      <c r="O242" s="9">
        <v>42</v>
      </c>
      <c r="P242" s="9">
        <v>0</v>
      </c>
      <c r="Q242" s="9" t="s">
        <v>1262</v>
      </c>
      <c r="R242" s="9" t="s">
        <v>1311</v>
      </c>
      <c r="S242" s="9" t="s">
        <v>1343</v>
      </c>
      <c r="Z242"/>
    </row>
    <row r="243" spans="1:27" hidden="1">
      <c r="A243" s="5">
        <v>6</v>
      </c>
      <c r="B243" s="40" t="s">
        <v>192</v>
      </c>
      <c r="C243" s="24" t="s">
        <v>1618</v>
      </c>
      <c r="D243" s="2" t="s">
        <v>193</v>
      </c>
      <c r="E243" s="2" t="s">
        <v>194</v>
      </c>
      <c r="F243" s="7">
        <v>44016</v>
      </c>
      <c r="G243" s="16" t="s">
        <v>1597</v>
      </c>
      <c r="H243" s="10">
        <v>523.32945205479405</v>
      </c>
      <c r="I243" s="28">
        <v>28162</v>
      </c>
      <c r="J243" s="9" t="s">
        <v>1103</v>
      </c>
      <c r="K243" s="11" t="s">
        <v>806</v>
      </c>
      <c r="L243" s="11" t="s">
        <v>1362</v>
      </c>
      <c r="M243" s="9">
        <v>51355</v>
      </c>
      <c r="N243" s="9">
        <v>7294666304</v>
      </c>
      <c r="O243" s="9">
        <v>48</v>
      </c>
      <c r="P243" s="9">
        <v>5</v>
      </c>
      <c r="Q243" s="9" t="s">
        <v>1263</v>
      </c>
      <c r="R243" s="9" t="s">
        <v>1311</v>
      </c>
      <c r="S243" s="9" t="s">
        <v>1343</v>
      </c>
      <c r="Z243"/>
    </row>
    <row r="244" spans="1:27" hidden="1">
      <c r="A244" s="5">
        <v>18</v>
      </c>
      <c r="B244" s="40" t="s">
        <v>195</v>
      </c>
      <c r="C244" s="24" t="s">
        <v>1623</v>
      </c>
      <c r="D244" s="2" t="s">
        <v>196</v>
      </c>
      <c r="E244" s="2" t="s">
        <v>197</v>
      </c>
      <c r="F244" s="7">
        <v>44986</v>
      </c>
      <c r="G244" s="16" t="s">
        <v>1597</v>
      </c>
      <c r="H244" s="10">
        <v>521.29315068493099</v>
      </c>
      <c r="I244" s="28">
        <v>25297</v>
      </c>
      <c r="J244" s="9" t="s">
        <v>1104</v>
      </c>
      <c r="K244" s="11" t="s">
        <v>807</v>
      </c>
      <c r="L244" s="11" t="s">
        <v>1366</v>
      </c>
      <c r="M244" s="9">
        <v>7400</v>
      </c>
      <c r="N244" s="9">
        <v>5518136454</v>
      </c>
      <c r="O244" s="9">
        <v>56</v>
      </c>
      <c r="P244" s="9">
        <v>2</v>
      </c>
      <c r="Q244" s="9" t="s">
        <v>1263</v>
      </c>
      <c r="R244" s="9" t="s">
        <v>1310</v>
      </c>
      <c r="S244" s="9" t="s">
        <v>1343</v>
      </c>
      <c r="Z244"/>
    </row>
    <row r="245" spans="1:27" hidden="1">
      <c r="A245" s="5">
        <v>225</v>
      </c>
      <c r="B245" s="40" t="s">
        <v>257</v>
      </c>
      <c r="C245" s="24" t="s">
        <v>1716</v>
      </c>
      <c r="D245" s="2" t="s">
        <v>258</v>
      </c>
      <c r="E245" s="2" t="s">
        <v>259</v>
      </c>
      <c r="F245" s="7">
        <v>45261</v>
      </c>
      <c r="G245" s="16" t="s">
        <v>1597</v>
      </c>
      <c r="H245" s="10">
        <v>521.29315068493099</v>
      </c>
      <c r="I245" s="28">
        <v>25501</v>
      </c>
      <c r="J245" s="9" t="s">
        <v>1127</v>
      </c>
      <c r="K245" s="11" t="s">
        <v>828</v>
      </c>
      <c r="L245" s="11" t="s">
        <v>1459</v>
      </c>
      <c r="M245" s="9">
        <v>45138</v>
      </c>
      <c r="N245" s="9">
        <v>5514275428</v>
      </c>
      <c r="O245" s="9">
        <v>56</v>
      </c>
      <c r="P245" s="9">
        <v>2</v>
      </c>
      <c r="Q245" s="9" t="s">
        <v>1262</v>
      </c>
      <c r="R245" s="9" t="s">
        <v>1310</v>
      </c>
      <c r="S245" s="9" t="s">
        <v>1346</v>
      </c>
      <c r="Z245"/>
    </row>
    <row r="246" spans="1:27" hidden="1">
      <c r="A246" s="26">
        <v>400</v>
      </c>
      <c r="B246" s="43" t="s">
        <v>343</v>
      </c>
      <c r="C246" s="27" t="s">
        <v>1772</v>
      </c>
      <c r="D246" s="29" t="s">
        <v>344</v>
      </c>
      <c r="E246" s="29" t="s">
        <v>345</v>
      </c>
      <c r="F246" s="7">
        <v>45658</v>
      </c>
      <c r="G246" s="16" t="s">
        <v>1597</v>
      </c>
      <c r="H246" s="10">
        <v>519.93561643835596</v>
      </c>
      <c r="I246" s="28">
        <v>31917</v>
      </c>
      <c r="J246" s="9" t="s">
        <v>1156</v>
      </c>
      <c r="K246" s="11" t="s">
        <v>857</v>
      </c>
      <c r="L246" s="11" t="s">
        <v>1512</v>
      </c>
      <c r="M246" s="9">
        <v>44760</v>
      </c>
      <c r="N246" s="9">
        <v>3315377761</v>
      </c>
      <c r="O246" s="9">
        <v>38</v>
      </c>
      <c r="P246" s="9">
        <v>1</v>
      </c>
      <c r="Q246" s="9" t="s">
        <v>1262</v>
      </c>
      <c r="R246" s="9" t="s">
        <v>1311</v>
      </c>
      <c r="S246" s="9" t="s">
        <v>1344</v>
      </c>
      <c r="Z246"/>
    </row>
    <row r="247" spans="1:27" hidden="1">
      <c r="A247" s="26">
        <v>8</v>
      </c>
      <c r="B247" s="43" t="s">
        <v>346</v>
      </c>
      <c r="C247" s="27" t="s">
        <v>1619</v>
      </c>
      <c r="D247" s="29" t="s">
        <v>347</v>
      </c>
      <c r="E247" s="29" t="s">
        <v>348</v>
      </c>
      <c r="F247" s="7">
        <v>44044</v>
      </c>
      <c r="G247" s="16" t="s">
        <v>1597</v>
      </c>
      <c r="H247" s="10">
        <v>523.32945205479405</v>
      </c>
      <c r="I247" s="28">
        <v>26205</v>
      </c>
      <c r="J247" s="9" t="s">
        <v>1157</v>
      </c>
      <c r="K247" s="11" t="s">
        <v>858</v>
      </c>
      <c r="L247" s="11" t="s">
        <v>1363</v>
      </c>
      <c r="M247" s="9">
        <v>83296</v>
      </c>
      <c r="N247" s="9">
        <v>6624504119</v>
      </c>
      <c r="O247" s="9">
        <v>54</v>
      </c>
      <c r="P247" s="9">
        <v>5</v>
      </c>
      <c r="Q247" s="9" t="s">
        <v>1262</v>
      </c>
      <c r="R247" s="9" t="s">
        <v>1311</v>
      </c>
      <c r="S247" s="9" t="s">
        <v>737</v>
      </c>
      <c r="U247" s="9"/>
      <c r="Z247"/>
    </row>
    <row r="248" spans="1:27" hidden="1">
      <c r="A248" s="26">
        <v>552</v>
      </c>
      <c r="B248" s="43" t="s">
        <v>721</v>
      </c>
      <c r="C248" s="27" t="s">
        <v>1846</v>
      </c>
      <c r="D248" s="29" t="s">
        <v>722</v>
      </c>
      <c r="E248" s="29" t="s">
        <v>723</v>
      </c>
      <c r="F248" s="7">
        <v>46034</v>
      </c>
      <c r="G248" s="16" t="s">
        <v>1597</v>
      </c>
      <c r="H248" s="10">
        <v>495.18227397260199</v>
      </c>
      <c r="I248" s="28">
        <v>28337</v>
      </c>
      <c r="J248" s="9" t="s">
        <v>1286</v>
      </c>
      <c r="K248" s="16" t="s">
        <v>1287</v>
      </c>
      <c r="L248" s="11" t="s">
        <v>1580</v>
      </c>
      <c r="M248" s="9">
        <v>11480</v>
      </c>
      <c r="N248" s="9">
        <v>5565310754</v>
      </c>
      <c r="O248" s="9"/>
      <c r="P248" s="9">
        <v>0</v>
      </c>
      <c r="Q248" s="9" t="s">
        <v>1262</v>
      </c>
      <c r="R248" s="9" t="s">
        <v>1310</v>
      </c>
      <c r="S248" s="9" t="s">
        <v>1343</v>
      </c>
      <c r="Z248"/>
      <c r="AA248" s="9"/>
    </row>
    <row r="249" spans="1:27" hidden="1">
      <c r="A249" s="26">
        <v>3</v>
      </c>
      <c r="B249" s="43" t="s">
        <v>403</v>
      </c>
      <c r="C249" s="27" t="s">
        <v>1617</v>
      </c>
      <c r="D249" s="29" t="s">
        <v>404</v>
      </c>
      <c r="E249" s="29" t="s">
        <v>405</v>
      </c>
      <c r="F249" s="7">
        <v>44016</v>
      </c>
      <c r="G249" s="16" t="s">
        <v>1597</v>
      </c>
      <c r="H249" s="10">
        <v>523.32945205479405</v>
      </c>
      <c r="I249" s="28">
        <v>27996</v>
      </c>
      <c r="J249" s="9" t="s">
        <v>1176</v>
      </c>
      <c r="K249" s="11" t="s">
        <v>877</v>
      </c>
      <c r="L249" s="11" t="s">
        <v>1361</v>
      </c>
      <c r="M249" s="9" t="s">
        <v>1010</v>
      </c>
      <c r="N249" s="9">
        <v>5535769235</v>
      </c>
      <c r="O249" s="9">
        <v>49</v>
      </c>
      <c r="P249" s="9">
        <v>5</v>
      </c>
      <c r="Q249" s="9" t="s">
        <v>1262</v>
      </c>
      <c r="R249" s="9" t="s">
        <v>1311</v>
      </c>
      <c r="S249" s="9" t="s">
        <v>1343</v>
      </c>
      <c r="Z249"/>
      <c r="AA249" s="9"/>
    </row>
    <row r="250" spans="1:27" hidden="1">
      <c r="A250" s="26">
        <v>515</v>
      </c>
      <c r="B250" s="43" t="s">
        <v>406</v>
      </c>
      <c r="C250" s="27" t="s">
        <v>1826</v>
      </c>
      <c r="D250" s="29" t="s">
        <v>407</v>
      </c>
      <c r="E250" s="29" t="s">
        <v>408</v>
      </c>
      <c r="F250" s="7">
        <v>45931</v>
      </c>
      <c r="G250" s="16" t="s">
        <v>1597</v>
      </c>
      <c r="H250" s="10">
        <v>495.18227397260199</v>
      </c>
      <c r="I250" s="28">
        <v>31188</v>
      </c>
      <c r="J250" s="9" t="s">
        <v>1177</v>
      </c>
      <c r="K250" s="11" t="s">
        <v>878</v>
      </c>
      <c r="L250" s="11" t="s">
        <v>1562</v>
      </c>
      <c r="M250" s="9" t="s">
        <v>1011</v>
      </c>
      <c r="N250" s="9">
        <v>5521146062</v>
      </c>
      <c r="O250" s="9">
        <v>40</v>
      </c>
      <c r="P250" s="9">
        <v>0</v>
      </c>
      <c r="Q250" s="9" t="s">
        <v>1263</v>
      </c>
      <c r="R250" s="9" t="s">
        <v>1310</v>
      </c>
      <c r="S250" s="9" t="s">
        <v>1343</v>
      </c>
      <c r="Z250"/>
      <c r="AA250" s="9"/>
    </row>
    <row r="251" spans="1:27" hidden="1">
      <c r="A251" s="26">
        <v>1</v>
      </c>
      <c r="B251" s="43" t="s">
        <v>520</v>
      </c>
      <c r="C251" s="27" t="s">
        <v>1615</v>
      </c>
      <c r="D251" s="29" t="s">
        <v>521</v>
      </c>
      <c r="E251" s="29" t="s">
        <v>522</v>
      </c>
      <c r="F251" s="7">
        <v>44016</v>
      </c>
      <c r="G251" s="16" t="s">
        <v>1597</v>
      </c>
      <c r="H251" s="10">
        <v>523.32945205479405</v>
      </c>
      <c r="I251" s="28">
        <v>30816</v>
      </c>
      <c r="J251" s="9" t="s">
        <v>1216</v>
      </c>
      <c r="K251" s="11" t="s">
        <v>916</v>
      </c>
      <c r="L251" s="11" t="s">
        <v>1359</v>
      </c>
      <c r="M251" s="9">
        <v>55883</v>
      </c>
      <c r="N251" s="9">
        <v>5532151036</v>
      </c>
      <c r="O251" s="9">
        <v>41</v>
      </c>
      <c r="P251" s="9">
        <v>5</v>
      </c>
      <c r="Q251" s="9" t="s">
        <v>1262</v>
      </c>
      <c r="R251" s="9" t="s">
        <v>1311</v>
      </c>
      <c r="S251" s="9" t="s">
        <v>1343</v>
      </c>
      <c r="Z251"/>
      <c r="AA251" s="9"/>
    </row>
    <row r="252" spans="1:27" hidden="1">
      <c r="A252" s="26">
        <v>11</v>
      </c>
      <c r="B252" s="43" t="s">
        <v>502</v>
      </c>
      <c r="C252" s="27" t="s">
        <v>1621</v>
      </c>
      <c r="D252" s="29" t="s">
        <v>503</v>
      </c>
      <c r="E252" s="30" t="s">
        <v>504</v>
      </c>
      <c r="F252" s="7">
        <v>44144</v>
      </c>
      <c r="G252" s="16" t="s">
        <v>1356</v>
      </c>
      <c r="H252" s="10">
        <v>498.41664657534199</v>
      </c>
      <c r="I252" s="28">
        <v>32824</v>
      </c>
      <c r="J252" s="9" t="s">
        <v>1210</v>
      </c>
      <c r="K252" s="11" t="s">
        <v>910</v>
      </c>
      <c r="L252" s="11" t="s">
        <v>981</v>
      </c>
      <c r="M252" s="9">
        <v>54457</v>
      </c>
      <c r="N252" s="9">
        <v>5533338963</v>
      </c>
      <c r="O252" s="9">
        <v>36</v>
      </c>
      <c r="P252" s="9">
        <v>5</v>
      </c>
      <c r="Q252" s="9" t="s">
        <v>1263</v>
      </c>
      <c r="R252" s="9" t="s">
        <v>1310</v>
      </c>
      <c r="S252" s="9" t="s">
        <v>1345</v>
      </c>
      <c r="Z252"/>
      <c r="AA252" s="9"/>
    </row>
    <row r="253" spans="1:27" hidden="1">
      <c r="A253" s="5"/>
      <c r="B253" s="44" t="s">
        <v>1872</v>
      </c>
      <c r="C253" s="24" t="s">
        <v>1982</v>
      </c>
      <c r="D253" s="25" t="s">
        <v>1885</v>
      </c>
      <c r="E253" s="24" t="s">
        <v>1899</v>
      </c>
      <c r="F253" s="35">
        <v>46093</v>
      </c>
      <c r="G253" s="16" t="s">
        <v>1256</v>
      </c>
      <c r="H253" s="10"/>
      <c r="I253" s="39">
        <v>36104</v>
      </c>
      <c r="J253" s="34" t="s">
        <v>1913</v>
      </c>
      <c r="K253" s="34" t="s">
        <v>1914</v>
      </c>
      <c r="L253" s="34" t="s">
        <v>1941</v>
      </c>
      <c r="M253" s="34">
        <v>44370</v>
      </c>
      <c r="N253" s="34">
        <v>3318574552</v>
      </c>
      <c r="O253" s="34" t="s">
        <v>1955</v>
      </c>
      <c r="P253" s="9"/>
      <c r="Q253" s="34" t="s">
        <v>1968</v>
      </c>
      <c r="R253" s="34" t="s">
        <v>1971</v>
      </c>
      <c r="S253" s="9"/>
    </row>
    <row r="254" spans="1:27" hidden="1">
      <c r="A254" s="5"/>
      <c r="B254" s="44" t="s">
        <v>1873</v>
      </c>
      <c r="C254" s="24" t="s">
        <v>1983</v>
      </c>
      <c r="D254" s="25" t="s">
        <v>1886</v>
      </c>
      <c r="E254" s="24" t="s">
        <v>1900</v>
      </c>
      <c r="F254" s="36">
        <v>46095</v>
      </c>
      <c r="G254" s="16" t="s">
        <v>1256</v>
      </c>
      <c r="H254" s="10"/>
      <c r="I254" s="39">
        <v>32352</v>
      </c>
      <c r="J254" s="34" t="s">
        <v>1915</v>
      </c>
      <c r="K254" s="34" t="s">
        <v>1916</v>
      </c>
      <c r="L254" s="34" t="s">
        <v>1942</v>
      </c>
      <c r="M254" s="34">
        <v>16420</v>
      </c>
      <c r="N254" s="34">
        <v>5538106744</v>
      </c>
      <c r="O254" s="34" t="s">
        <v>1956</v>
      </c>
      <c r="P254" s="9"/>
      <c r="Q254" s="34" t="s">
        <v>1969</v>
      </c>
      <c r="R254" s="34" t="s">
        <v>1971</v>
      </c>
      <c r="S254" s="9"/>
    </row>
    <row r="255" spans="1:27" hidden="1">
      <c r="A255" s="5"/>
      <c r="B255" s="44" t="s">
        <v>1874</v>
      </c>
      <c r="C255" s="24" t="s">
        <v>1984</v>
      </c>
      <c r="D255" s="25" t="s">
        <v>1887</v>
      </c>
      <c r="E255" s="24" t="s">
        <v>1901</v>
      </c>
      <c r="F255" s="36">
        <v>46098</v>
      </c>
      <c r="G255" s="16" t="s">
        <v>1256</v>
      </c>
      <c r="H255" s="10"/>
      <c r="I255" s="39">
        <v>35149</v>
      </c>
      <c r="J255" s="34" t="s">
        <v>1917</v>
      </c>
      <c r="K255" s="34" t="s">
        <v>1918</v>
      </c>
      <c r="L255" s="34" t="s">
        <v>1943</v>
      </c>
      <c r="M255" s="34">
        <v>55130</v>
      </c>
      <c r="N255" s="34">
        <v>5648151707</v>
      </c>
      <c r="O255" s="34" t="s">
        <v>1957</v>
      </c>
      <c r="P255" s="9"/>
      <c r="Q255" s="34" t="s">
        <v>1968</v>
      </c>
      <c r="R255" s="34" t="s">
        <v>1972</v>
      </c>
      <c r="S255" s="9"/>
    </row>
    <row r="256" spans="1:27" hidden="1">
      <c r="A256" s="5"/>
      <c r="B256" s="44" t="s">
        <v>1875</v>
      </c>
      <c r="C256" s="24" t="s">
        <v>1985</v>
      </c>
      <c r="D256" s="25" t="s">
        <v>1888</v>
      </c>
      <c r="E256" s="24" t="s">
        <v>1902</v>
      </c>
      <c r="F256" s="36">
        <v>46098</v>
      </c>
      <c r="G256" s="16" t="s">
        <v>1256</v>
      </c>
      <c r="H256" s="10"/>
      <c r="I256" s="39">
        <v>28040</v>
      </c>
      <c r="J256" s="34" t="s">
        <v>1919</v>
      </c>
      <c r="K256" s="34" t="s">
        <v>1920</v>
      </c>
      <c r="L256" s="34" t="s">
        <v>1944</v>
      </c>
      <c r="M256" s="34">
        <v>57900</v>
      </c>
      <c r="N256" s="34">
        <v>5587735204</v>
      </c>
      <c r="O256" s="34" t="s">
        <v>1958</v>
      </c>
      <c r="P256" s="9"/>
      <c r="Q256" s="34" t="s">
        <v>1969</v>
      </c>
      <c r="R256" s="34" t="s">
        <v>1971</v>
      </c>
      <c r="S256" s="9"/>
    </row>
    <row r="257" spans="1:19" hidden="1">
      <c r="A257" s="5"/>
      <c r="B257" s="44" t="s">
        <v>1876</v>
      </c>
      <c r="C257" s="24" t="s">
        <v>1986</v>
      </c>
      <c r="D257" s="25" t="s">
        <v>1889</v>
      </c>
      <c r="E257" s="24" t="s">
        <v>1903</v>
      </c>
      <c r="F257" s="36">
        <v>46099</v>
      </c>
      <c r="G257" s="16" t="s">
        <v>1256</v>
      </c>
      <c r="H257" s="10"/>
      <c r="I257" s="39">
        <v>30365</v>
      </c>
      <c r="J257" s="34" t="s">
        <v>1921</v>
      </c>
      <c r="K257" s="34" t="s">
        <v>1922</v>
      </c>
      <c r="L257" s="34" t="s">
        <v>1945</v>
      </c>
      <c r="M257" s="34">
        <v>55120</v>
      </c>
      <c r="N257" s="34">
        <v>5572159796</v>
      </c>
      <c r="O257" s="34" t="s">
        <v>1959</v>
      </c>
      <c r="P257" s="9"/>
      <c r="Q257" s="34" t="s">
        <v>1968</v>
      </c>
      <c r="R257" s="34" t="s">
        <v>1971</v>
      </c>
      <c r="S257" s="9"/>
    </row>
    <row r="258" spans="1:19" hidden="1">
      <c r="A258" s="5"/>
      <c r="B258" s="44" t="s">
        <v>1877</v>
      </c>
      <c r="C258" s="24" t="s">
        <v>1987</v>
      </c>
      <c r="D258" s="25" t="s">
        <v>1890</v>
      </c>
      <c r="E258" s="24" t="s">
        <v>1904</v>
      </c>
      <c r="F258" s="36">
        <v>46099</v>
      </c>
      <c r="G258" s="16" t="s">
        <v>1256</v>
      </c>
      <c r="H258" s="10"/>
      <c r="I258" s="39">
        <v>28157</v>
      </c>
      <c r="J258" s="34" t="s">
        <v>1923</v>
      </c>
      <c r="K258" s="34" t="s">
        <v>1924</v>
      </c>
      <c r="L258" s="34" t="s">
        <v>1946</v>
      </c>
      <c r="M258" s="34">
        <v>44800</v>
      </c>
      <c r="N258" s="34">
        <v>3319980730</v>
      </c>
      <c r="O258" s="34" t="s">
        <v>1958</v>
      </c>
      <c r="P258" s="9"/>
      <c r="Q258" s="34" t="s">
        <v>1969</v>
      </c>
      <c r="R258" s="34" t="s">
        <v>1971</v>
      </c>
      <c r="S258" s="9"/>
    </row>
    <row r="259" spans="1:19" hidden="1">
      <c r="A259" s="5"/>
      <c r="B259" s="44">
        <v>11008314582</v>
      </c>
      <c r="C259" s="24" t="s">
        <v>1988</v>
      </c>
      <c r="D259" s="25" t="s">
        <v>1891</v>
      </c>
      <c r="E259" s="24" t="s">
        <v>1905</v>
      </c>
      <c r="F259" s="36">
        <v>46099</v>
      </c>
      <c r="G259" s="16" t="s">
        <v>1256</v>
      </c>
      <c r="H259" s="10"/>
      <c r="I259" s="39">
        <v>30587</v>
      </c>
      <c r="J259" s="34" t="s">
        <v>1925</v>
      </c>
      <c r="K259" s="34" t="s">
        <v>1926</v>
      </c>
      <c r="L259" s="34" t="s">
        <v>1947</v>
      </c>
      <c r="M259" s="34">
        <v>99999</v>
      </c>
      <c r="N259" s="34">
        <v>8116035943</v>
      </c>
      <c r="O259" s="34" t="s">
        <v>1960</v>
      </c>
      <c r="P259" s="9"/>
      <c r="Q259" s="34" t="s">
        <v>1970</v>
      </c>
      <c r="R259" s="34" t="s">
        <v>1973</v>
      </c>
      <c r="S259" s="9"/>
    </row>
    <row r="260" spans="1:19" hidden="1">
      <c r="A260" s="5"/>
      <c r="B260" s="44" t="s">
        <v>1878</v>
      </c>
      <c r="C260" s="24" t="s">
        <v>1989</v>
      </c>
      <c r="D260" s="25" t="s">
        <v>1892</v>
      </c>
      <c r="E260" s="24" t="s">
        <v>1906</v>
      </c>
      <c r="F260" s="36">
        <v>46099</v>
      </c>
      <c r="G260" s="16" t="s">
        <v>1256</v>
      </c>
      <c r="H260" s="10"/>
      <c r="I260" s="39">
        <v>28041</v>
      </c>
      <c r="J260" s="34" t="s">
        <v>1927</v>
      </c>
      <c r="K260" s="34" t="s">
        <v>1928</v>
      </c>
      <c r="L260" s="34" t="s">
        <v>1948</v>
      </c>
      <c r="M260" s="34">
        <v>67180</v>
      </c>
      <c r="N260" s="34">
        <v>8116717640</v>
      </c>
      <c r="O260" s="34" t="s">
        <v>1961</v>
      </c>
      <c r="P260" s="9"/>
      <c r="Q260" s="34" t="s">
        <v>1968</v>
      </c>
      <c r="R260" s="34" t="s">
        <v>1974</v>
      </c>
      <c r="S260" s="9"/>
    </row>
    <row r="261" spans="1:19">
      <c r="A261" s="5"/>
      <c r="B261" s="44" t="s">
        <v>1879</v>
      </c>
      <c r="C261" s="24" t="s">
        <v>1990</v>
      </c>
      <c r="D261" s="25" t="s">
        <v>1893</v>
      </c>
      <c r="E261" s="24" t="s">
        <v>1907</v>
      </c>
      <c r="F261" s="35">
        <v>46105</v>
      </c>
      <c r="G261" s="16" t="s">
        <v>1256</v>
      </c>
      <c r="H261" s="10"/>
      <c r="I261" s="39">
        <v>36027</v>
      </c>
      <c r="J261" s="34" t="s">
        <v>1929</v>
      </c>
      <c r="K261" s="34" t="s">
        <v>1930</v>
      </c>
      <c r="L261" s="34" t="s">
        <v>1949</v>
      </c>
      <c r="M261" s="34">
        <v>62285</v>
      </c>
      <c r="N261" s="34">
        <v>7775926991</v>
      </c>
      <c r="O261" s="34" t="s">
        <v>1962</v>
      </c>
      <c r="P261" s="9"/>
      <c r="Q261" s="34" t="s">
        <v>1968</v>
      </c>
      <c r="R261" s="34" t="s">
        <v>1974</v>
      </c>
      <c r="S261" s="9"/>
    </row>
    <row r="262" spans="1:19">
      <c r="A262" s="5"/>
      <c r="B262" s="44" t="s">
        <v>1880</v>
      </c>
      <c r="C262" s="24" t="s">
        <v>1991</v>
      </c>
      <c r="D262" s="25" t="s">
        <v>1894</v>
      </c>
      <c r="E262" s="24" t="s">
        <v>1908</v>
      </c>
      <c r="F262" s="36">
        <v>46113</v>
      </c>
      <c r="G262" s="16" t="s">
        <v>1256</v>
      </c>
      <c r="H262" s="10"/>
      <c r="I262" s="39">
        <v>37254</v>
      </c>
      <c r="J262" s="34" t="s">
        <v>1931</v>
      </c>
      <c r="K262" s="34" t="s">
        <v>1932</v>
      </c>
      <c r="L262" s="34" t="s">
        <v>1950</v>
      </c>
      <c r="M262" s="34">
        <v>37204</v>
      </c>
      <c r="N262" s="34">
        <v>4776134821</v>
      </c>
      <c r="O262" s="34" t="s">
        <v>1963</v>
      </c>
      <c r="P262" s="9"/>
      <c r="Q262" s="34" t="s">
        <v>1968</v>
      </c>
      <c r="R262" s="34" t="s">
        <v>1971</v>
      </c>
      <c r="S262" s="9"/>
    </row>
    <row r="263" spans="1:19">
      <c r="A263" s="5"/>
      <c r="B263" s="44" t="s">
        <v>1881</v>
      </c>
      <c r="C263" s="24" t="s">
        <v>1992</v>
      </c>
      <c r="D263" s="25" t="s">
        <v>1895</v>
      </c>
      <c r="E263" s="24" t="s">
        <v>1909</v>
      </c>
      <c r="F263" s="36">
        <v>46113</v>
      </c>
      <c r="G263" s="16" t="s">
        <v>1256</v>
      </c>
      <c r="H263" s="10"/>
      <c r="I263" s="39">
        <v>31676</v>
      </c>
      <c r="J263" s="34" t="s">
        <v>1933</v>
      </c>
      <c r="K263" s="34" t="s">
        <v>1934</v>
      </c>
      <c r="L263" s="34" t="s">
        <v>1951</v>
      </c>
      <c r="M263" s="34">
        <v>44720</v>
      </c>
      <c r="N263" s="34">
        <v>3332543351</v>
      </c>
      <c r="O263" s="34" t="s">
        <v>1964</v>
      </c>
      <c r="P263" s="9"/>
      <c r="Q263" s="34" t="s">
        <v>1968</v>
      </c>
      <c r="R263" s="34" t="s">
        <v>1971</v>
      </c>
      <c r="S263" s="9"/>
    </row>
    <row r="264" spans="1:19">
      <c r="A264" s="5"/>
      <c r="B264" s="44" t="s">
        <v>1882</v>
      </c>
      <c r="C264" s="24" t="s">
        <v>1993</v>
      </c>
      <c r="D264" s="25" t="s">
        <v>1896</v>
      </c>
      <c r="E264" s="24" t="s">
        <v>1910</v>
      </c>
      <c r="F264" s="36">
        <v>46113</v>
      </c>
      <c r="G264" s="16" t="s">
        <v>1256</v>
      </c>
      <c r="H264" s="10"/>
      <c r="I264" s="39">
        <v>27142</v>
      </c>
      <c r="J264" s="34" t="s">
        <v>1935</v>
      </c>
      <c r="K264" s="34" t="s">
        <v>1936</v>
      </c>
      <c r="L264" s="34" t="s">
        <v>1952</v>
      </c>
      <c r="M264" s="34">
        <v>44100</v>
      </c>
      <c r="N264" s="34">
        <v>3327447504</v>
      </c>
      <c r="O264" s="34" t="s">
        <v>1965</v>
      </c>
      <c r="P264" s="9"/>
      <c r="Q264" s="34" t="s">
        <v>1968</v>
      </c>
      <c r="R264" s="34" t="s">
        <v>1974</v>
      </c>
      <c r="S264" s="9"/>
    </row>
    <row r="265" spans="1:19">
      <c r="A265" s="5"/>
      <c r="B265" s="44" t="s">
        <v>1883</v>
      </c>
      <c r="C265" s="24" t="s">
        <v>1994</v>
      </c>
      <c r="D265" s="25" t="s">
        <v>1897</v>
      </c>
      <c r="E265" s="24" t="s">
        <v>1911</v>
      </c>
      <c r="F265" s="36">
        <v>46120</v>
      </c>
      <c r="G265" s="16" t="s">
        <v>1256</v>
      </c>
      <c r="H265" s="10"/>
      <c r="I265" s="39">
        <v>31372</v>
      </c>
      <c r="J265" s="34" t="s">
        <v>1937</v>
      </c>
      <c r="K265" s="34" t="s">
        <v>1938</v>
      </c>
      <c r="L265" s="34" t="s">
        <v>1953</v>
      </c>
      <c r="M265" s="38" t="s">
        <v>1008</v>
      </c>
      <c r="N265" s="34">
        <v>5575094257</v>
      </c>
      <c r="O265" s="34" t="s">
        <v>1966</v>
      </c>
      <c r="P265" s="9"/>
      <c r="Q265" s="34" t="s">
        <v>1968</v>
      </c>
      <c r="R265" s="34" t="s">
        <v>1972</v>
      </c>
      <c r="S265" s="9"/>
    </row>
    <row r="266" spans="1:19" ht="15.75" thickBot="1">
      <c r="A266" s="26"/>
      <c r="B266" s="45" t="s">
        <v>1884</v>
      </c>
      <c r="C266" s="24" t="s">
        <v>1995</v>
      </c>
      <c r="D266" s="33" t="s">
        <v>1898</v>
      </c>
      <c r="E266" s="27" t="s">
        <v>1912</v>
      </c>
      <c r="F266" s="37">
        <v>46126</v>
      </c>
      <c r="G266" s="16" t="s">
        <v>1256</v>
      </c>
      <c r="H266" s="10"/>
      <c r="I266" s="39">
        <v>39219</v>
      </c>
      <c r="J266" s="34" t="s">
        <v>1939</v>
      </c>
      <c r="K266" s="34" t="s">
        <v>1940</v>
      </c>
      <c r="L266" s="34" t="s">
        <v>1954</v>
      </c>
      <c r="M266" s="34">
        <v>81237</v>
      </c>
      <c r="N266" s="34">
        <v>6681835270</v>
      </c>
      <c r="O266" s="34" t="s">
        <v>1967</v>
      </c>
      <c r="P266" s="9"/>
      <c r="Q266" s="34" t="s">
        <v>1968</v>
      </c>
      <c r="R266" s="34" t="s">
        <v>1971</v>
      </c>
      <c r="S266" s="9"/>
    </row>
    <row r="267" spans="1:19" ht="15.75" thickBot="1">
      <c r="A267" s="5"/>
      <c r="B267" s="44">
        <v>47008326614</v>
      </c>
      <c r="C267" s="24" t="s">
        <v>1996</v>
      </c>
      <c r="D267" t="s">
        <v>1975</v>
      </c>
      <c r="E267" t="s">
        <v>1981</v>
      </c>
      <c r="F267" s="35">
        <v>46113</v>
      </c>
      <c r="G267" s="16" t="s">
        <v>1256</v>
      </c>
      <c r="H267" s="10"/>
      <c r="I267" s="47">
        <v>30340</v>
      </c>
      <c r="J267" s="46" t="s">
        <v>1976</v>
      </c>
      <c r="K267" s="46" t="s">
        <v>1977</v>
      </c>
      <c r="L267" t="s">
        <v>1978</v>
      </c>
      <c r="M267">
        <v>66058</v>
      </c>
      <c r="N267">
        <v>8181851157</v>
      </c>
      <c r="O267" s="9">
        <v>43</v>
      </c>
      <c r="P267" s="9"/>
      <c r="Q267" t="s">
        <v>1979</v>
      </c>
      <c r="R267" t="s">
        <v>1980</v>
      </c>
      <c r="S267" s="9"/>
    </row>
    <row r="268" spans="1:19" hidden="1">
      <c r="A268" s="5"/>
      <c r="B268" s="44"/>
      <c r="C268" s="27"/>
      <c r="D268" s="25"/>
      <c r="E268" s="24"/>
      <c r="F268" s="37"/>
      <c r="G268" s="16"/>
      <c r="H268" s="10"/>
      <c r="I268" s="28"/>
      <c r="J268" s="10"/>
      <c r="L268" s="11"/>
      <c r="N268" s="9"/>
      <c r="O268" s="9"/>
      <c r="P268" s="9"/>
      <c r="Q268" s="9"/>
      <c r="R268" s="9"/>
      <c r="S268" s="9"/>
    </row>
  </sheetData>
  <phoneticPr fontId="8" type="noConversion"/>
  <hyperlinks>
    <hyperlink ref="E252" r:id="rId1" xr:uid="{2850231C-F529-42EE-B815-32E46CDBBF9B}"/>
    <hyperlink ref="E6" r:id="rId2" xr:uid="{1C585EF0-525E-4640-8843-1EF4101A1029}"/>
    <hyperlink ref="E2" r:id="rId3" xr:uid="{AD0F1963-2A64-4A2E-B6B5-F4B6ED380764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579B-AFC2-4DF0-BA8C-5EBD2C8D0921}">
  <dimension ref="A1:C29"/>
  <sheetViews>
    <sheetView zoomScaleNormal="100" workbookViewId="0">
      <selection activeCell="A7" sqref="A7"/>
    </sheetView>
  </sheetViews>
  <sheetFormatPr baseColWidth="10" defaultRowHeight="15"/>
  <cols>
    <col min="1" max="1" width="36.7109375" bestFit="1" customWidth="1"/>
    <col min="2" max="2" width="19" bestFit="1" customWidth="1"/>
    <col min="3" max="3" width="25.42578125" bestFit="1" customWidth="1"/>
  </cols>
  <sheetData>
    <row r="1" spans="1:3">
      <c r="A1" t="s">
        <v>1997</v>
      </c>
      <c r="B1" t="s">
        <v>1998</v>
      </c>
      <c r="C1" t="s">
        <v>1999</v>
      </c>
    </row>
    <row r="2" spans="1:3">
      <c r="A2" t="s">
        <v>2026</v>
      </c>
      <c r="B2" s="47">
        <v>46111</v>
      </c>
      <c r="C2" t="s">
        <v>2001</v>
      </c>
    </row>
    <row r="3" spans="1:3">
      <c r="A3" t="s">
        <v>2028</v>
      </c>
      <c r="B3" s="47">
        <v>46113</v>
      </c>
      <c r="C3" t="s">
        <v>2023</v>
      </c>
    </row>
    <row r="4" spans="1:3">
      <c r="A4" t="s">
        <v>2008</v>
      </c>
      <c r="B4" s="47">
        <v>46114</v>
      </c>
      <c r="C4" t="s">
        <v>2018</v>
      </c>
    </row>
    <row r="5" spans="1:3">
      <c r="A5" t="s">
        <v>2019</v>
      </c>
      <c r="B5" s="47">
        <v>46114</v>
      </c>
      <c r="C5" t="s">
        <v>2018</v>
      </c>
    </row>
    <row r="6" spans="1:3">
      <c r="A6" t="s">
        <v>635</v>
      </c>
      <c r="B6" s="47">
        <v>46114</v>
      </c>
      <c r="C6" t="s">
        <v>2010</v>
      </c>
    </row>
    <row r="7" spans="1:3">
      <c r="A7" t="s">
        <v>2017</v>
      </c>
      <c r="B7" s="47">
        <v>46116</v>
      </c>
      <c r="C7" t="s">
        <v>2018</v>
      </c>
    </row>
    <row r="8" spans="1:3">
      <c r="A8" t="s">
        <v>2028</v>
      </c>
      <c r="B8" s="47">
        <v>46118</v>
      </c>
      <c r="C8" t="s">
        <v>2023</v>
      </c>
    </row>
    <row r="9" spans="1:3">
      <c r="A9" s="48" t="s">
        <v>2016</v>
      </c>
      <c r="B9" s="49">
        <v>46119</v>
      </c>
      <c r="C9" s="48" t="s">
        <v>2003</v>
      </c>
    </row>
    <row r="10" spans="1:3">
      <c r="A10" t="s">
        <v>2012</v>
      </c>
      <c r="B10" s="47">
        <v>46122</v>
      </c>
      <c r="C10" t="s">
        <v>2013</v>
      </c>
    </row>
    <row r="11" spans="1:3">
      <c r="A11" t="s">
        <v>2014</v>
      </c>
      <c r="B11" s="47">
        <v>46122</v>
      </c>
      <c r="C11" t="s">
        <v>2003</v>
      </c>
    </row>
    <row r="12" spans="1:3">
      <c r="A12" t="s">
        <v>2015</v>
      </c>
      <c r="B12" s="47">
        <v>46122</v>
      </c>
      <c r="C12" t="s">
        <v>2001</v>
      </c>
    </row>
    <row r="13" spans="1:3">
      <c r="A13" t="s">
        <v>2027</v>
      </c>
      <c r="B13" s="47">
        <v>46122</v>
      </c>
      <c r="C13" t="s">
        <v>2023</v>
      </c>
    </row>
    <row r="14" spans="1:3">
      <c r="A14" t="s">
        <v>2009</v>
      </c>
      <c r="B14" s="47">
        <v>46123</v>
      </c>
      <c r="C14" t="s">
        <v>2010</v>
      </c>
    </row>
    <row r="15" spans="1:3">
      <c r="A15" t="s">
        <v>2011</v>
      </c>
      <c r="B15" s="47">
        <v>46123</v>
      </c>
      <c r="C15" t="s">
        <v>2010</v>
      </c>
    </row>
    <row r="16" spans="1:3">
      <c r="A16" t="s">
        <v>2000</v>
      </c>
      <c r="B16" s="47">
        <v>46125</v>
      </c>
      <c r="C16" t="s">
        <v>2001</v>
      </c>
    </row>
    <row r="17" spans="1:3">
      <c r="A17" t="s">
        <v>2006</v>
      </c>
      <c r="B17" s="47">
        <v>46126</v>
      </c>
      <c r="C17" t="s">
        <v>2007</v>
      </c>
    </row>
    <row r="18" spans="1:3">
      <c r="A18" t="s">
        <v>2008</v>
      </c>
      <c r="B18" s="47">
        <v>46126</v>
      </c>
      <c r="C18" t="s">
        <v>2003</v>
      </c>
    </row>
    <row r="19" spans="1:3">
      <c r="A19" t="s">
        <v>2027</v>
      </c>
      <c r="B19" s="47">
        <v>46126</v>
      </c>
      <c r="C19" t="s">
        <v>2023</v>
      </c>
    </row>
    <row r="20" spans="1:3">
      <c r="A20" t="s">
        <v>2005</v>
      </c>
      <c r="B20" s="47">
        <v>46127</v>
      </c>
      <c r="C20" t="s">
        <v>2003</v>
      </c>
    </row>
    <row r="21" spans="1:3">
      <c r="A21" t="s">
        <v>2006</v>
      </c>
      <c r="B21" s="47">
        <v>46128</v>
      </c>
      <c r="C21" t="s">
        <v>2023</v>
      </c>
    </row>
    <row r="22" spans="1:3">
      <c r="A22" t="s">
        <v>2020</v>
      </c>
      <c r="B22" s="47">
        <v>46131</v>
      </c>
      <c r="C22" t="s">
        <v>2003</v>
      </c>
    </row>
    <row r="23" spans="1:3">
      <c r="A23" t="s">
        <v>2002</v>
      </c>
      <c r="B23" s="47">
        <v>46132</v>
      </c>
      <c r="C23" t="s">
        <v>2003</v>
      </c>
    </row>
    <row r="24" spans="1:3">
      <c r="A24" t="s">
        <v>2004</v>
      </c>
      <c r="B24" s="47">
        <v>46132</v>
      </c>
      <c r="C24" t="s">
        <v>2003</v>
      </c>
    </row>
    <row r="25" spans="1:3">
      <c r="A25" t="s">
        <v>2021</v>
      </c>
      <c r="B25" s="47">
        <v>46132</v>
      </c>
      <c r="C25" t="s">
        <v>2018</v>
      </c>
    </row>
    <row r="26" spans="1:3">
      <c r="A26" t="s">
        <v>2022</v>
      </c>
      <c r="B26" s="47">
        <v>46132</v>
      </c>
      <c r="C26" t="s">
        <v>2001</v>
      </c>
    </row>
    <row r="27" spans="1:3">
      <c r="A27" t="s">
        <v>2024</v>
      </c>
      <c r="B27" s="47">
        <v>46132</v>
      </c>
      <c r="C27" t="s">
        <v>2025</v>
      </c>
    </row>
    <row r="28" spans="1:3">
      <c r="A28" t="s">
        <v>2027</v>
      </c>
      <c r="B28" s="47">
        <v>46132</v>
      </c>
      <c r="C28" t="s">
        <v>2023</v>
      </c>
    </row>
    <row r="29" spans="1:3">
      <c r="A29" t="s">
        <v>2029</v>
      </c>
      <c r="B29" s="47">
        <v>46132</v>
      </c>
      <c r="C29" t="s">
        <v>2018</v>
      </c>
    </row>
  </sheetData>
  <autoFilter ref="A1:C29" xr:uid="{6975579B-AFC2-4DF0-BA8C-5EBD2C8D0921}">
    <sortState xmlns:xlrd2="http://schemas.microsoft.com/office/spreadsheetml/2017/richdata2" ref="A2:C29">
      <sortCondition ref="B1:B29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Eduardo Valle Rodríguez</dc:creator>
  <cp:lastModifiedBy>Héctor Eduardo Valle Rodríguez</cp:lastModifiedBy>
  <dcterms:created xsi:type="dcterms:W3CDTF">2026-01-28T23:53:00Z</dcterms:created>
  <dcterms:modified xsi:type="dcterms:W3CDTF">2026-04-21T21:38:46Z</dcterms:modified>
</cp:coreProperties>
</file>